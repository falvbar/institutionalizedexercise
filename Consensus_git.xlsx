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Manuel\Downloads\"/>
    </mc:Choice>
  </mc:AlternateContent>
  <xr:revisionPtr revIDLastSave="0" documentId="13_ncr:1_{F1F11D12-E6AE-45E0-8D8F-8119F3DDB53B}" xr6:coauthVersionLast="47" xr6:coauthVersionMax="47" xr10:uidLastSave="{00000000-0000-0000-0000-000000000000}"/>
  <bookViews>
    <workbookView xWindow="-120" yWindow="-120" windowWidth="29040" windowHeight="15720" xr2:uid="{00000000-000D-0000-FFFF-FFFF00000000}"/>
  </bookViews>
  <sheets>
    <sheet name="Concensus Data Extraction" sheetId="1" r:id="rId1"/>
    <sheet name="Coding Key" sheetId="2" r:id="rId2"/>
    <sheet name="Lower_is_better_database" sheetId="3" r:id="rId3"/>
    <sheet name="Leyenda Outcomes" sheetId="4" r:id="rId4"/>
  </sheets>
  <definedNames>
    <definedName name="_xlnm._FilterDatabase" localSheetId="0" hidden="1">'Concensus Data Extraction'!$A$1:$AT$946</definedName>
    <definedName name="Z_0FEA493A_7C97_4455_B009_583CC402ED72_.wvu.FilterData" localSheetId="0" hidden="1">'Concensus Data Extraction'!$A$1:$AM$802</definedName>
    <definedName name="Z_1EBB1FB8_75B0_49DC_BEB8_5026E8042333_.wvu.FilterData" localSheetId="0" hidden="1">'Concensus Data Extraction'!$A$1:$AM$802</definedName>
    <definedName name="Z_2EE925B3_6CBA_404A_BD9C_1E117D26E35A_.wvu.FilterData" localSheetId="0" hidden="1">'Concensus Data Extraction'!$A$1:$AL$802</definedName>
    <definedName name="Z_337C65DB_F5DE_4747_9A59_333F7E3381F3_.wvu.FilterData" localSheetId="0" hidden="1">'Concensus Data Extraction'!$A$1:$AM$802</definedName>
    <definedName name="Z_3E7DFF99_E9F2_49BE_819A_39C2FE8E4332_.wvu.FilterData" localSheetId="0" hidden="1">'Concensus Data Extraction'!$A$1:$AM$682</definedName>
    <definedName name="Z_50E2F8D3_9D2F_4CEC_ACB4_738E1F6D1C6A_.wvu.FilterData" localSheetId="0" hidden="1">'Concensus Data Extraction'!$A$1:$AM$802</definedName>
    <definedName name="Z_61C14A71_9F2A_4E11_A2DA_E64B60C72A24_.wvu.FilterData" localSheetId="0" hidden="1">'Concensus Data Extraction'!$A$1:$AM$802</definedName>
    <definedName name="Z_921AAFD7_7C4B_4614_9C9A_77DACA3CCA6D_.wvu.FilterData" localSheetId="0" hidden="1">'Concensus Data Extraction'!$A$1:$AM$802</definedName>
    <definedName name="Z_9436B938_40B6_48AB_8C73_DD8EEDDB25C6_.wvu.FilterData" localSheetId="0" hidden="1">'Concensus Data Extraction'!$A$1:$AM$802</definedName>
    <definedName name="Z_BCB86DEE_B7B1_48D6_A47E_5B0F9FFD598E_.wvu.FilterData" localSheetId="0" hidden="1">'Concensus Data Extraction'!$A$1:$AL$802</definedName>
    <definedName name="Z_D8304AB6_282F_40AB_A43C_B53C33B5E314_.wvu.FilterData" localSheetId="0" hidden="1">'Concensus Data Extraction'!$A$1:$AM$802</definedName>
    <definedName name="Z_E70766BC_F28F_4865_BE13_4166DBC2F7FF_.wvu.FilterData" localSheetId="0" hidden="1">'Concensus Data Extraction'!$A$1:$AM$802</definedName>
    <definedName name="Z_F7E9035C_8979_4E64_952D_3E767D906E09_.wvu.FilterData" localSheetId="0" hidden="1">'Concensus Data Extraction'!$A$1:$AL$802</definedName>
  </definedNames>
  <calcPr calcId="191028" calcMode="manual"/>
  <customWorkbookViews>
    <customWorkbookView name="Filtro 13" guid="{50E2F8D3-9D2F-4CEC-ACB4-738E1F6D1C6A}" maximized="1" windowWidth="0" windowHeight="0" activeSheetId="0"/>
    <customWorkbookView name="Filtro 8" guid="{61C14A71-9F2A-4E11-A2DA-E64B60C72A24}" maximized="1" windowWidth="0" windowHeight="0" activeSheetId="0"/>
    <customWorkbookView name="Filtro 9" guid="{337C65DB-F5DE-4747-9A59-333F7E3381F3}" maximized="1" windowWidth="0" windowHeight="0" activeSheetId="0"/>
    <customWorkbookView name="Filtro 11" guid="{1EBB1FB8-75B0-49DC-BEB8-5026E8042333}" maximized="1" windowWidth="0" windowHeight="0" activeSheetId="0"/>
    <customWorkbookView name="Filtro 12" guid="{3E7DFF99-E9F2-49BE-819A-39C2FE8E4332}" maximized="1" windowWidth="0" windowHeight="0" activeSheetId="0"/>
    <customWorkbookView name="Filtro 10" guid="{9436B938-40B6-48AB-8C73-DD8EEDDB25C6}" maximized="1" windowWidth="0" windowHeight="0" activeSheetId="0"/>
    <customWorkbookView name="Filtro 4" guid="{921AAFD7-7C4B-4614-9C9A-77DACA3CCA6D}" maximized="1" windowWidth="0" windowHeight="0" activeSheetId="0"/>
    <customWorkbookView name="Filtro 5" guid="{D8304AB6-282F-40AB-A43C-B53C33B5E314}" maximized="1" windowWidth="0" windowHeight="0" activeSheetId="0"/>
    <customWorkbookView name="Filtro 6" guid="{E70766BC-F28F-4865-BE13-4166DBC2F7FF}" maximized="1" windowWidth="0" windowHeight="0" activeSheetId="0"/>
    <customWorkbookView name="Filtro 7" guid="{0FEA493A-7C97-4455-B009-583CC402ED72}" maximized="1" windowWidth="0" windowHeight="0" activeSheetId="0"/>
    <customWorkbookView name="Filtro 1" guid="{2EE925B3-6CBA-404A-BD9C-1E117D26E35A}" maximized="1" windowWidth="0" windowHeight="0" activeSheetId="0"/>
    <customWorkbookView name="Filtro 2" guid="{F7E9035C-8979-4E64-952D-3E767D906E09}" maximized="1" windowWidth="0" windowHeight="0" activeSheetId="0"/>
    <customWorkbookView name="Filtro 3" guid="{BCB86DEE-B7B1-48D6-A47E-5B0F9FFD598E}"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MIWM1vCjMlGiQe9vfqba6b8gBNOer1qnjTnV2UkvK8="/>
    </ext>
  </extLst>
</workbook>
</file>

<file path=xl/calcChain.xml><?xml version="1.0" encoding="utf-8"?>
<calcChain xmlns="http://schemas.openxmlformats.org/spreadsheetml/2006/main">
  <c r="Y436" i="1" l="1"/>
  <c r="Y819" i="1"/>
  <c r="X818" i="1"/>
  <c r="X936" i="1"/>
  <c r="X938" i="1"/>
  <c r="X937" i="1"/>
  <c r="X933" i="1"/>
  <c r="X934" i="1"/>
  <c r="X935" i="1"/>
  <c r="AA896" i="1"/>
  <c r="AB896" i="1"/>
  <c r="AA890" i="1"/>
  <c r="AA893" i="1"/>
  <c r="AB893" i="1" s="1"/>
  <c r="Z893" i="1"/>
  <c r="AB890" i="1"/>
  <c r="Z890" i="1"/>
  <c r="AA887" i="1"/>
  <c r="AB887" i="1" s="1"/>
  <c r="Z887" i="1"/>
  <c r="AA884" i="1"/>
  <c r="AB884" i="1" s="1"/>
  <c r="Z884" i="1"/>
  <c r="AA851" i="1"/>
  <c r="AB851" i="1" s="1"/>
  <c r="AA817" i="1"/>
  <c r="AB817" i="1" s="1"/>
  <c r="Z817" i="1"/>
  <c r="AA814" i="1"/>
  <c r="AB814" i="1" s="1"/>
  <c r="Z814" i="1"/>
  <c r="AA802" i="1"/>
  <c r="AB802" i="1" s="1"/>
  <c r="Z802" i="1"/>
  <c r="AA799" i="1"/>
  <c r="AB799" i="1" s="1"/>
  <c r="Z799" i="1"/>
  <c r="AA796" i="1"/>
  <c r="AB796" i="1" s="1"/>
  <c r="Z796" i="1"/>
  <c r="AA793" i="1"/>
  <c r="AB793" i="1" s="1"/>
  <c r="Z793" i="1"/>
  <c r="AA790" i="1"/>
  <c r="AB790" i="1" s="1"/>
  <c r="Z790" i="1"/>
  <c r="AA787" i="1"/>
  <c r="AB787" i="1" s="1"/>
  <c r="Z787" i="1"/>
  <c r="AA784" i="1"/>
  <c r="AB784" i="1" s="1"/>
  <c r="Z784" i="1"/>
  <c r="AA684" i="1"/>
  <c r="AB684" i="1" s="1"/>
  <c r="Z684" i="1"/>
  <c r="AA681" i="1"/>
  <c r="AB681" i="1" s="1"/>
  <c r="Z681" i="1"/>
  <c r="AA675" i="1"/>
  <c r="AB675" i="1" s="1"/>
  <c r="Z675" i="1"/>
  <c r="AA672" i="1"/>
  <c r="AB672" i="1" s="1"/>
  <c r="Z672" i="1"/>
  <c r="AA669" i="1"/>
  <c r="AB669" i="1" s="1"/>
  <c r="Z669" i="1"/>
  <c r="AA666" i="1"/>
  <c r="AB666" i="1" s="1"/>
  <c r="Z666" i="1"/>
  <c r="Z556" i="1"/>
  <c r="AA556" i="1"/>
  <c r="AB556" i="1" s="1"/>
  <c r="AA555" i="1"/>
  <c r="AB555" i="1" s="1"/>
  <c r="Z555" i="1"/>
  <c r="Z552" i="1"/>
  <c r="AA552" i="1"/>
  <c r="AB552" i="1" s="1"/>
  <c r="AA551" i="1"/>
  <c r="AB551" i="1" s="1"/>
  <c r="Z551" i="1"/>
  <c r="Z548" i="1"/>
  <c r="AA548" i="1"/>
  <c r="AB548" i="1" s="1"/>
  <c r="AA547" i="1"/>
  <c r="AB547" i="1" s="1"/>
  <c r="Z547" i="1"/>
  <c r="AA544" i="1"/>
  <c r="AB544" i="1" s="1"/>
  <c r="Z544" i="1"/>
  <c r="AA543" i="1"/>
  <c r="AB543" i="1" s="1"/>
  <c r="Z543" i="1"/>
  <c r="Z539" i="1"/>
  <c r="AA540" i="1"/>
  <c r="AA539" i="1"/>
  <c r="Z540" i="1"/>
  <c r="AB540" i="1"/>
  <c r="AB539" i="1"/>
  <c r="AA376" i="1"/>
  <c r="AB376" i="1" s="1"/>
  <c r="Z376" i="1"/>
  <c r="AA293" i="1"/>
  <c r="Z293" i="1"/>
  <c r="AA290" i="1"/>
  <c r="AB290" i="1" s="1"/>
  <c r="Z290" i="1"/>
  <c r="AA287" i="1"/>
  <c r="AB287" i="1" s="1"/>
  <c r="Z287" i="1"/>
  <c r="AA284" i="1"/>
  <c r="AB284" i="1" s="1"/>
  <c r="Z284" i="1"/>
  <c r="AA281" i="1"/>
  <c r="AB281" i="1" s="1"/>
  <c r="Z281" i="1"/>
  <c r="Z278" i="1"/>
  <c r="AA278" i="1"/>
  <c r="AB278" i="1" s="1"/>
  <c r="AA272" i="1"/>
  <c r="AB272" i="1" s="1"/>
  <c r="Z272" i="1"/>
  <c r="AA269" i="1"/>
  <c r="AB269" i="1" s="1"/>
  <c r="Z269" i="1"/>
  <c r="AA266" i="1"/>
  <c r="AB266" i="1" s="1"/>
  <c r="Z266" i="1"/>
  <c r="AA263" i="1"/>
  <c r="AB263" i="1" s="1"/>
  <c r="Z263" i="1"/>
  <c r="AA182" i="1"/>
  <c r="AB182" i="1" s="1"/>
  <c r="Z182" i="1"/>
  <c r="AA179" i="1"/>
  <c r="AB179" i="1" s="1"/>
  <c r="Z179" i="1"/>
  <c r="AA176" i="1"/>
  <c r="AB176" i="1" s="1"/>
  <c r="Z176" i="1"/>
  <c r="AA44" i="1"/>
  <c r="AB44" i="1" s="1"/>
  <c r="AA41" i="1"/>
  <c r="AA40" i="1"/>
  <c r="AB41" i="1"/>
  <c r="AA38" i="1"/>
  <c r="AB38" i="1" s="1"/>
  <c r="AA35" i="1"/>
  <c r="AB35" i="1" s="1"/>
  <c r="AA32" i="1"/>
  <c r="AB32" i="1" s="1"/>
  <c r="X32" i="1"/>
  <c r="Y32" i="1"/>
  <c r="AA31" i="1"/>
  <c r="AL2" i="1" a="1"/>
  <c r="AJ3" i="1"/>
  <c r="AK3" i="1" s="1"/>
  <c r="X2" i="1"/>
  <c r="Y921" i="1"/>
  <c r="X828" i="1"/>
  <c r="Y539" i="1"/>
  <c r="Y240" i="1"/>
  <c r="Y237" i="1"/>
  <c r="Y141" i="1"/>
  <c r="Y101" i="1"/>
  <c r="Y34" i="1"/>
  <c r="AA490" i="1"/>
  <c r="AB490" i="1" s="1"/>
  <c r="AA265" i="1"/>
  <c r="AB265" i="1" s="1"/>
  <c r="AA25" i="1"/>
  <c r="AB25" i="1" s="1"/>
  <c r="AA7" i="1"/>
  <c r="AB7" i="1" s="1"/>
  <c r="AA9" i="1"/>
  <c r="AB9" i="1" s="1"/>
  <c r="AA11" i="1"/>
  <c r="AB11" i="1" s="1"/>
  <c r="AA13" i="1"/>
  <c r="AB13" i="1" s="1"/>
  <c r="AA15" i="1"/>
  <c r="AB15" i="1" s="1"/>
  <c r="AA17" i="1"/>
  <c r="AB17" i="1" s="1"/>
  <c r="AA19" i="1"/>
  <c r="AB19" i="1" s="1"/>
  <c r="AA21" i="1"/>
  <c r="AB21" i="1" s="1"/>
  <c r="AA23" i="1"/>
  <c r="AB23" i="1" s="1"/>
  <c r="AA27" i="1"/>
  <c r="AB27" i="1" s="1"/>
  <c r="AB31" i="1"/>
  <c r="AA34" i="1"/>
  <c r="AB34" i="1" s="1"/>
  <c r="AA37" i="1"/>
  <c r="AB37" i="1" s="1"/>
  <c r="AB40" i="1"/>
  <c r="AA43" i="1"/>
  <c r="AB43" i="1" s="1"/>
  <c r="AA46" i="1"/>
  <c r="AB46" i="1" s="1"/>
  <c r="AA48" i="1"/>
  <c r="AB48" i="1" s="1"/>
  <c r="AA50" i="1"/>
  <c r="AB50" i="1" s="1"/>
  <c r="AA52" i="1"/>
  <c r="AB52" i="1" s="1"/>
  <c r="AA54" i="1"/>
  <c r="AB54" i="1" s="1"/>
  <c r="AA56" i="1"/>
  <c r="AB56" i="1" s="1"/>
  <c r="AA58" i="1"/>
  <c r="AB58" i="1" s="1"/>
  <c r="AA60" i="1"/>
  <c r="AB60" i="1" s="1"/>
  <c r="AA62" i="1"/>
  <c r="AB62" i="1" s="1"/>
  <c r="AA66" i="1"/>
  <c r="AB66" i="1" s="1"/>
  <c r="AA68" i="1"/>
  <c r="AB68" i="1" s="1"/>
  <c r="AA70" i="1"/>
  <c r="AB70" i="1" s="1"/>
  <c r="AA72" i="1"/>
  <c r="AB72" i="1" s="1"/>
  <c r="AA74" i="1"/>
  <c r="AB74" i="1" s="1"/>
  <c r="AA76" i="1"/>
  <c r="AB76" i="1" s="1"/>
  <c r="AA78" i="1"/>
  <c r="AB78" i="1" s="1"/>
  <c r="AA82" i="1"/>
  <c r="AB82" i="1" s="1"/>
  <c r="AA84" i="1"/>
  <c r="AB84" i="1" s="1"/>
  <c r="AA86" i="1"/>
  <c r="AB86" i="1" s="1"/>
  <c r="AA88" i="1"/>
  <c r="AB88" i="1" s="1"/>
  <c r="AA90" i="1"/>
  <c r="AB90" i="1" s="1"/>
  <c r="AA92" i="1"/>
  <c r="AB92" i="1" s="1"/>
  <c r="AA94" i="1"/>
  <c r="AB94" i="1" s="1"/>
  <c r="AA96" i="1"/>
  <c r="AB96" i="1" s="1"/>
  <c r="AA98" i="1"/>
  <c r="AB98" i="1" s="1"/>
  <c r="AA100" i="1"/>
  <c r="AB100" i="1" s="1"/>
  <c r="AA102" i="1"/>
  <c r="AB102" i="1" s="1"/>
  <c r="AA104" i="1"/>
  <c r="AB104" i="1" s="1"/>
  <c r="AA106" i="1"/>
  <c r="AB106" i="1" s="1"/>
  <c r="AA108" i="1"/>
  <c r="AB108" i="1" s="1"/>
  <c r="AA110" i="1"/>
  <c r="AB110" i="1" s="1"/>
  <c r="AA112" i="1"/>
  <c r="AB112" i="1" s="1"/>
  <c r="AA114" i="1"/>
  <c r="AB114" i="1" s="1"/>
  <c r="AA116" i="1"/>
  <c r="AB116" i="1" s="1"/>
  <c r="AA118" i="1"/>
  <c r="AB118" i="1" s="1"/>
  <c r="AA120" i="1"/>
  <c r="AB120" i="1" s="1"/>
  <c r="AA122" i="1"/>
  <c r="AB122" i="1" s="1"/>
  <c r="AA124" i="1"/>
  <c r="AB124" i="1" s="1"/>
  <c r="AA126" i="1"/>
  <c r="AB126" i="1" s="1"/>
  <c r="AA128" i="1"/>
  <c r="AB128" i="1" s="1"/>
  <c r="AA132" i="1"/>
  <c r="AB132" i="1" s="1"/>
  <c r="AA134" i="1"/>
  <c r="AB134" i="1" s="1"/>
  <c r="AA136" i="1"/>
  <c r="AB136" i="1" s="1"/>
  <c r="AA138" i="1"/>
  <c r="AB138" i="1" s="1"/>
  <c r="AA140" i="1"/>
  <c r="AB140" i="1" s="1"/>
  <c r="AA142" i="1"/>
  <c r="AB142" i="1" s="1"/>
  <c r="AA144" i="1"/>
  <c r="AB144" i="1" s="1"/>
  <c r="AA146" i="1"/>
  <c r="AB146" i="1" s="1"/>
  <c r="AA150" i="1"/>
  <c r="AB150" i="1" s="1"/>
  <c r="AA152" i="1"/>
  <c r="AB152" i="1" s="1"/>
  <c r="AA154" i="1"/>
  <c r="AB154" i="1" s="1"/>
  <c r="AA156" i="1"/>
  <c r="AB156" i="1" s="1"/>
  <c r="AA158" i="1"/>
  <c r="AB158" i="1" s="1"/>
  <c r="AA160" i="1"/>
  <c r="AB160" i="1" s="1"/>
  <c r="AA162" i="1"/>
  <c r="AB162" i="1" s="1"/>
  <c r="AA164" i="1"/>
  <c r="AB164" i="1" s="1"/>
  <c r="AA166" i="1"/>
  <c r="AB166" i="1" s="1"/>
  <c r="AA170" i="1"/>
  <c r="AB170" i="1" s="1"/>
  <c r="AA175" i="1"/>
  <c r="AB175" i="1" s="1"/>
  <c r="AA178" i="1"/>
  <c r="AB178" i="1" s="1"/>
  <c r="AA181" i="1"/>
  <c r="AB181" i="1" s="1"/>
  <c r="AA184" i="1"/>
  <c r="AB184" i="1" s="1"/>
  <c r="AA186" i="1"/>
  <c r="AB186" i="1" s="1"/>
  <c r="AA188" i="1"/>
  <c r="AB188" i="1" s="1"/>
  <c r="AA190" i="1"/>
  <c r="AB190" i="1" s="1"/>
  <c r="AA192" i="1"/>
  <c r="AB192" i="1" s="1"/>
  <c r="AA194" i="1"/>
  <c r="AB194" i="1" s="1"/>
  <c r="AA196" i="1"/>
  <c r="AB196" i="1" s="1"/>
  <c r="AA198" i="1"/>
  <c r="AB198" i="1" s="1"/>
  <c r="AA200" i="1"/>
  <c r="AB200" i="1" s="1"/>
  <c r="AA202" i="1"/>
  <c r="AB202" i="1" s="1"/>
  <c r="AA204" i="1"/>
  <c r="AB204" i="1" s="1"/>
  <c r="AA206" i="1"/>
  <c r="AB206" i="1" s="1"/>
  <c r="AA208" i="1"/>
  <c r="AB208" i="1" s="1"/>
  <c r="AA210" i="1"/>
  <c r="AB210" i="1" s="1"/>
  <c r="AA212" i="1"/>
  <c r="AB212" i="1" s="1"/>
  <c r="AA214" i="1"/>
  <c r="AB214" i="1" s="1"/>
  <c r="AA216" i="1"/>
  <c r="AB216" i="1" s="1"/>
  <c r="AA218" i="1"/>
  <c r="AB218" i="1" s="1"/>
  <c r="AA220" i="1"/>
  <c r="AB220" i="1" s="1"/>
  <c r="AA222" i="1"/>
  <c r="AB222" i="1" s="1"/>
  <c r="AA224" i="1"/>
  <c r="AB224" i="1" s="1"/>
  <c r="AA226" i="1"/>
  <c r="AB226" i="1" s="1"/>
  <c r="AA228" i="1"/>
  <c r="AB228" i="1" s="1"/>
  <c r="AA230" i="1"/>
  <c r="AB230" i="1" s="1"/>
  <c r="AA232" i="1"/>
  <c r="AB232" i="1" s="1"/>
  <c r="AA234" i="1"/>
  <c r="AB234" i="1" s="1"/>
  <c r="AA236" i="1"/>
  <c r="AB236" i="1" s="1"/>
  <c r="AA238" i="1"/>
  <c r="AB238" i="1" s="1"/>
  <c r="AA240" i="1"/>
  <c r="AB240" i="1" s="1"/>
  <c r="AA242" i="1"/>
  <c r="AB242" i="1" s="1"/>
  <c r="AA244" i="1"/>
  <c r="AB244" i="1" s="1"/>
  <c r="AA246" i="1"/>
  <c r="AB246" i="1" s="1"/>
  <c r="AA248" i="1"/>
  <c r="AB248" i="1" s="1"/>
  <c r="AA250" i="1"/>
  <c r="AB250" i="1" s="1"/>
  <c r="AA252" i="1"/>
  <c r="AB252" i="1" s="1"/>
  <c r="AA254" i="1"/>
  <c r="AB254" i="1" s="1"/>
  <c r="AA256" i="1"/>
  <c r="AB256" i="1" s="1"/>
  <c r="AA258" i="1"/>
  <c r="AB258" i="1" s="1"/>
  <c r="AA260" i="1"/>
  <c r="AB260" i="1" s="1"/>
  <c r="AA262" i="1"/>
  <c r="AB262" i="1" s="1"/>
  <c r="AA268" i="1"/>
  <c r="AB268" i="1" s="1"/>
  <c r="AA271" i="1"/>
  <c r="AB271" i="1" s="1"/>
  <c r="AA277" i="1"/>
  <c r="AB277" i="1" s="1"/>
  <c r="AA280" i="1"/>
  <c r="AB280" i="1" s="1"/>
  <c r="AA283" i="1"/>
  <c r="AB283" i="1" s="1"/>
  <c r="AA286" i="1"/>
  <c r="AB286" i="1" s="1"/>
  <c r="AA289" i="1"/>
  <c r="AB289" i="1" s="1"/>
  <c r="AA292" i="1"/>
  <c r="AB292" i="1" s="1"/>
  <c r="AB293" i="1"/>
  <c r="AA295" i="1"/>
  <c r="AB295" i="1" s="1"/>
  <c r="AA297" i="1"/>
  <c r="AB297" i="1" s="1"/>
  <c r="AA299" i="1"/>
  <c r="AB299" i="1" s="1"/>
  <c r="AA301" i="1"/>
  <c r="AB301" i="1" s="1"/>
  <c r="AA303" i="1"/>
  <c r="AB303" i="1" s="1"/>
  <c r="AA305" i="1"/>
  <c r="AB305" i="1" s="1"/>
  <c r="AA307" i="1"/>
  <c r="AB307" i="1" s="1"/>
  <c r="AA309" i="1"/>
  <c r="AB309" i="1" s="1"/>
  <c r="AA311" i="1"/>
  <c r="AB311" i="1" s="1"/>
  <c r="AA313" i="1"/>
  <c r="AB313" i="1" s="1"/>
  <c r="AA315" i="1"/>
  <c r="AB315" i="1" s="1"/>
  <c r="AA317" i="1"/>
  <c r="AB317" i="1" s="1"/>
  <c r="AA319" i="1"/>
  <c r="AB319" i="1" s="1"/>
  <c r="AA325" i="1"/>
  <c r="AB325" i="1" s="1"/>
  <c r="AA327" i="1"/>
  <c r="AB327" i="1" s="1"/>
  <c r="AA329" i="1"/>
  <c r="AB329" i="1" s="1"/>
  <c r="AA331" i="1"/>
  <c r="AB331" i="1" s="1"/>
  <c r="AA333" i="1"/>
  <c r="AB333" i="1" s="1"/>
  <c r="AA335" i="1"/>
  <c r="AB335" i="1" s="1"/>
  <c r="AA337" i="1"/>
  <c r="AB337" i="1" s="1"/>
  <c r="AA339" i="1"/>
  <c r="AB339" i="1" s="1"/>
  <c r="AA341" i="1"/>
  <c r="AB341" i="1" s="1"/>
  <c r="AA343" i="1"/>
  <c r="AB343" i="1" s="1"/>
  <c r="AA345" i="1"/>
  <c r="AB345" i="1" s="1"/>
  <c r="AA347" i="1"/>
  <c r="AB347" i="1" s="1"/>
  <c r="AA349" i="1"/>
  <c r="AB349" i="1" s="1"/>
  <c r="AA351" i="1"/>
  <c r="AB351" i="1" s="1"/>
  <c r="AA353" i="1"/>
  <c r="AB353" i="1" s="1"/>
  <c r="AA355" i="1"/>
  <c r="AB355" i="1" s="1"/>
  <c r="AA357" i="1"/>
  <c r="AB357" i="1" s="1"/>
  <c r="AA359" i="1"/>
  <c r="AB359" i="1" s="1"/>
  <c r="AA361" i="1"/>
  <c r="AB361" i="1" s="1"/>
  <c r="AA363" i="1"/>
  <c r="AB363" i="1" s="1"/>
  <c r="AA365" i="1"/>
  <c r="AB365" i="1" s="1"/>
  <c r="AA367" i="1"/>
  <c r="AB367" i="1" s="1"/>
  <c r="AA369" i="1"/>
  <c r="AB369" i="1" s="1"/>
  <c r="AA371" i="1"/>
  <c r="AB371" i="1" s="1"/>
  <c r="AA373" i="1"/>
  <c r="AB373" i="1" s="1"/>
  <c r="AA375" i="1"/>
  <c r="AB375" i="1" s="1"/>
  <c r="AA378" i="1"/>
  <c r="AB378" i="1" s="1"/>
  <c r="AA380" i="1"/>
  <c r="AB380" i="1" s="1"/>
  <c r="AA382" i="1"/>
  <c r="AB382" i="1" s="1"/>
  <c r="AA384" i="1"/>
  <c r="AB384" i="1" s="1"/>
  <c r="AA386" i="1"/>
  <c r="AB386" i="1" s="1"/>
  <c r="AA388" i="1"/>
  <c r="AB388" i="1" s="1"/>
  <c r="AA390" i="1"/>
  <c r="AB390" i="1" s="1"/>
  <c r="AA392" i="1"/>
  <c r="AB392" i="1" s="1"/>
  <c r="AA394" i="1"/>
  <c r="AB394" i="1" s="1"/>
  <c r="AA396" i="1"/>
  <c r="AB396" i="1" s="1"/>
  <c r="AA398" i="1"/>
  <c r="AB398" i="1" s="1"/>
  <c r="AA400" i="1"/>
  <c r="AB400" i="1" s="1"/>
  <c r="AA402" i="1"/>
  <c r="AB402" i="1" s="1"/>
  <c r="AA404" i="1"/>
  <c r="AB404" i="1" s="1"/>
  <c r="AA406" i="1"/>
  <c r="AB406" i="1" s="1"/>
  <c r="AA408" i="1"/>
  <c r="AB408" i="1" s="1"/>
  <c r="AA410" i="1"/>
  <c r="AB410" i="1" s="1"/>
  <c r="AA412" i="1"/>
  <c r="AB412" i="1" s="1"/>
  <c r="AA414" i="1"/>
  <c r="AB414" i="1" s="1"/>
  <c r="AA416" i="1"/>
  <c r="AB416" i="1" s="1"/>
  <c r="AA418" i="1"/>
  <c r="AB418" i="1" s="1"/>
  <c r="AA420" i="1"/>
  <c r="AB420" i="1" s="1"/>
  <c r="AA422" i="1"/>
  <c r="AB422" i="1" s="1"/>
  <c r="AA424" i="1"/>
  <c r="AB424" i="1" s="1"/>
  <c r="AA426" i="1"/>
  <c r="AB426" i="1" s="1"/>
  <c r="AA428" i="1"/>
  <c r="AB428" i="1" s="1"/>
  <c r="AA430" i="1"/>
  <c r="AB430" i="1" s="1"/>
  <c r="AA432" i="1"/>
  <c r="AB432" i="1" s="1"/>
  <c r="AA434" i="1"/>
  <c r="AB434" i="1" s="1"/>
  <c r="AA436" i="1"/>
  <c r="AB436" i="1" s="1"/>
  <c r="AA438" i="1"/>
  <c r="AB438" i="1" s="1"/>
  <c r="AA440" i="1"/>
  <c r="AB440" i="1" s="1"/>
  <c r="AA442" i="1"/>
  <c r="AB442" i="1" s="1"/>
  <c r="AA444" i="1"/>
  <c r="AB444" i="1" s="1"/>
  <c r="AA446" i="1"/>
  <c r="AB446" i="1" s="1"/>
  <c r="AA448" i="1"/>
  <c r="AB448" i="1" s="1"/>
  <c r="AA450" i="1"/>
  <c r="AB450" i="1" s="1"/>
  <c r="AA452" i="1"/>
  <c r="AB452" i="1" s="1"/>
  <c r="AA454" i="1"/>
  <c r="AB454" i="1" s="1"/>
  <c r="AA456" i="1"/>
  <c r="AB456" i="1" s="1"/>
  <c r="AA458" i="1"/>
  <c r="AB458" i="1" s="1"/>
  <c r="AA460" i="1"/>
  <c r="AB460" i="1" s="1"/>
  <c r="AA468" i="1"/>
  <c r="AB468" i="1" s="1"/>
  <c r="AA470" i="1"/>
  <c r="AB470" i="1" s="1"/>
  <c r="AA472" i="1"/>
  <c r="AB472" i="1" s="1"/>
  <c r="AA474" i="1"/>
  <c r="AB474" i="1" s="1"/>
  <c r="AA480" i="1"/>
  <c r="AB480" i="1" s="1"/>
  <c r="AA482" i="1"/>
  <c r="AB482" i="1" s="1"/>
  <c r="AA484" i="1"/>
  <c r="AB484" i="1" s="1"/>
  <c r="AA486" i="1"/>
  <c r="AB486" i="1" s="1"/>
  <c r="AA488" i="1"/>
  <c r="AB488" i="1" s="1"/>
  <c r="AA492" i="1"/>
  <c r="AB492" i="1" s="1"/>
  <c r="AA494" i="1"/>
  <c r="AB494" i="1" s="1"/>
  <c r="AA496" i="1"/>
  <c r="AB496" i="1" s="1"/>
  <c r="AA498" i="1"/>
  <c r="AB498" i="1" s="1"/>
  <c r="AA500" i="1"/>
  <c r="AB500" i="1" s="1"/>
  <c r="AA502" i="1"/>
  <c r="AB502" i="1" s="1"/>
  <c r="AA504" i="1"/>
  <c r="AB504" i="1" s="1"/>
  <c r="AA506" i="1"/>
  <c r="AB506" i="1" s="1"/>
  <c r="AA508" i="1"/>
  <c r="AB508" i="1" s="1"/>
  <c r="AA510" i="1"/>
  <c r="AB510" i="1" s="1"/>
  <c r="AA512" i="1"/>
  <c r="AB512" i="1" s="1"/>
  <c r="AA514" i="1"/>
  <c r="AB514" i="1" s="1"/>
  <c r="AA516" i="1"/>
  <c r="AB516" i="1" s="1"/>
  <c r="AA518" i="1"/>
  <c r="AB518" i="1" s="1"/>
  <c r="AA520" i="1"/>
  <c r="AB520" i="1" s="1"/>
  <c r="AA522" i="1"/>
  <c r="AB522" i="1" s="1"/>
  <c r="AA524" i="1"/>
  <c r="AB524" i="1" s="1"/>
  <c r="AA526" i="1"/>
  <c r="AB526" i="1" s="1"/>
  <c r="AA528" i="1"/>
  <c r="AB528" i="1" s="1"/>
  <c r="AA530" i="1"/>
  <c r="AB530" i="1" s="1"/>
  <c r="AA532" i="1"/>
  <c r="AB532" i="1" s="1"/>
  <c r="AA534" i="1"/>
  <c r="AB534" i="1" s="1"/>
  <c r="AA536" i="1"/>
  <c r="AB536" i="1" s="1"/>
  <c r="AA538" i="1"/>
  <c r="AB538" i="1" s="1"/>
  <c r="AA542" i="1"/>
  <c r="AB542" i="1" s="1"/>
  <c r="AA546" i="1"/>
  <c r="AB546" i="1" s="1"/>
  <c r="AA550" i="1"/>
  <c r="AB550" i="1" s="1"/>
  <c r="AA554" i="1"/>
  <c r="AB554" i="1" s="1"/>
  <c r="AA558" i="1"/>
  <c r="AB558" i="1" s="1"/>
  <c r="AA560" i="1"/>
  <c r="AB560" i="1" s="1"/>
  <c r="AA562" i="1"/>
  <c r="AB562" i="1" s="1"/>
  <c r="AA564" i="1"/>
  <c r="AB564" i="1" s="1"/>
  <c r="AA566" i="1"/>
  <c r="AB566" i="1" s="1"/>
  <c r="AA568" i="1"/>
  <c r="AB568" i="1" s="1"/>
  <c r="AA570" i="1"/>
  <c r="AB570" i="1" s="1"/>
  <c r="AA572" i="1"/>
  <c r="AB572" i="1" s="1"/>
  <c r="AA574" i="1"/>
  <c r="AB574" i="1" s="1"/>
  <c r="AA576" i="1"/>
  <c r="AB576" i="1" s="1"/>
  <c r="AA578" i="1"/>
  <c r="AB578" i="1" s="1"/>
  <c r="AA580" i="1"/>
  <c r="AB580" i="1" s="1"/>
  <c r="AA582" i="1"/>
  <c r="AB582" i="1" s="1"/>
  <c r="AA584" i="1"/>
  <c r="AB584" i="1" s="1"/>
  <c r="AA586" i="1"/>
  <c r="AB586" i="1" s="1"/>
  <c r="AA588" i="1"/>
  <c r="AB588" i="1" s="1"/>
  <c r="AA590" i="1"/>
  <c r="AB590" i="1" s="1"/>
  <c r="AA592" i="1"/>
  <c r="AB592" i="1" s="1"/>
  <c r="AA594" i="1"/>
  <c r="AB594" i="1" s="1"/>
  <c r="AA596" i="1"/>
  <c r="AB596" i="1" s="1"/>
  <c r="AA598" i="1"/>
  <c r="AB598" i="1" s="1"/>
  <c r="AA600" i="1"/>
  <c r="AB600" i="1" s="1"/>
  <c r="AA602" i="1"/>
  <c r="AB602" i="1" s="1"/>
  <c r="AA604" i="1"/>
  <c r="AB604" i="1" s="1"/>
  <c r="AA606" i="1"/>
  <c r="AB606" i="1" s="1"/>
  <c r="AA608" i="1"/>
  <c r="AB608" i="1" s="1"/>
  <c r="AA610" i="1"/>
  <c r="AB610" i="1" s="1"/>
  <c r="AA612" i="1"/>
  <c r="AB612" i="1" s="1"/>
  <c r="AA614" i="1"/>
  <c r="AB614" i="1" s="1"/>
  <c r="AA616" i="1"/>
  <c r="AB616" i="1" s="1"/>
  <c r="AA618" i="1"/>
  <c r="AB618" i="1" s="1"/>
  <c r="AA620" i="1"/>
  <c r="AB620" i="1" s="1"/>
  <c r="AA622" i="1"/>
  <c r="AB622" i="1" s="1"/>
  <c r="AA624" i="1"/>
  <c r="AB624" i="1" s="1"/>
  <c r="AA626" i="1"/>
  <c r="AB626" i="1" s="1"/>
  <c r="AA628" i="1"/>
  <c r="AB628" i="1" s="1"/>
  <c r="AA630" i="1"/>
  <c r="AB630" i="1" s="1"/>
  <c r="AA632" i="1"/>
  <c r="AB632" i="1" s="1"/>
  <c r="AA634" i="1"/>
  <c r="AB634" i="1" s="1"/>
  <c r="AA636" i="1"/>
  <c r="AB636" i="1" s="1"/>
  <c r="AA638" i="1"/>
  <c r="AB638" i="1" s="1"/>
  <c r="AA640" i="1"/>
  <c r="AB640" i="1" s="1"/>
  <c r="AA642" i="1"/>
  <c r="AB642" i="1" s="1"/>
  <c r="AA648" i="1"/>
  <c r="AB648" i="1" s="1"/>
  <c r="AA650" i="1"/>
  <c r="AB650" i="1" s="1"/>
  <c r="AA652" i="1"/>
  <c r="AB652" i="1" s="1"/>
  <c r="AA654" i="1"/>
  <c r="AB654" i="1" s="1"/>
  <c r="AA656" i="1"/>
  <c r="AB656" i="1" s="1"/>
  <c r="AA658" i="1"/>
  <c r="AB658" i="1" s="1"/>
  <c r="AA660" i="1"/>
  <c r="AB660" i="1" s="1"/>
  <c r="AA665" i="1"/>
  <c r="AB665" i="1" s="1"/>
  <c r="AA668" i="1"/>
  <c r="AB668" i="1" s="1"/>
  <c r="AA671" i="1"/>
  <c r="AB671" i="1" s="1"/>
  <c r="AA674" i="1"/>
  <c r="AB674" i="1" s="1"/>
  <c r="AA680" i="1"/>
  <c r="AB680" i="1" s="1"/>
  <c r="AA683" i="1"/>
  <c r="AB683" i="1" s="1"/>
  <c r="AA686" i="1"/>
  <c r="AB686" i="1" s="1"/>
  <c r="AA690" i="1"/>
  <c r="AB690" i="1" s="1"/>
  <c r="AA692" i="1"/>
  <c r="AB692" i="1" s="1"/>
  <c r="AA694" i="1"/>
  <c r="AB694" i="1" s="1"/>
  <c r="AA696" i="1"/>
  <c r="AB696" i="1" s="1"/>
  <c r="AA698" i="1"/>
  <c r="AB698" i="1" s="1"/>
  <c r="AA700" i="1"/>
  <c r="AB700" i="1" s="1"/>
  <c r="AA702" i="1"/>
  <c r="AB702" i="1" s="1"/>
  <c r="AA704" i="1"/>
  <c r="AB704" i="1" s="1"/>
  <c r="AA706" i="1"/>
  <c r="AB706" i="1" s="1"/>
  <c r="AA708" i="1"/>
  <c r="AB708" i="1" s="1"/>
  <c r="AA710" i="1"/>
  <c r="AB710" i="1" s="1"/>
  <c r="AA712" i="1"/>
  <c r="AB712" i="1" s="1"/>
  <c r="AA714" i="1"/>
  <c r="AB714" i="1" s="1"/>
  <c r="AA716" i="1"/>
  <c r="AB716" i="1" s="1"/>
  <c r="AA718" i="1"/>
  <c r="AB718" i="1" s="1"/>
  <c r="AA720" i="1"/>
  <c r="AB720" i="1" s="1"/>
  <c r="AA722" i="1"/>
  <c r="AB722" i="1" s="1"/>
  <c r="AA724" i="1"/>
  <c r="AB724" i="1" s="1"/>
  <c r="AA726" i="1"/>
  <c r="AB726" i="1" s="1"/>
  <c r="AA728" i="1"/>
  <c r="AB728" i="1" s="1"/>
  <c r="AA730" i="1"/>
  <c r="AB730" i="1" s="1"/>
  <c r="AA732" i="1"/>
  <c r="AB732" i="1" s="1"/>
  <c r="AA734" i="1"/>
  <c r="AB734" i="1" s="1"/>
  <c r="AA736" i="1"/>
  <c r="AB736" i="1" s="1"/>
  <c r="AA740" i="1"/>
  <c r="AB740" i="1" s="1"/>
  <c r="AA742" i="1"/>
  <c r="AB742" i="1" s="1"/>
  <c r="AA744" i="1"/>
  <c r="AB744" i="1" s="1"/>
  <c r="AA746" i="1"/>
  <c r="AB746" i="1" s="1"/>
  <c r="AA748" i="1"/>
  <c r="AB748" i="1" s="1"/>
  <c r="AA752" i="1"/>
  <c r="AB752" i="1" s="1"/>
  <c r="AA754" i="1"/>
  <c r="AB754" i="1" s="1"/>
  <c r="AA756" i="1"/>
  <c r="AB756" i="1" s="1"/>
  <c r="AA758" i="1"/>
  <c r="AB758" i="1" s="1"/>
  <c r="AA760" i="1"/>
  <c r="AB760" i="1" s="1"/>
  <c r="AA762" i="1"/>
  <c r="AB762" i="1" s="1"/>
  <c r="AA764" i="1"/>
  <c r="AB764" i="1" s="1"/>
  <c r="AA766" i="1"/>
  <c r="AB766" i="1" s="1"/>
  <c r="AA768" i="1"/>
  <c r="AB768" i="1" s="1"/>
  <c r="AA770" i="1"/>
  <c r="AB770" i="1" s="1"/>
  <c r="AA772" i="1"/>
  <c r="AB772" i="1" s="1"/>
  <c r="AA774" i="1"/>
  <c r="AB774" i="1" s="1"/>
  <c r="AA776" i="1"/>
  <c r="AB776" i="1" s="1"/>
  <c r="AA778" i="1"/>
  <c r="AB778" i="1" s="1"/>
  <c r="AA783" i="1"/>
  <c r="AB783" i="1" s="1"/>
  <c r="AA786" i="1"/>
  <c r="AB786" i="1" s="1"/>
  <c r="AA789" i="1"/>
  <c r="AB789" i="1" s="1"/>
  <c r="AA792" i="1"/>
  <c r="AB792" i="1" s="1"/>
  <c r="AA795" i="1"/>
  <c r="AB795" i="1" s="1"/>
  <c r="AA798" i="1"/>
  <c r="AB798" i="1" s="1"/>
  <c r="AA801" i="1"/>
  <c r="AB801" i="1" s="1"/>
  <c r="AA813" i="1"/>
  <c r="AB813" i="1" s="1"/>
  <c r="AA816" i="1"/>
  <c r="AB816" i="1" s="1"/>
  <c r="AA819" i="1"/>
  <c r="AB819" i="1" s="1"/>
  <c r="AA823" i="1"/>
  <c r="AB823" i="1" s="1"/>
  <c r="AA825" i="1"/>
  <c r="AB825" i="1" s="1"/>
  <c r="AA827" i="1"/>
  <c r="AB827" i="1" s="1"/>
  <c r="AA829" i="1"/>
  <c r="AB829" i="1" s="1"/>
  <c r="AA831" i="1"/>
  <c r="AB831" i="1" s="1"/>
  <c r="AA833" i="1"/>
  <c r="AB833" i="1" s="1"/>
  <c r="AA835" i="1"/>
  <c r="AB835" i="1" s="1"/>
  <c r="AA837" i="1"/>
  <c r="AB837" i="1" s="1"/>
  <c r="AA839" i="1"/>
  <c r="AB839" i="1" s="1"/>
  <c r="AA841" i="1"/>
  <c r="AB841" i="1" s="1"/>
  <c r="AA843" i="1"/>
  <c r="AB843" i="1" s="1"/>
  <c r="AA845" i="1"/>
  <c r="AB845" i="1" s="1"/>
  <c r="AA850" i="1"/>
  <c r="AB850" i="1" s="1"/>
  <c r="AA855" i="1"/>
  <c r="AB855" i="1" s="1"/>
  <c r="AA857" i="1"/>
  <c r="AB857" i="1" s="1"/>
  <c r="AA859" i="1"/>
  <c r="AB859" i="1" s="1"/>
  <c r="AA861" i="1"/>
  <c r="AB861" i="1" s="1"/>
  <c r="AA863" i="1"/>
  <c r="AB863" i="1" s="1"/>
  <c r="AA865" i="1"/>
  <c r="AB865" i="1" s="1"/>
  <c r="AA869" i="1"/>
  <c r="AB869" i="1" s="1"/>
  <c r="AA871" i="1"/>
  <c r="AB871" i="1" s="1"/>
  <c r="AA873" i="1"/>
  <c r="AB873" i="1" s="1"/>
  <c r="AA875" i="1"/>
  <c r="AB875" i="1" s="1"/>
  <c r="AA877" i="1"/>
  <c r="AB877" i="1" s="1"/>
  <c r="AA879" i="1"/>
  <c r="AB879" i="1" s="1"/>
  <c r="AA881" i="1"/>
  <c r="AB881" i="1" s="1"/>
  <c r="AA883" i="1"/>
  <c r="AB883" i="1" s="1"/>
  <c r="AA886" i="1"/>
  <c r="AB886" i="1" s="1"/>
  <c r="AA889" i="1"/>
  <c r="AB889" i="1" s="1"/>
  <c r="AA892" i="1"/>
  <c r="AB892" i="1" s="1"/>
  <c r="AA895" i="1"/>
  <c r="AB895" i="1" s="1"/>
  <c r="AA898" i="1"/>
  <c r="AB898" i="1" s="1"/>
  <c r="AA900" i="1"/>
  <c r="AB900" i="1" s="1"/>
  <c r="AA902" i="1"/>
  <c r="AB902" i="1" s="1"/>
  <c r="AA904" i="1"/>
  <c r="AB904" i="1" s="1"/>
  <c r="AA906" i="1"/>
  <c r="AB906" i="1" s="1"/>
  <c r="AA908" i="1"/>
  <c r="AB908" i="1" s="1"/>
  <c r="AA910" i="1"/>
  <c r="AB910" i="1" s="1"/>
  <c r="AA912" i="1"/>
  <c r="AB912" i="1" s="1"/>
  <c r="AA914" i="1"/>
  <c r="AB914" i="1" s="1"/>
  <c r="AA916" i="1"/>
  <c r="AB916" i="1" s="1"/>
  <c r="AA920" i="1"/>
  <c r="AB920" i="1" s="1"/>
  <c r="AA922" i="1"/>
  <c r="AB922" i="1" s="1"/>
  <c r="AA924" i="1"/>
  <c r="AB924" i="1" s="1"/>
  <c r="AA926" i="1"/>
  <c r="AB926" i="1" s="1"/>
  <c r="AA928" i="1"/>
  <c r="AB928" i="1" s="1"/>
  <c r="AA930" i="1"/>
  <c r="AB930" i="1" s="1"/>
  <c r="AA932" i="1"/>
  <c r="AB932" i="1" s="1"/>
  <c r="AA934" i="1"/>
  <c r="AB934" i="1" s="1"/>
  <c r="AA936" i="1"/>
  <c r="AB936" i="1" s="1"/>
  <c r="AA938" i="1"/>
  <c r="AB938" i="1" s="1"/>
  <c r="AA940" i="1"/>
  <c r="AB940" i="1" s="1"/>
  <c r="AA942" i="1"/>
  <c r="AB942" i="1" s="1"/>
  <c r="AA944" i="1"/>
  <c r="AB944" i="1" s="1"/>
  <c r="AA946" i="1"/>
  <c r="AB946" i="1" s="1"/>
  <c r="Y6" i="1"/>
  <c r="Y7" i="1"/>
  <c r="Y8" i="1"/>
  <c r="Y9" i="1"/>
  <c r="Y10" i="1"/>
  <c r="Y11" i="1"/>
  <c r="Y12" i="1"/>
  <c r="Y13" i="1"/>
  <c r="Y14" i="1"/>
  <c r="Y15" i="1"/>
  <c r="Y16" i="1"/>
  <c r="Y17" i="1"/>
  <c r="Y18" i="1"/>
  <c r="Y19" i="1"/>
  <c r="Y20" i="1"/>
  <c r="Y21" i="1"/>
  <c r="Y22" i="1"/>
  <c r="Y23" i="1"/>
  <c r="Y24" i="1"/>
  <c r="Y25" i="1"/>
  <c r="Y26" i="1"/>
  <c r="Y27" i="1"/>
  <c r="Y30" i="1"/>
  <c r="Y31" i="1"/>
  <c r="Y33"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5" i="1"/>
  <c r="Y66" i="1"/>
  <c r="Y67" i="1"/>
  <c r="Y68" i="1"/>
  <c r="Y69" i="1"/>
  <c r="Y70" i="1"/>
  <c r="Y71" i="1"/>
  <c r="Y72" i="1"/>
  <c r="Y73" i="1"/>
  <c r="Y74" i="1"/>
  <c r="Y75" i="1"/>
  <c r="Y76" i="1"/>
  <c r="Y77" i="1"/>
  <c r="Y78" i="1"/>
  <c r="Y81" i="1"/>
  <c r="Y82" i="1"/>
  <c r="Y83" i="1"/>
  <c r="Y84" i="1"/>
  <c r="Y85" i="1"/>
  <c r="Y86" i="1"/>
  <c r="Y87" i="1"/>
  <c r="Y88" i="1"/>
  <c r="Y89" i="1"/>
  <c r="Y90" i="1"/>
  <c r="Y91" i="1"/>
  <c r="Y92" i="1"/>
  <c r="Y93" i="1"/>
  <c r="Y94" i="1"/>
  <c r="Y95" i="1"/>
  <c r="Y96" i="1"/>
  <c r="Y97" i="1"/>
  <c r="Y98" i="1"/>
  <c r="Y99" i="1"/>
  <c r="Y100"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31" i="1"/>
  <c r="Y132" i="1"/>
  <c r="Y133" i="1"/>
  <c r="Y134" i="1"/>
  <c r="Y135" i="1"/>
  <c r="Y136" i="1"/>
  <c r="Y137" i="1"/>
  <c r="Y138" i="1"/>
  <c r="Y139" i="1"/>
  <c r="Y140" i="1"/>
  <c r="Y142" i="1"/>
  <c r="Y143" i="1"/>
  <c r="Y144" i="1"/>
  <c r="Y145" i="1"/>
  <c r="Y146" i="1"/>
  <c r="Y149" i="1"/>
  <c r="Y150" i="1"/>
  <c r="Y151" i="1"/>
  <c r="Y152" i="1"/>
  <c r="Y153" i="1"/>
  <c r="Y154" i="1"/>
  <c r="Y155" i="1"/>
  <c r="Y156" i="1"/>
  <c r="Y157" i="1"/>
  <c r="Y158" i="1"/>
  <c r="Y159" i="1"/>
  <c r="Y160" i="1"/>
  <c r="Y161" i="1"/>
  <c r="Y162" i="1"/>
  <c r="Y163" i="1"/>
  <c r="Y164" i="1"/>
  <c r="Y165" i="1"/>
  <c r="Y166" i="1"/>
  <c r="Y169" i="1"/>
  <c r="Y170"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8" i="1"/>
  <c r="Y239"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7" i="1"/>
  <c r="Y438" i="1"/>
  <c r="Y439" i="1"/>
  <c r="Y440" i="1"/>
  <c r="Y441" i="1"/>
  <c r="Y442" i="1"/>
  <c r="Y443" i="1"/>
  <c r="Y444" i="1"/>
  <c r="Y445" i="1"/>
  <c r="Y446" i="1"/>
  <c r="Y447" i="1"/>
  <c r="Y448" i="1"/>
  <c r="Y449" i="1"/>
  <c r="Y450" i="1"/>
  <c r="Y451" i="1"/>
  <c r="Y452" i="1"/>
  <c r="Y453" i="1"/>
  <c r="Y454" i="1"/>
  <c r="Y455" i="1"/>
  <c r="Y456" i="1"/>
  <c r="Y457" i="1"/>
  <c r="Y458" i="1"/>
  <c r="Y459" i="1"/>
  <c r="Y460" i="1"/>
  <c r="Y467" i="1"/>
  <c r="Y468" i="1"/>
  <c r="Y469" i="1"/>
  <c r="Y470" i="1"/>
  <c r="Y471" i="1"/>
  <c r="Y472" i="1"/>
  <c r="Y473" i="1"/>
  <c r="Y474"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7" i="1"/>
  <c r="Y648" i="1"/>
  <c r="Y649" i="1"/>
  <c r="Y650" i="1"/>
  <c r="Y651" i="1"/>
  <c r="Y652" i="1"/>
  <c r="Y653" i="1"/>
  <c r="Y654" i="1"/>
  <c r="Y655" i="1"/>
  <c r="Y656" i="1"/>
  <c r="Y657" i="1"/>
  <c r="Y658" i="1"/>
  <c r="Y659" i="1"/>
  <c r="Y660" i="1"/>
  <c r="Y664" i="1"/>
  <c r="Y665" i="1"/>
  <c r="Y666" i="1"/>
  <c r="Y667" i="1"/>
  <c r="Y668" i="1"/>
  <c r="Y669" i="1"/>
  <c r="Y670" i="1"/>
  <c r="Y671" i="1"/>
  <c r="Y672" i="1"/>
  <c r="Y673" i="1"/>
  <c r="Y674" i="1"/>
  <c r="Y675" i="1"/>
  <c r="Y679" i="1"/>
  <c r="Y680" i="1"/>
  <c r="Y681" i="1"/>
  <c r="Y682" i="1"/>
  <c r="Y683" i="1"/>
  <c r="Y684" i="1"/>
  <c r="Y685" i="1"/>
  <c r="Y686"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9" i="1"/>
  <c r="Y740" i="1"/>
  <c r="Y741" i="1"/>
  <c r="Y742" i="1"/>
  <c r="Y743" i="1"/>
  <c r="Y744" i="1"/>
  <c r="Y745" i="1"/>
  <c r="Y746" i="1"/>
  <c r="Y747" i="1"/>
  <c r="Y748"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82" i="1"/>
  <c r="Y783" i="1"/>
  <c r="Y784" i="1"/>
  <c r="Y785" i="1"/>
  <c r="Y786" i="1"/>
  <c r="Y787" i="1"/>
  <c r="Y788" i="1"/>
  <c r="Y789" i="1"/>
  <c r="Y790" i="1"/>
  <c r="Y791" i="1"/>
  <c r="Y792" i="1"/>
  <c r="Y793" i="1"/>
  <c r="Y794" i="1"/>
  <c r="Y795" i="1"/>
  <c r="Y796" i="1"/>
  <c r="Y797" i="1"/>
  <c r="Y798" i="1"/>
  <c r="Y799" i="1"/>
  <c r="Y800" i="1"/>
  <c r="Y801" i="1"/>
  <c r="Y802" i="1"/>
  <c r="Y812" i="1"/>
  <c r="Y813" i="1"/>
  <c r="Y814" i="1"/>
  <c r="Y815" i="1"/>
  <c r="Y816" i="1"/>
  <c r="Y817" i="1"/>
  <c r="Y818" i="1"/>
  <c r="Y822" i="1"/>
  <c r="Y823" i="1"/>
  <c r="Y824" i="1"/>
  <c r="Y825" i="1"/>
  <c r="Y826" i="1"/>
  <c r="Y827" i="1"/>
  <c r="Y828" i="1"/>
  <c r="Y829" i="1"/>
  <c r="Y830" i="1"/>
  <c r="Y831" i="1"/>
  <c r="Y832" i="1"/>
  <c r="Y833" i="1"/>
  <c r="Y834" i="1"/>
  <c r="Y835" i="1"/>
  <c r="Y836" i="1"/>
  <c r="Y837" i="1"/>
  <c r="Y838" i="1"/>
  <c r="Y839" i="1"/>
  <c r="Y840" i="1"/>
  <c r="Y841" i="1"/>
  <c r="Y842" i="1"/>
  <c r="Y843" i="1"/>
  <c r="Y844" i="1"/>
  <c r="Y845" i="1"/>
  <c r="Y849" i="1"/>
  <c r="Y850" i="1"/>
  <c r="Y851" i="1"/>
  <c r="Y854" i="1"/>
  <c r="Y855" i="1"/>
  <c r="Y856" i="1"/>
  <c r="Y857" i="1"/>
  <c r="Y858" i="1"/>
  <c r="Y859" i="1"/>
  <c r="Y860" i="1"/>
  <c r="Y861" i="1"/>
  <c r="Y862" i="1"/>
  <c r="Y863" i="1"/>
  <c r="Y864" i="1"/>
  <c r="Y865"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9" i="1"/>
  <c r="Y920"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X6" i="1"/>
  <c r="X7" i="1"/>
  <c r="X8" i="1"/>
  <c r="X9" i="1"/>
  <c r="X10" i="1"/>
  <c r="X11" i="1"/>
  <c r="X12" i="1"/>
  <c r="X13" i="1"/>
  <c r="X14" i="1"/>
  <c r="X15" i="1"/>
  <c r="X16" i="1"/>
  <c r="X17" i="1"/>
  <c r="X18" i="1"/>
  <c r="X19" i="1"/>
  <c r="X20" i="1"/>
  <c r="X21" i="1"/>
  <c r="X22" i="1"/>
  <c r="X23" i="1"/>
  <c r="X24" i="1"/>
  <c r="X25" i="1"/>
  <c r="X26" i="1"/>
  <c r="X27" i="1"/>
  <c r="X30" i="1"/>
  <c r="X31" i="1"/>
  <c r="Z31" i="1" s="1"/>
  <c r="X33" i="1"/>
  <c r="X34" i="1"/>
  <c r="X35" i="1"/>
  <c r="Z35" i="1" s="1"/>
  <c r="X36" i="1"/>
  <c r="X37" i="1"/>
  <c r="X38" i="1"/>
  <c r="Z38" i="1" s="1"/>
  <c r="X39" i="1"/>
  <c r="X40" i="1"/>
  <c r="X41" i="1"/>
  <c r="Z41" i="1" s="1"/>
  <c r="X42" i="1"/>
  <c r="X43" i="1"/>
  <c r="X44" i="1"/>
  <c r="Z44" i="1" s="1"/>
  <c r="X45" i="1"/>
  <c r="X46" i="1"/>
  <c r="X47" i="1"/>
  <c r="X48" i="1"/>
  <c r="X49" i="1"/>
  <c r="X50" i="1"/>
  <c r="X51" i="1"/>
  <c r="X52" i="1"/>
  <c r="X53" i="1"/>
  <c r="X54" i="1"/>
  <c r="X55" i="1"/>
  <c r="X56" i="1"/>
  <c r="X57" i="1"/>
  <c r="X58" i="1"/>
  <c r="X59" i="1"/>
  <c r="X60" i="1"/>
  <c r="X61" i="1"/>
  <c r="X62" i="1"/>
  <c r="X65" i="1"/>
  <c r="X66" i="1"/>
  <c r="X67" i="1"/>
  <c r="X68" i="1"/>
  <c r="X69" i="1"/>
  <c r="X70" i="1"/>
  <c r="X71" i="1"/>
  <c r="X72" i="1"/>
  <c r="X73" i="1"/>
  <c r="X74" i="1"/>
  <c r="X75" i="1"/>
  <c r="X76" i="1"/>
  <c r="X77" i="1"/>
  <c r="X78"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31" i="1"/>
  <c r="X132" i="1"/>
  <c r="X133" i="1"/>
  <c r="X134" i="1"/>
  <c r="X135" i="1"/>
  <c r="X136" i="1"/>
  <c r="X137" i="1"/>
  <c r="X138" i="1"/>
  <c r="X139" i="1"/>
  <c r="X140" i="1"/>
  <c r="X141" i="1"/>
  <c r="X142" i="1"/>
  <c r="X143" i="1"/>
  <c r="X144" i="1"/>
  <c r="X145" i="1"/>
  <c r="X146" i="1"/>
  <c r="X149" i="1"/>
  <c r="X150" i="1"/>
  <c r="X151" i="1"/>
  <c r="X152" i="1"/>
  <c r="X153" i="1"/>
  <c r="X154" i="1"/>
  <c r="X155" i="1"/>
  <c r="X156" i="1"/>
  <c r="X157" i="1"/>
  <c r="X158" i="1"/>
  <c r="X159" i="1"/>
  <c r="X160" i="1"/>
  <c r="X161" i="1"/>
  <c r="X162" i="1"/>
  <c r="X163" i="1"/>
  <c r="X164" i="1"/>
  <c r="X165" i="1"/>
  <c r="X166" i="1"/>
  <c r="X169" i="1"/>
  <c r="X170"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7" i="1"/>
  <c r="X468" i="1"/>
  <c r="X469" i="1"/>
  <c r="X470" i="1"/>
  <c r="X471" i="1"/>
  <c r="X472" i="1"/>
  <c r="X473" i="1"/>
  <c r="X474"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7" i="1"/>
  <c r="X648" i="1"/>
  <c r="X649" i="1"/>
  <c r="X650" i="1"/>
  <c r="X651" i="1"/>
  <c r="X652" i="1"/>
  <c r="X653" i="1"/>
  <c r="X654" i="1"/>
  <c r="X655" i="1"/>
  <c r="X656" i="1"/>
  <c r="X657" i="1"/>
  <c r="X658" i="1"/>
  <c r="X659" i="1"/>
  <c r="X660" i="1"/>
  <c r="X664" i="1"/>
  <c r="X665" i="1"/>
  <c r="X666" i="1"/>
  <c r="X667" i="1"/>
  <c r="X668" i="1"/>
  <c r="X669" i="1"/>
  <c r="X670" i="1"/>
  <c r="X671" i="1"/>
  <c r="X672" i="1"/>
  <c r="X673" i="1"/>
  <c r="X674" i="1"/>
  <c r="X675" i="1"/>
  <c r="X679" i="1"/>
  <c r="X680" i="1"/>
  <c r="X681" i="1"/>
  <c r="X682" i="1"/>
  <c r="X683" i="1"/>
  <c r="X684" i="1"/>
  <c r="X685" i="1"/>
  <c r="X686"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9" i="1"/>
  <c r="X740" i="1"/>
  <c r="X741" i="1"/>
  <c r="X742" i="1"/>
  <c r="X743" i="1"/>
  <c r="X744" i="1"/>
  <c r="X745" i="1"/>
  <c r="X746" i="1"/>
  <c r="X747" i="1"/>
  <c r="X748"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82" i="1"/>
  <c r="X783" i="1"/>
  <c r="X784" i="1"/>
  <c r="X785" i="1"/>
  <c r="X786" i="1"/>
  <c r="X787" i="1"/>
  <c r="X788" i="1"/>
  <c r="X789" i="1"/>
  <c r="X790" i="1"/>
  <c r="X791" i="1"/>
  <c r="X792" i="1"/>
  <c r="X793" i="1"/>
  <c r="X794" i="1"/>
  <c r="X795" i="1"/>
  <c r="X796" i="1"/>
  <c r="X797" i="1"/>
  <c r="X798" i="1"/>
  <c r="X799" i="1"/>
  <c r="X800" i="1"/>
  <c r="X801" i="1"/>
  <c r="X802" i="1"/>
  <c r="X812" i="1"/>
  <c r="X813" i="1"/>
  <c r="X814" i="1"/>
  <c r="X815" i="1"/>
  <c r="X816" i="1"/>
  <c r="X817" i="1"/>
  <c r="X819" i="1"/>
  <c r="X822" i="1"/>
  <c r="X823" i="1"/>
  <c r="X824" i="1"/>
  <c r="X825" i="1"/>
  <c r="X826" i="1"/>
  <c r="X827" i="1"/>
  <c r="X829" i="1"/>
  <c r="X830" i="1"/>
  <c r="X831" i="1"/>
  <c r="X832" i="1"/>
  <c r="X833" i="1"/>
  <c r="X834" i="1"/>
  <c r="X835" i="1"/>
  <c r="X836" i="1"/>
  <c r="X837" i="1"/>
  <c r="X838" i="1"/>
  <c r="X839" i="1"/>
  <c r="X840" i="1"/>
  <c r="X841" i="1"/>
  <c r="X842" i="1"/>
  <c r="X843" i="1"/>
  <c r="X844" i="1"/>
  <c r="X845" i="1"/>
  <c r="X849" i="1"/>
  <c r="X850" i="1"/>
  <c r="X851" i="1"/>
  <c r="Z851" i="1" s="1"/>
  <c r="X854" i="1"/>
  <c r="X855" i="1"/>
  <c r="X856" i="1"/>
  <c r="X857" i="1"/>
  <c r="X858" i="1"/>
  <c r="X859" i="1"/>
  <c r="X860" i="1"/>
  <c r="X861" i="1"/>
  <c r="X862" i="1"/>
  <c r="X863" i="1"/>
  <c r="X864" i="1"/>
  <c r="X865"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Z895" i="1" s="1"/>
  <c r="X896" i="1"/>
  <c r="Z896" i="1" s="1"/>
  <c r="X897" i="1"/>
  <c r="X898" i="1"/>
  <c r="X899" i="1"/>
  <c r="X900" i="1"/>
  <c r="X901" i="1"/>
  <c r="X902" i="1"/>
  <c r="X903" i="1"/>
  <c r="X904" i="1"/>
  <c r="X905" i="1"/>
  <c r="X906" i="1"/>
  <c r="X907" i="1"/>
  <c r="X908" i="1"/>
  <c r="X909" i="1"/>
  <c r="X910" i="1"/>
  <c r="X911" i="1"/>
  <c r="X912" i="1"/>
  <c r="X913" i="1"/>
  <c r="X914" i="1"/>
  <c r="X915" i="1"/>
  <c r="X916" i="1"/>
  <c r="X919" i="1"/>
  <c r="X920" i="1"/>
  <c r="X921" i="1"/>
  <c r="X922" i="1"/>
  <c r="X923" i="1"/>
  <c r="X924" i="1"/>
  <c r="X925" i="1"/>
  <c r="X926" i="1"/>
  <c r="X927" i="1"/>
  <c r="X928" i="1"/>
  <c r="X929" i="1"/>
  <c r="X930" i="1"/>
  <c r="X931" i="1"/>
  <c r="X932" i="1"/>
  <c r="X939" i="1"/>
  <c r="X940" i="1"/>
  <c r="X941" i="1"/>
  <c r="X942" i="1"/>
  <c r="X943" i="1"/>
  <c r="X944" i="1"/>
  <c r="X945" i="1"/>
  <c r="X946" i="1"/>
  <c r="X3" i="1"/>
  <c r="X4" i="1"/>
  <c r="X5" i="1"/>
  <c r="AA3" i="1"/>
  <c r="AB3" i="1" s="1"/>
  <c r="Y3" i="1"/>
  <c r="Y2" i="1"/>
  <c r="AA5" i="1"/>
  <c r="AB5" i="1" s="1"/>
  <c r="Y4" i="1"/>
  <c r="Y5" i="1"/>
  <c r="AJ931" i="1"/>
  <c r="AK931" i="1" s="1"/>
  <c r="AJ929" i="1"/>
  <c r="AK929" i="1" s="1"/>
  <c r="AJ927" i="1"/>
  <c r="AK927" i="1" s="1"/>
  <c r="AJ925" i="1"/>
  <c r="AK925" i="1" s="1"/>
  <c r="AJ923" i="1"/>
  <c r="AK923" i="1" s="1"/>
  <c r="AJ896" i="1"/>
  <c r="AK896" i="1" s="1"/>
  <c r="AJ895" i="1"/>
  <c r="AK895" i="1" s="1"/>
  <c r="AJ893" i="1"/>
  <c r="AK893" i="1" s="1"/>
  <c r="AJ892" i="1"/>
  <c r="AK892" i="1" s="1"/>
  <c r="AJ890" i="1"/>
  <c r="AK890" i="1" s="1"/>
  <c r="AJ889" i="1"/>
  <c r="AK889" i="1" s="1"/>
  <c r="AJ887" i="1"/>
  <c r="AK887" i="1" s="1"/>
  <c r="AJ886" i="1"/>
  <c r="AK886" i="1" s="1"/>
  <c r="AJ817" i="1"/>
  <c r="AK817" i="1" s="1"/>
  <c r="AJ814" i="1"/>
  <c r="AK814" i="1" s="1"/>
  <c r="AJ613" i="1"/>
  <c r="AK613" i="1" s="1"/>
  <c r="AJ611" i="1"/>
  <c r="AK611" i="1" s="1"/>
  <c r="AJ580" i="1"/>
  <c r="AK580" i="1" s="1"/>
  <c r="AJ521" i="1"/>
  <c r="AK521" i="1" s="1"/>
  <c r="AJ519" i="1"/>
  <c r="AK519" i="1" s="1"/>
  <c r="AJ517" i="1"/>
  <c r="AK517" i="1" s="1"/>
  <c r="AJ515" i="1"/>
  <c r="AK515" i="1" s="1"/>
  <c r="AJ513" i="1"/>
  <c r="AK513" i="1" s="1"/>
  <c r="AJ511" i="1"/>
  <c r="AK511" i="1" s="1"/>
  <c r="AJ224" i="1"/>
  <c r="AK224" i="1" s="1"/>
  <c r="AJ221" i="1"/>
  <c r="AK221" i="1" s="1"/>
  <c r="AJ219" i="1"/>
  <c r="AK219" i="1" s="1"/>
  <c r="AJ217" i="1"/>
  <c r="AK217" i="1" s="1"/>
  <c r="AJ204" i="1"/>
  <c r="AK204" i="1" s="1"/>
  <c r="AJ202" i="1"/>
  <c r="AK202" i="1" s="1"/>
  <c r="AJ172" i="1"/>
  <c r="AK172" i="1" s="1"/>
  <c r="AJ171" i="1"/>
  <c r="AK171" i="1" s="1"/>
  <c r="AJ44" i="1"/>
  <c r="AK44" i="1" s="1"/>
  <c r="AJ41" i="1"/>
  <c r="AK41" i="1" s="1"/>
  <c r="AJ38" i="1"/>
  <c r="AK38" i="1" s="1"/>
  <c r="AJ35" i="1"/>
  <c r="AK35" i="1" s="1"/>
  <c r="AJ32" i="1"/>
  <c r="AK32" i="1" s="1"/>
  <c r="AJ565" i="1"/>
  <c r="AK565" i="1" s="1"/>
  <c r="AJ566" i="1"/>
  <c r="AK566" i="1" s="1"/>
  <c r="AJ567" i="1"/>
  <c r="AK567" i="1" s="1"/>
  <c r="AJ568" i="1"/>
  <c r="AK568" i="1" s="1"/>
  <c r="AJ569" i="1"/>
  <c r="AK569" i="1" s="1"/>
  <c r="AJ570" i="1"/>
  <c r="AK570" i="1" s="1"/>
  <c r="AJ571" i="1"/>
  <c r="AK571" i="1" s="1"/>
  <c r="AJ572" i="1"/>
  <c r="AK572" i="1" s="1"/>
  <c r="AJ573" i="1"/>
  <c r="AK573" i="1" s="1"/>
  <c r="AJ574" i="1"/>
  <c r="AK574" i="1" s="1"/>
  <c r="AJ575" i="1"/>
  <c r="AK575" i="1" s="1"/>
  <c r="AJ576" i="1"/>
  <c r="AK576" i="1" s="1"/>
  <c r="AJ577" i="1"/>
  <c r="AK577" i="1" s="1"/>
  <c r="AJ578" i="1"/>
  <c r="AK578" i="1" s="1"/>
  <c r="AJ579" i="1"/>
  <c r="AK579" i="1" s="1"/>
  <c r="AJ581" i="1"/>
  <c r="AK581" i="1" s="1"/>
  <c r="AJ582" i="1"/>
  <c r="AK582" i="1" s="1"/>
  <c r="AJ583" i="1"/>
  <c r="AK583" i="1" s="1"/>
  <c r="AJ584" i="1"/>
  <c r="AK584" i="1" s="1"/>
  <c r="AJ585" i="1"/>
  <c r="AK585" i="1" s="1"/>
  <c r="AJ586" i="1"/>
  <c r="AK586" i="1" s="1"/>
  <c r="AJ587" i="1"/>
  <c r="AK587" i="1" s="1"/>
  <c r="AJ588" i="1"/>
  <c r="AK588" i="1" s="1"/>
  <c r="AJ589" i="1"/>
  <c r="AK589" i="1" s="1"/>
  <c r="AJ590" i="1"/>
  <c r="AK590" i="1" s="1"/>
  <c r="AJ609" i="1"/>
  <c r="AK609" i="1" s="1"/>
  <c r="AJ615" i="1"/>
  <c r="AK615" i="1" s="1"/>
  <c r="AJ616" i="1"/>
  <c r="AK616" i="1" s="1"/>
  <c r="AJ617" i="1"/>
  <c r="AK617" i="1" s="1"/>
  <c r="AJ619" i="1"/>
  <c r="AK619" i="1" s="1"/>
  <c r="AJ621" i="1"/>
  <c r="AK621" i="1" s="1"/>
  <c r="AJ623" i="1"/>
  <c r="AK623" i="1" s="1"/>
  <c r="AJ625" i="1"/>
  <c r="AK625" i="1" s="1"/>
  <c r="AJ627" i="1"/>
  <c r="AK627" i="1" s="1"/>
  <c r="AJ629" i="1"/>
  <c r="AK629" i="1" s="1"/>
  <c r="AJ631" i="1"/>
  <c r="AK631" i="1" s="1"/>
  <c r="AJ633" i="1"/>
  <c r="AK633" i="1" s="1"/>
  <c r="AJ643" i="1"/>
  <c r="AK643" i="1" s="1"/>
  <c r="AJ644" i="1"/>
  <c r="AK644" i="1" s="1"/>
  <c r="AJ645" i="1"/>
  <c r="AK645" i="1" s="1"/>
  <c r="AJ647" i="1"/>
  <c r="AK647" i="1" s="1"/>
  <c r="AJ649" i="1"/>
  <c r="AK649" i="1" s="1"/>
  <c r="AJ651" i="1"/>
  <c r="AK651" i="1" s="1"/>
  <c r="AJ653" i="1"/>
  <c r="AK653" i="1" s="1"/>
  <c r="AJ655" i="1"/>
  <c r="AK655" i="1" s="1"/>
  <c r="AJ657" i="1"/>
  <c r="AK657" i="1" s="1"/>
  <c r="AJ659" i="1"/>
  <c r="AK659" i="1" s="1"/>
  <c r="AJ661" i="1"/>
  <c r="AK661" i="1" s="1"/>
  <c r="AJ662" i="1"/>
  <c r="AK662" i="1" s="1"/>
  <c r="AJ663" i="1"/>
  <c r="AK663" i="1" s="1"/>
  <c r="AJ664" i="1"/>
  <c r="AK664" i="1" s="1"/>
  <c r="AJ665" i="1"/>
  <c r="AK665" i="1" s="1"/>
  <c r="AJ666" i="1"/>
  <c r="AK666" i="1" s="1"/>
  <c r="AJ667" i="1"/>
  <c r="AK667" i="1" s="1"/>
  <c r="AJ668" i="1"/>
  <c r="AK668" i="1" s="1"/>
  <c r="AJ669" i="1"/>
  <c r="AK669" i="1" s="1"/>
  <c r="AJ670" i="1"/>
  <c r="AK670" i="1" s="1"/>
  <c r="AJ671" i="1"/>
  <c r="AK671" i="1" s="1"/>
  <c r="AJ672" i="1"/>
  <c r="AK672" i="1" s="1"/>
  <c r="AJ673" i="1"/>
  <c r="AK673" i="1" s="1"/>
  <c r="AJ674" i="1"/>
  <c r="AK674" i="1" s="1"/>
  <c r="AJ675" i="1"/>
  <c r="AK675" i="1" s="1"/>
  <c r="AJ676" i="1"/>
  <c r="AK676" i="1" s="1"/>
  <c r="AJ677" i="1"/>
  <c r="AK677" i="1" s="1"/>
  <c r="AJ678" i="1"/>
  <c r="AK678" i="1" s="1"/>
  <c r="AJ679" i="1"/>
  <c r="AK679" i="1" s="1"/>
  <c r="AJ680" i="1"/>
  <c r="AK680" i="1" s="1"/>
  <c r="AJ681" i="1"/>
  <c r="AK681" i="1" s="1"/>
  <c r="AJ682" i="1"/>
  <c r="AK682" i="1" s="1"/>
  <c r="AJ683" i="1"/>
  <c r="AK683" i="1" s="1"/>
  <c r="AJ684" i="1"/>
  <c r="AK684" i="1" s="1"/>
  <c r="AJ685" i="1"/>
  <c r="AK685" i="1" s="1"/>
  <c r="AJ686" i="1"/>
  <c r="AK686" i="1" s="1"/>
  <c r="AJ687" i="1"/>
  <c r="AK687" i="1" s="1"/>
  <c r="AJ688" i="1"/>
  <c r="AK688" i="1" s="1"/>
  <c r="AJ689" i="1"/>
  <c r="AK689" i="1" s="1"/>
  <c r="AJ690" i="1"/>
  <c r="AK690" i="1" s="1"/>
  <c r="AJ691" i="1"/>
  <c r="AK691" i="1" s="1"/>
  <c r="AJ692" i="1"/>
  <c r="AK692" i="1" s="1"/>
  <c r="AJ693" i="1"/>
  <c r="AK693" i="1" s="1"/>
  <c r="AJ694" i="1"/>
  <c r="AK694" i="1" s="1"/>
  <c r="AJ695" i="1"/>
  <c r="AK695" i="1" s="1"/>
  <c r="AJ696" i="1"/>
  <c r="AK696" i="1" s="1"/>
  <c r="AJ697" i="1"/>
  <c r="AK697" i="1" s="1"/>
  <c r="AJ698" i="1"/>
  <c r="AK698" i="1" s="1"/>
  <c r="AJ699" i="1"/>
  <c r="AK699" i="1" s="1"/>
  <c r="AJ700" i="1"/>
  <c r="AK700" i="1" s="1"/>
  <c r="AJ701" i="1"/>
  <c r="AK701" i="1" s="1"/>
  <c r="AJ702" i="1"/>
  <c r="AK702" i="1" s="1"/>
  <c r="AJ703" i="1"/>
  <c r="AK703" i="1" s="1"/>
  <c r="AJ704" i="1"/>
  <c r="AK704" i="1" s="1"/>
  <c r="AJ705" i="1"/>
  <c r="AK705" i="1" s="1"/>
  <c r="AJ706" i="1"/>
  <c r="AK706" i="1" s="1"/>
  <c r="AJ707" i="1"/>
  <c r="AK707" i="1" s="1"/>
  <c r="AJ708" i="1"/>
  <c r="AK708" i="1" s="1"/>
  <c r="AJ709" i="1"/>
  <c r="AK709" i="1" s="1"/>
  <c r="AJ710" i="1"/>
  <c r="AK710" i="1" s="1"/>
  <c r="AJ711" i="1"/>
  <c r="AK711" i="1" s="1"/>
  <c r="AJ712" i="1"/>
  <c r="AK712" i="1" s="1"/>
  <c r="AJ713" i="1"/>
  <c r="AK713" i="1" s="1"/>
  <c r="AJ714" i="1"/>
  <c r="AK714" i="1" s="1"/>
  <c r="AJ715" i="1"/>
  <c r="AK715" i="1" s="1"/>
  <c r="AJ716" i="1"/>
  <c r="AK716" i="1" s="1"/>
  <c r="AJ717" i="1"/>
  <c r="AK717" i="1" s="1"/>
  <c r="AJ718" i="1"/>
  <c r="AK718" i="1" s="1"/>
  <c r="AJ719" i="1"/>
  <c r="AK719" i="1" s="1"/>
  <c r="AJ720" i="1"/>
  <c r="AK720" i="1" s="1"/>
  <c r="AJ721" i="1"/>
  <c r="AK721" i="1" s="1"/>
  <c r="AJ722" i="1"/>
  <c r="AK722" i="1" s="1"/>
  <c r="AJ723" i="1"/>
  <c r="AK723" i="1" s="1"/>
  <c r="AJ724" i="1"/>
  <c r="AK724" i="1" s="1"/>
  <c r="AJ725" i="1"/>
  <c r="AK725" i="1" s="1"/>
  <c r="AJ726" i="1"/>
  <c r="AK726" i="1" s="1"/>
  <c r="AJ727" i="1"/>
  <c r="AK727" i="1" s="1"/>
  <c r="AJ728" i="1"/>
  <c r="AK728" i="1" s="1"/>
  <c r="AJ729" i="1"/>
  <c r="AK729" i="1" s="1"/>
  <c r="AJ730" i="1"/>
  <c r="AK730" i="1" s="1"/>
  <c r="AJ731" i="1"/>
  <c r="AK731" i="1" s="1"/>
  <c r="AJ732" i="1"/>
  <c r="AK732" i="1" s="1"/>
  <c r="AJ733" i="1"/>
  <c r="AK733" i="1" s="1"/>
  <c r="AJ734" i="1"/>
  <c r="AK734" i="1" s="1"/>
  <c r="AJ735" i="1"/>
  <c r="AK735" i="1" s="1"/>
  <c r="AJ736" i="1"/>
  <c r="AK736" i="1" s="1"/>
  <c r="AJ737" i="1"/>
  <c r="AK737" i="1" s="1"/>
  <c r="AJ739" i="1"/>
  <c r="AK739" i="1" s="1"/>
  <c r="AJ741" i="1"/>
  <c r="AK741" i="1" s="1"/>
  <c r="AJ743" i="1"/>
  <c r="AK743" i="1" s="1"/>
  <c r="AJ745" i="1"/>
  <c r="AK745" i="1" s="1"/>
  <c r="AJ747" i="1"/>
  <c r="AK747" i="1" s="1"/>
  <c r="AJ749" i="1"/>
  <c r="AK749" i="1" s="1"/>
  <c r="AJ751" i="1"/>
  <c r="AK751" i="1" s="1"/>
  <c r="AJ753" i="1"/>
  <c r="AK753" i="1" s="1"/>
  <c r="AJ755" i="1"/>
  <c r="AK755" i="1" s="1"/>
  <c r="AJ756" i="1"/>
  <c r="AK756" i="1" s="1"/>
  <c r="AJ757" i="1"/>
  <c r="AK757" i="1" s="1"/>
  <c r="AJ758" i="1"/>
  <c r="AK758" i="1" s="1"/>
  <c r="AJ759" i="1"/>
  <c r="AK759" i="1" s="1"/>
  <c r="AJ760" i="1"/>
  <c r="AK760" i="1" s="1"/>
  <c r="AJ761" i="1"/>
  <c r="AK761" i="1" s="1"/>
  <c r="AJ762" i="1"/>
  <c r="AK762" i="1" s="1"/>
  <c r="AJ763" i="1"/>
  <c r="AK763" i="1" s="1"/>
  <c r="AJ764" i="1"/>
  <c r="AK764" i="1" s="1"/>
  <c r="AJ765" i="1"/>
  <c r="AK765" i="1" s="1"/>
  <c r="AJ767" i="1"/>
  <c r="AK767" i="1" s="1"/>
  <c r="AJ768" i="1"/>
  <c r="AK768" i="1" s="1"/>
  <c r="AJ769" i="1"/>
  <c r="AK769" i="1" s="1"/>
  <c r="AJ770" i="1"/>
  <c r="AK770" i="1" s="1"/>
  <c r="AJ771" i="1"/>
  <c r="AK771" i="1" s="1"/>
  <c r="AJ772" i="1"/>
  <c r="AK772" i="1" s="1"/>
  <c r="AJ773" i="1"/>
  <c r="AK773" i="1" s="1"/>
  <c r="AJ774" i="1"/>
  <c r="AK774" i="1" s="1"/>
  <c r="AJ775" i="1"/>
  <c r="AK775" i="1" s="1"/>
  <c r="AJ776" i="1"/>
  <c r="AK776" i="1" s="1"/>
  <c r="AJ777" i="1"/>
  <c r="AK777" i="1" s="1"/>
  <c r="AJ778" i="1"/>
  <c r="AK778" i="1" s="1"/>
  <c r="AJ779" i="1"/>
  <c r="AK779" i="1" s="1"/>
  <c r="AJ780" i="1"/>
  <c r="AK780" i="1" s="1"/>
  <c r="AJ781" i="1"/>
  <c r="AK781" i="1" s="1"/>
  <c r="AJ782" i="1"/>
  <c r="AK782" i="1" s="1"/>
  <c r="AJ783" i="1"/>
  <c r="AK783" i="1" s="1"/>
  <c r="AJ784" i="1"/>
  <c r="AK784" i="1" s="1"/>
  <c r="AJ785" i="1"/>
  <c r="AK785" i="1" s="1"/>
  <c r="AJ786" i="1"/>
  <c r="AK786" i="1" s="1"/>
  <c r="AJ787" i="1"/>
  <c r="AK787" i="1" s="1"/>
  <c r="AJ788" i="1"/>
  <c r="AK788" i="1" s="1"/>
  <c r="AJ789" i="1"/>
  <c r="AK789" i="1" s="1"/>
  <c r="AJ790" i="1"/>
  <c r="AK790" i="1" s="1"/>
  <c r="AJ791" i="1"/>
  <c r="AK791" i="1" s="1"/>
  <c r="AJ792" i="1"/>
  <c r="AK792" i="1" s="1"/>
  <c r="AJ793" i="1"/>
  <c r="AK793" i="1" s="1"/>
  <c r="AJ794" i="1"/>
  <c r="AK794" i="1" s="1"/>
  <c r="AJ795" i="1"/>
  <c r="AK795" i="1" s="1"/>
  <c r="AJ796" i="1"/>
  <c r="AK796" i="1" s="1"/>
  <c r="AJ797" i="1"/>
  <c r="AK797" i="1" s="1"/>
  <c r="AJ798" i="1"/>
  <c r="AK798" i="1" s="1"/>
  <c r="AJ799" i="1"/>
  <c r="AK799" i="1" s="1"/>
  <c r="AJ800" i="1"/>
  <c r="AK800" i="1" s="1"/>
  <c r="AJ801" i="1"/>
  <c r="AK801" i="1" s="1"/>
  <c r="AJ802" i="1"/>
  <c r="AK802" i="1" s="1"/>
  <c r="AJ803" i="1"/>
  <c r="AK803" i="1" s="1"/>
  <c r="AJ804" i="1"/>
  <c r="AK804" i="1" s="1"/>
  <c r="AJ805" i="1"/>
  <c r="AK805" i="1" s="1"/>
  <c r="AJ806" i="1"/>
  <c r="AK806" i="1" s="1"/>
  <c r="AJ807" i="1"/>
  <c r="AK807" i="1" s="1"/>
  <c r="AJ808" i="1"/>
  <c r="AK808" i="1" s="1"/>
  <c r="AJ809" i="1"/>
  <c r="AK809" i="1" s="1"/>
  <c r="AJ811" i="1"/>
  <c r="AK811" i="1" s="1"/>
  <c r="AJ812" i="1"/>
  <c r="AK812" i="1" s="1"/>
  <c r="AJ815" i="1"/>
  <c r="AK815" i="1" s="1"/>
  <c r="AJ818" i="1"/>
  <c r="AK818" i="1" s="1"/>
  <c r="AJ819" i="1"/>
  <c r="AK819" i="1" s="1"/>
  <c r="AJ820" i="1"/>
  <c r="AK820" i="1" s="1"/>
  <c r="AJ821" i="1"/>
  <c r="AK821" i="1" s="1"/>
  <c r="AJ822" i="1"/>
  <c r="AK822" i="1" s="1"/>
  <c r="AJ823" i="1"/>
  <c r="AK823" i="1" s="1"/>
  <c r="AJ824" i="1"/>
  <c r="AK824" i="1" s="1"/>
  <c r="AJ825" i="1"/>
  <c r="AK825" i="1" s="1"/>
  <c r="AJ826" i="1"/>
  <c r="AK826" i="1" s="1"/>
  <c r="AJ827" i="1"/>
  <c r="AK827" i="1" s="1"/>
  <c r="AJ828" i="1"/>
  <c r="AK828" i="1" s="1"/>
  <c r="AJ829" i="1"/>
  <c r="AK829" i="1" s="1"/>
  <c r="AJ830" i="1"/>
  <c r="AK830" i="1" s="1"/>
  <c r="AJ831" i="1"/>
  <c r="AK831" i="1" s="1"/>
  <c r="AJ832" i="1"/>
  <c r="AK832" i="1" s="1"/>
  <c r="AJ833" i="1"/>
  <c r="AK833" i="1" s="1"/>
  <c r="AJ834" i="1"/>
  <c r="AK834" i="1" s="1"/>
  <c r="AJ835" i="1"/>
  <c r="AK835" i="1" s="1"/>
  <c r="AJ836" i="1"/>
  <c r="AK836" i="1" s="1"/>
  <c r="AJ837" i="1"/>
  <c r="AK837" i="1" s="1"/>
  <c r="AJ838" i="1"/>
  <c r="AK838" i="1" s="1"/>
  <c r="AJ839" i="1"/>
  <c r="AK839" i="1" s="1"/>
  <c r="AJ840" i="1"/>
  <c r="AK840" i="1" s="1"/>
  <c r="AJ841" i="1"/>
  <c r="AK841" i="1" s="1"/>
  <c r="AJ842" i="1"/>
  <c r="AK842" i="1" s="1"/>
  <c r="AJ843" i="1"/>
  <c r="AK843" i="1" s="1"/>
  <c r="AJ844" i="1"/>
  <c r="AK844" i="1" s="1"/>
  <c r="AJ845" i="1"/>
  <c r="AK845" i="1" s="1"/>
  <c r="AJ846" i="1"/>
  <c r="AK846" i="1" s="1"/>
  <c r="AJ847" i="1"/>
  <c r="AK847" i="1" s="1"/>
  <c r="AJ848" i="1"/>
  <c r="AK848" i="1" s="1"/>
  <c r="AJ849" i="1"/>
  <c r="AK849" i="1" s="1"/>
  <c r="AJ850" i="1"/>
  <c r="AK850" i="1" s="1"/>
  <c r="AJ851" i="1"/>
  <c r="AK851" i="1" s="1"/>
  <c r="AJ852" i="1"/>
  <c r="AK852" i="1" s="1"/>
  <c r="AJ853" i="1"/>
  <c r="AK853" i="1" s="1"/>
  <c r="AJ854" i="1"/>
  <c r="AK854" i="1" s="1"/>
  <c r="AJ855" i="1"/>
  <c r="AK855" i="1" s="1"/>
  <c r="AJ856" i="1"/>
  <c r="AK856" i="1" s="1"/>
  <c r="AJ857" i="1"/>
  <c r="AK857" i="1" s="1"/>
  <c r="AJ858" i="1"/>
  <c r="AK858" i="1" s="1"/>
  <c r="AJ859" i="1"/>
  <c r="AK859" i="1" s="1"/>
  <c r="AJ860" i="1"/>
  <c r="AK860" i="1" s="1"/>
  <c r="AJ861" i="1"/>
  <c r="AK861" i="1" s="1"/>
  <c r="AJ862" i="1"/>
  <c r="AK862" i="1" s="1"/>
  <c r="AJ864" i="1"/>
  <c r="AK864" i="1" s="1"/>
  <c r="AJ866" i="1"/>
  <c r="AK866" i="1" s="1"/>
  <c r="AJ868" i="1"/>
  <c r="AK868" i="1" s="1"/>
  <c r="AJ870" i="1"/>
  <c r="AK870" i="1" s="1"/>
  <c r="AJ872" i="1"/>
  <c r="AK872" i="1" s="1"/>
  <c r="AJ874" i="1"/>
  <c r="AK874" i="1" s="1"/>
  <c r="AJ876" i="1"/>
  <c r="AK876" i="1" s="1"/>
  <c r="AJ878" i="1"/>
  <c r="AK878" i="1" s="1"/>
  <c r="AJ879" i="1"/>
  <c r="AK879" i="1" s="1"/>
  <c r="AJ880" i="1"/>
  <c r="AK880" i="1" s="1"/>
  <c r="AJ881" i="1"/>
  <c r="AK881" i="1" s="1"/>
  <c r="AJ882" i="1"/>
  <c r="AK882" i="1" s="1"/>
  <c r="AJ883" i="1"/>
  <c r="AK883" i="1" s="1"/>
  <c r="AJ884" i="1"/>
  <c r="AK884" i="1" s="1"/>
  <c r="AJ885" i="1"/>
  <c r="AK885" i="1" s="1"/>
  <c r="AJ888" i="1"/>
  <c r="AK888" i="1" s="1"/>
  <c r="AJ891" i="1"/>
  <c r="AK891" i="1" s="1"/>
  <c r="AJ894" i="1"/>
  <c r="AK894" i="1" s="1"/>
  <c r="AJ897" i="1"/>
  <c r="AK897" i="1" s="1"/>
  <c r="AJ898" i="1"/>
  <c r="AK898" i="1" s="1"/>
  <c r="AJ899" i="1"/>
  <c r="AK899" i="1" s="1"/>
  <c r="AJ900" i="1"/>
  <c r="AK900" i="1" s="1"/>
  <c r="AJ901" i="1"/>
  <c r="AK901" i="1" s="1"/>
  <c r="AJ902" i="1"/>
  <c r="AK902" i="1" s="1"/>
  <c r="AJ903" i="1"/>
  <c r="AK903" i="1" s="1"/>
  <c r="AJ905" i="1"/>
  <c r="AK905" i="1" s="1"/>
  <c r="AJ907" i="1"/>
  <c r="AK907" i="1" s="1"/>
  <c r="AJ909" i="1"/>
  <c r="AK909" i="1" s="1"/>
  <c r="AJ911" i="1"/>
  <c r="AK911" i="1" s="1"/>
  <c r="AJ913" i="1"/>
  <c r="AK913" i="1" s="1"/>
  <c r="AJ915" i="1"/>
  <c r="AK915" i="1" s="1"/>
  <c r="AJ917" i="1"/>
  <c r="AK917" i="1" s="1"/>
  <c r="AJ919" i="1"/>
  <c r="AK919" i="1" s="1"/>
  <c r="AJ921" i="1"/>
  <c r="AK921" i="1" s="1"/>
  <c r="AJ922" i="1"/>
  <c r="AK922" i="1" s="1"/>
  <c r="AJ924" i="1"/>
  <c r="AK924" i="1" s="1"/>
  <c r="AJ926" i="1"/>
  <c r="AK926" i="1" s="1"/>
  <c r="AJ928" i="1"/>
  <c r="AK928" i="1" s="1"/>
  <c r="AJ930" i="1"/>
  <c r="AK930" i="1" s="1"/>
  <c r="AJ932" i="1"/>
  <c r="AK932" i="1" s="1"/>
  <c r="AJ933" i="1"/>
  <c r="AK933" i="1" s="1"/>
  <c r="AJ935" i="1"/>
  <c r="AK935" i="1" s="1"/>
  <c r="AJ937" i="1"/>
  <c r="AK937" i="1" s="1"/>
  <c r="AJ939" i="1"/>
  <c r="AK939" i="1" s="1"/>
  <c r="AJ940" i="1"/>
  <c r="AK940" i="1" s="1"/>
  <c r="AJ941" i="1"/>
  <c r="AK941" i="1" s="1"/>
  <c r="AJ942" i="1"/>
  <c r="AK942" i="1" s="1"/>
  <c r="AJ943" i="1"/>
  <c r="AK943" i="1" s="1"/>
  <c r="AJ944" i="1"/>
  <c r="AK944" i="1" s="1"/>
  <c r="AJ945" i="1"/>
  <c r="AK945" i="1" s="1"/>
  <c r="AJ946" i="1"/>
  <c r="AK946" i="1" s="1"/>
  <c r="AJ564" i="1"/>
  <c r="AK564" i="1" s="1"/>
  <c r="AJ563" i="1"/>
  <c r="AK563" i="1" s="1"/>
  <c r="AJ562" i="1"/>
  <c r="AK562" i="1" s="1"/>
  <c r="AJ561" i="1"/>
  <c r="AK561" i="1" s="1"/>
  <c r="AJ560" i="1"/>
  <c r="AK560" i="1" s="1"/>
  <c r="AJ559" i="1"/>
  <c r="AK559" i="1" s="1"/>
  <c r="AJ558" i="1"/>
  <c r="AK558" i="1" s="1"/>
  <c r="AK591" i="1"/>
  <c r="AK592" i="1"/>
  <c r="AK593" i="1"/>
  <c r="AK594" i="1"/>
  <c r="AK595" i="1"/>
  <c r="AK596" i="1"/>
  <c r="AK597" i="1"/>
  <c r="AK598" i="1"/>
  <c r="AK599" i="1"/>
  <c r="AK600" i="1"/>
  <c r="AK601" i="1"/>
  <c r="AK602" i="1"/>
  <c r="AK603" i="1"/>
  <c r="AK604" i="1"/>
  <c r="AK605" i="1"/>
  <c r="AK606" i="1"/>
  <c r="AK607" i="1"/>
  <c r="AK608" i="1"/>
  <c r="AK610" i="1"/>
  <c r="AK612" i="1"/>
  <c r="AK614" i="1"/>
  <c r="AK738" i="1"/>
  <c r="AK740" i="1"/>
  <c r="AK742" i="1"/>
  <c r="AK744" i="1"/>
  <c r="AK746" i="1"/>
  <c r="AK748" i="1"/>
  <c r="AK750" i="1"/>
  <c r="AK752" i="1"/>
  <c r="AK754" i="1"/>
  <c r="AK766" i="1"/>
  <c r="AK810" i="1"/>
  <c r="AK813" i="1"/>
  <c r="AK816" i="1"/>
  <c r="AK863" i="1"/>
  <c r="AK865" i="1"/>
  <c r="AK867" i="1"/>
  <c r="AK869" i="1"/>
  <c r="AK871" i="1"/>
  <c r="AK873" i="1"/>
  <c r="AK875" i="1"/>
  <c r="AK877" i="1"/>
  <c r="AK904" i="1"/>
  <c r="AK906" i="1"/>
  <c r="AK908" i="1"/>
  <c r="AK910" i="1"/>
  <c r="AK912" i="1"/>
  <c r="AK914" i="1"/>
  <c r="AK916" i="1"/>
  <c r="AK918" i="1"/>
  <c r="AK920" i="1"/>
  <c r="AL567" i="1" a="1"/>
  <c r="AL568" i="1" a="1"/>
  <c r="AL569" i="1" a="1"/>
  <c r="AL570" i="1" a="1"/>
  <c r="AL571" i="1" a="1"/>
  <c r="AL572" i="1" a="1"/>
  <c r="AL573" i="1" a="1"/>
  <c r="AL574" i="1" a="1"/>
  <c r="AL575" i="1" a="1"/>
  <c r="AL576" i="1" a="1"/>
  <c r="AL577" i="1" a="1"/>
  <c r="AL578" i="1" a="1"/>
  <c r="AL579" i="1" a="1"/>
  <c r="AL580" i="1" a="1"/>
  <c r="AL581" i="1" a="1"/>
  <c r="AL582" i="1" a="1"/>
  <c r="AL583" i="1" a="1"/>
  <c r="AL584" i="1" a="1"/>
  <c r="AL585" i="1" a="1"/>
  <c r="AL586" i="1" a="1"/>
  <c r="AL587" i="1" a="1"/>
  <c r="AL588" i="1" a="1"/>
  <c r="AL589" i="1" a="1"/>
  <c r="AL590" i="1" a="1"/>
  <c r="AL591" i="1" a="1"/>
  <c r="AL592" i="1" a="1"/>
  <c r="AL593" i="1" a="1"/>
  <c r="AL594" i="1" a="1"/>
  <c r="AL595" i="1" a="1"/>
  <c r="AL596" i="1" a="1"/>
  <c r="AL597" i="1" a="1"/>
  <c r="AL598" i="1" a="1"/>
  <c r="AL599" i="1" a="1"/>
  <c r="AL600" i="1" a="1"/>
  <c r="AL601" i="1" a="1"/>
  <c r="AL602" i="1" a="1"/>
  <c r="AL603" i="1" a="1"/>
  <c r="AL604" i="1" a="1"/>
  <c r="AL605" i="1" a="1"/>
  <c r="AL606" i="1" a="1"/>
  <c r="AL607" i="1" a="1"/>
  <c r="AL608" i="1" a="1"/>
  <c r="AL609" i="1" a="1"/>
  <c r="AL610" i="1" a="1"/>
  <c r="AL611" i="1" a="1"/>
  <c r="AL612" i="1" a="1"/>
  <c r="AL613" i="1" a="1"/>
  <c r="AL614" i="1" a="1"/>
  <c r="AL615" i="1" a="1"/>
  <c r="AL616" i="1" a="1"/>
  <c r="AL617" i="1" a="1"/>
  <c r="AL618" i="1" a="1"/>
  <c r="AL619" i="1" a="1"/>
  <c r="AL620" i="1" a="1"/>
  <c r="AL621" i="1" a="1"/>
  <c r="AL622" i="1" a="1"/>
  <c r="AL623" i="1" a="1"/>
  <c r="AL624" i="1" a="1"/>
  <c r="AL625" i="1" a="1"/>
  <c r="AL626" i="1" a="1"/>
  <c r="AL627" i="1" a="1"/>
  <c r="AL628" i="1" a="1"/>
  <c r="AL629" i="1" a="1"/>
  <c r="AL630" i="1" a="1"/>
  <c r="AL631" i="1" a="1"/>
  <c r="AL632" i="1" a="1"/>
  <c r="AL633" i="1" a="1"/>
  <c r="AL634" i="1" a="1"/>
  <c r="AL635" i="1" a="1"/>
  <c r="AL636" i="1" a="1"/>
  <c r="AL637" i="1" a="1"/>
  <c r="AL638" i="1" a="1"/>
  <c r="AL639" i="1" a="1"/>
  <c r="AL640" i="1" a="1"/>
  <c r="AL641" i="1" a="1"/>
  <c r="AL642" i="1" a="1"/>
  <c r="AL643" i="1" a="1"/>
  <c r="AL644" i="1" a="1"/>
  <c r="AL645" i="1" a="1"/>
  <c r="AL646" i="1" a="1"/>
  <c r="AL647" i="1" a="1"/>
  <c r="AL648" i="1" a="1"/>
  <c r="AL649" i="1" a="1"/>
  <c r="AL650" i="1" a="1"/>
  <c r="AL651" i="1" a="1"/>
  <c r="AL652" i="1" a="1"/>
  <c r="AL653" i="1" a="1"/>
  <c r="AL654" i="1" a="1"/>
  <c r="AL655" i="1" a="1"/>
  <c r="AL656" i="1" a="1"/>
  <c r="AL657" i="1" a="1"/>
  <c r="AL658" i="1" a="1"/>
  <c r="AL659" i="1" a="1"/>
  <c r="AL660" i="1" a="1"/>
  <c r="AL661" i="1" a="1"/>
  <c r="AL662" i="1" a="1"/>
  <c r="AL663" i="1" a="1"/>
  <c r="AL664" i="1" a="1"/>
  <c r="AL665" i="1" a="1"/>
  <c r="AL666" i="1" a="1"/>
  <c r="AL667" i="1" a="1"/>
  <c r="AL668" i="1" a="1"/>
  <c r="AL669" i="1" a="1"/>
  <c r="AL670" i="1" a="1"/>
  <c r="AL671" i="1" a="1"/>
  <c r="AL672" i="1" a="1"/>
  <c r="AL673" i="1" a="1"/>
  <c r="AL674" i="1" a="1"/>
  <c r="AL675" i="1" a="1"/>
  <c r="AL676" i="1" a="1"/>
  <c r="AL677" i="1" a="1"/>
  <c r="AL678" i="1" a="1"/>
  <c r="AL679" i="1" a="1"/>
  <c r="AL680" i="1" a="1"/>
  <c r="AL681" i="1" a="1"/>
  <c r="AL682" i="1" a="1"/>
  <c r="AL683" i="1" a="1"/>
  <c r="AL684" i="1" a="1"/>
  <c r="AL685" i="1" a="1"/>
  <c r="AL686" i="1" a="1"/>
  <c r="AL687" i="1" a="1"/>
  <c r="AL688" i="1" a="1"/>
  <c r="AL689" i="1" a="1"/>
  <c r="AL690" i="1" a="1"/>
  <c r="AL691" i="1" a="1"/>
  <c r="AL692" i="1" a="1"/>
  <c r="AL693" i="1" a="1"/>
  <c r="AL694" i="1" a="1"/>
  <c r="AL695" i="1" a="1"/>
  <c r="AL696" i="1" a="1"/>
  <c r="AL697" i="1" a="1"/>
  <c r="AL698" i="1" a="1"/>
  <c r="AL699" i="1" a="1"/>
  <c r="AL700" i="1" a="1"/>
  <c r="AL701" i="1" a="1"/>
  <c r="AL702" i="1" a="1"/>
  <c r="AL703" i="1" a="1"/>
  <c r="AL704" i="1" a="1"/>
  <c r="AL705" i="1" a="1"/>
  <c r="AL706" i="1" a="1"/>
  <c r="AL707" i="1" a="1"/>
  <c r="AL708" i="1" a="1"/>
  <c r="AL709" i="1" a="1"/>
  <c r="AL710" i="1" a="1"/>
  <c r="AL711" i="1" a="1"/>
  <c r="AL712" i="1" a="1"/>
  <c r="AL713" i="1" a="1"/>
  <c r="AL714" i="1" a="1"/>
  <c r="AL715" i="1" a="1"/>
  <c r="AL716" i="1" a="1"/>
  <c r="AL717" i="1" a="1"/>
  <c r="AL718" i="1" a="1"/>
  <c r="AL719" i="1" a="1"/>
  <c r="AL720" i="1" a="1"/>
  <c r="AL721" i="1" a="1"/>
  <c r="AL722" i="1" a="1"/>
  <c r="AL723" i="1" a="1"/>
  <c r="AL724" i="1" a="1"/>
  <c r="AL725" i="1" a="1"/>
  <c r="AL726" i="1" a="1"/>
  <c r="AL727" i="1" a="1"/>
  <c r="AL728" i="1" a="1"/>
  <c r="AL729" i="1" a="1"/>
  <c r="AL730" i="1" a="1"/>
  <c r="AL731" i="1" a="1"/>
  <c r="AL732" i="1" a="1"/>
  <c r="AL733" i="1" a="1"/>
  <c r="AL734" i="1" a="1"/>
  <c r="AL735" i="1" a="1"/>
  <c r="AL736" i="1" a="1"/>
  <c r="AL737" i="1" a="1"/>
  <c r="AL738" i="1" a="1"/>
  <c r="AL739" i="1" a="1"/>
  <c r="AL740" i="1" a="1"/>
  <c r="AL741" i="1" a="1"/>
  <c r="AL742" i="1" a="1"/>
  <c r="AL743" i="1" a="1"/>
  <c r="AL744" i="1" a="1"/>
  <c r="AL745" i="1" a="1"/>
  <c r="AL746" i="1" a="1"/>
  <c r="AL747" i="1" a="1"/>
  <c r="AL748" i="1" a="1"/>
  <c r="AL749" i="1" a="1"/>
  <c r="AL750" i="1" a="1"/>
  <c r="AL751" i="1" a="1"/>
  <c r="AL752" i="1" a="1"/>
  <c r="AL753" i="1" a="1"/>
  <c r="AL754" i="1" a="1"/>
  <c r="AL755" i="1" a="1"/>
  <c r="AL756" i="1" a="1"/>
  <c r="AL757" i="1" a="1"/>
  <c r="AL758" i="1" a="1"/>
  <c r="AL759" i="1" a="1"/>
  <c r="AL760" i="1" a="1"/>
  <c r="AL761" i="1" a="1"/>
  <c r="AL762" i="1" a="1"/>
  <c r="AL763" i="1" a="1"/>
  <c r="AL764" i="1" a="1"/>
  <c r="AL765" i="1" a="1"/>
  <c r="AL766" i="1" a="1"/>
  <c r="AL767" i="1" a="1"/>
  <c r="AL768" i="1" a="1"/>
  <c r="AL769" i="1" a="1"/>
  <c r="AL770" i="1" a="1"/>
  <c r="AL771" i="1" a="1"/>
  <c r="AL772" i="1" a="1"/>
  <c r="AL773" i="1" a="1"/>
  <c r="AL774" i="1" a="1"/>
  <c r="AL775" i="1" a="1"/>
  <c r="AL776" i="1" a="1"/>
  <c r="AL777" i="1" a="1"/>
  <c r="AL778" i="1" a="1"/>
  <c r="AL779" i="1" a="1"/>
  <c r="AL780" i="1" a="1"/>
  <c r="AL781" i="1" a="1"/>
  <c r="AL782" i="1" a="1"/>
  <c r="AL783" i="1" a="1"/>
  <c r="AL784" i="1" a="1"/>
  <c r="AL785" i="1" a="1"/>
  <c r="AL786" i="1" a="1"/>
  <c r="AL787" i="1" a="1"/>
  <c r="AL788" i="1" a="1"/>
  <c r="AL789" i="1" a="1"/>
  <c r="AL790" i="1" a="1"/>
  <c r="AL791" i="1" a="1"/>
  <c r="AL792" i="1" a="1"/>
  <c r="AL793" i="1" a="1"/>
  <c r="AL794" i="1" a="1"/>
  <c r="AL795" i="1" a="1"/>
  <c r="AL796" i="1" a="1"/>
  <c r="AL797" i="1" a="1"/>
  <c r="AL798" i="1" a="1"/>
  <c r="AL799" i="1" a="1"/>
  <c r="AL800" i="1" a="1"/>
  <c r="AL801" i="1" a="1"/>
  <c r="AL802" i="1" a="1"/>
  <c r="AL803" i="1" a="1"/>
  <c r="AL804" i="1" a="1"/>
  <c r="AL805" i="1" a="1"/>
  <c r="AL806" i="1" a="1"/>
  <c r="AL807" i="1" a="1"/>
  <c r="AL808" i="1" a="1"/>
  <c r="AL809" i="1" a="1"/>
  <c r="AL810" i="1" a="1"/>
  <c r="AL811" i="1" a="1"/>
  <c r="AL812" i="1" a="1"/>
  <c r="AL813" i="1" a="1"/>
  <c r="AL814" i="1" a="1"/>
  <c r="AL815" i="1" a="1"/>
  <c r="AL816" i="1" a="1"/>
  <c r="AL817" i="1" a="1"/>
  <c r="AL818" i="1" a="1"/>
  <c r="AL819" i="1" a="1"/>
  <c r="AL820" i="1" a="1"/>
  <c r="AL821" i="1" a="1"/>
  <c r="AL822" i="1" a="1"/>
  <c r="AL823" i="1" a="1"/>
  <c r="AL824" i="1" a="1"/>
  <c r="AL825" i="1" a="1"/>
  <c r="AL826" i="1" a="1"/>
  <c r="AL827" i="1" a="1"/>
  <c r="AL828" i="1" a="1"/>
  <c r="AL829" i="1" a="1"/>
  <c r="AL830" i="1" a="1"/>
  <c r="AL831" i="1" a="1"/>
  <c r="AL832" i="1" a="1"/>
  <c r="AL833" i="1" a="1"/>
  <c r="AL834" i="1" a="1"/>
  <c r="AL835" i="1" a="1"/>
  <c r="AL836" i="1" a="1"/>
  <c r="AL837" i="1" a="1"/>
  <c r="AL838" i="1" a="1"/>
  <c r="AL839" i="1" a="1"/>
  <c r="AL840" i="1" a="1"/>
  <c r="AL841" i="1" a="1"/>
  <c r="AL842" i="1" a="1"/>
  <c r="AL843" i="1" a="1"/>
  <c r="AL844" i="1" a="1"/>
  <c r="AL845" i="1" a="1"/>
  <c r="AL846" i="1" a="1"/>
  <c r="AL847" i="1" a="1"/>
  <c r="AL848" i="1" a="1"/>
  <c r="AL849" i="1" a="1"/>
  <c r="AL850" i="1" a="1"/>
  <c r="AL851" i="1" a="1"/>
  <c r="AL852" i="1" a="1"/>
  <c r="AL853" i="1" a="1"/>
  <c r="AL854" i="1" a="1"/>
  <c r="AL855" i="1" a="1"/>
  <c r="AL856" i="1" a="1"/>
  <c r="AL857" i="1" a="1"/>
  <c r="AL858" i="1" a="1"/>
  <c r="AL859" i="1" a="1"/>
  <c r="AL860" i="1" a="1"/>
  <c r="AL861" i="1" a="1"/>
  <c r="AL862" i="1" a="1"/>
  <c r="AL863" i="1" a="1"/>
  <c r="AL864" i="1" a="1"/>
  <c r="AL865" i="1" a="1"/>
  <c r="AL866" i="1" a="1"/>
  <c r="AL867" i="1" a="1"/>
  <c r="AL868" i="1" a="1"/>
  <c r="AL869" i="1" a="1"/>
  <c r="AL870" i="1" a="1"/>
  <c r="AL871" i="1" a="1"/>
  <c r="AL872" i="1" a="1"/>
  <c r="AL873" i="1" a="1"/>
  <c r="AL874" i="1" a="1"/>
  <c r="AL875" i="1" a="1"/>
  <c r="AL876" i="1" a="1"/>
  <c r="AL877" i="1" a="1"/>
  <c r="AL878" i="1" a="1"/>
  <c r="AL879" i="1" a="1"/>
  <c r="AL880" i="1" a="1"/>
  <c r="AL881" i="1" a="1"/>
  <c r="AL882" i="1" a="1"/>
  <c r="AL883" i="1" a="1"/>
  <c r="AL884" i="1" a="1"/>
  <c r="AL885" i="1" a="1"/>
  <c r="AL886" i="1" a="1"/>
  <c r="AL887" i="1" a="1"/>
  <c r="AL888" i="1" a="1"/>
  <c r="AL889" i="1" a="1"/>
  <c r="AL890" i="1" a="1"/>
  <c r="AL891" i="1" a="1"/>
  <c r="AL892" i="1" a="1"/>
  <c r="AL893" i="1" a="1"/>
  <c r="AL894" i="1" a="1"/>
  <c r="AL895" i="1" a="1"/>
  <c r="AL896" i="1" a="1"/>
  <c r="AL897" i="1" a="1"/>
  <c r="AL898" i="1" a="1"/>
  <c r="AL899" i="1" a="1"/>
  <c r="AL900" i="1" a="1"/>
  <c r="AL901" i="1" a="1"/>
  <c r="AL902" i="1" a="1"/>
  <c r="AL903" i="1" a="1"/>
  <c r="AL904" i="1" a="1"/>
  <c r="AL905" i="1" a="1"/>
  <c r="AL906" i="1" a="1"/>
  <c r="AL907" i="1" a="1"/>
  <c r="AL908" i="1" a="1"/>
  <c r="AL909" i="1" a="1"/>
  <c r="AL910" i="1" a="1"/>
  <c r="AL911" i="1" a="1"/>
  <c r="AL912" i="1" a="1"/>
  <c r="AL913" i="1" a="1"/>
  <c r="AL914" i="1" a="1"/>
  <c r="AL915" i="1" a="1"/>
  <c r="AL916" i="1" a="1"/>
  <c r="AL917" i="1" a="1"/>
  <c r="AL918" i="1" a="1"/>
  <c r="AL919" i="1" a="1"/>
  <c r="AL920" i="1" a="1"/>
  <c r="AL921" i="1" a="1"/>
  <c r="AL922" i="1" a="1"/>
  <c r="AL923" i="1" a="1"/>
  <c r="AL924" i="1" a="1"/>
  <c r="AL925" i="1" a="1"/>
  <c r="AL926" i="1" a="1"/>
  <c r="AL927" i="1" a="1"/>
  <c r="AL928" i="1" a="1"/>
  <c r="AL929" i="1" a="1"/>
  <c r="AL930" i="1" a="1"/>
  <c r="AL931" i="1" a="1"/>
  <c r="AL932" i="1" a="1"/>
  <c r="AL933" i="1" a="1"/>
  <c r="AL934" i="1" a="1"/>
  <c r="AL935" i="1" a="1"/>
  <c r="AL936" i="1" a="1"/>
  <c r="AL937" i="1" a="1"/>
  <c r="AL938" i="1" a="1"/>
  <c r="AL939" i="1" a="1"/>
  <c r="AL940" i="1" a="1"/>
  <c r="AL941" i="1" a="1"/>
  <c r="AL942" i="1" a="1"/>
  <c r="AL943" i="1" a="1"/>
  <c r="AL944" i="1" a="1"/>
  <c r="AL945" i="1" a="1"/>
  <c r="AL946" i="1" a="1"/>
  <c r="AL559" i="1" a="1"/>
  <c r="AL560" i="1" a="1"/>
  <c r="AL561" i="1" a="1"/>
  <c r="AL562" i="1" a="1"/>
  <c r="AL563" i="1" a="1"/>
  <c r="AL564" i="1" a="1"/>
  <c r="AL565" i="1" a="1"/>
  <c r="AL566" i="1" a="1"/>
  <c r="AL558" i="1" a="1"/>
  <c r="AL3" i="1" a="1"/>
  <c r="AL4" i="1" a="1"/>
  <c r="AL5" i="1" a="1"/>
  <c r="AL6" i="1" a="1"/>
  <c r="AL7" i="1" a="1"/>
  <c r="AL8" i="1" a="1"/>
  <c r="AL9" i="1" a="1"/>
  <c r="AL10" i="1" a="1"/>
  <c r="AL11" i="1" a="1"/>
  <c r="AL12" i="1" a="1"/>
  <c r="AL13" i="1" a="1"/>
  <c r="AL14" i="1" a="1"/>
  <c r="AL15" i="1" a="1"/>
  <c r="AL16" i="1" a="1"/>
  <c r="AL17" i="1" a="1"/>
  <c r="AL18" i="1" a="1"/>
  <c r="AL19" i="1" a="1"/>
  <c r="AL20" i="1" a="1"/>
  <c r="AL21" i="1" a="1"/>
  <c r="AL22" i="1" a="1"/>
  <c r="AL23" i="1" a="1"/>
  <c r="AL24" i="1" a="1"/>
  <c r="AL25" i="1" a="1"/>
  <c r="AL26" i="1" a="1"/>
  <c r="AL27" i="1" a="1"/>
  <c r="AL28" i="1" a="1"/>
  <c r="AL29" i="1" a="1"/>
  <c r="AL30" i="1" a="1"/>
  <c r="AL31" i="1" a="1"/>
  <c r="AL32" i="1" a="1"/>
  <c r="AL33" i="1" a="1"/>
  <c r="AL34" i="1" a="1"/>
  <c r="AL35" i="1" a="1"/>
  <c r="AL36" i="1" a="1"/>
  <c r="AL37" i="1" a="1"/>
  <c r="AL38" i="1" a="1"/>
  <c r="AL39" i="1" a="1"/>
  <c r="AL40" i="1" a="1"/>
  <c r="AL41" i="1" a="1"/>
  <c r="AL42" i="1" a="1"/>
  <c r="AL43" i="1" a="1"/>
  <c r="AL44" i="1" a="1"/>
  <c r="AL45" i="1" a="1"/>
  <c r="AL46" i="1" a="1"/>
  <c r="AL47" i="1" a="1"/>
  <c r="AL48" i="1" a="1"/>
  <c r="AL49" i="1" a="1"/>
  <c r="AL50" i="1" a="1"/>
  <c r="AL51" i="1" a="1"/>
  <c r="AL52" i="1" a="1"/>
  <c r="AL53" i="1" a="1"/>
  <c r="AL54" i="1" a="1"/>
  <c r="AL55" i="1" a="1"/>
  <c r="AL56" i="1" a="1"/>
  <c r="AL57" i="1" a="1"/>
  <c r="AL58" i="1" a="1"/>
  <c r="AL59" i="1" a="1"/>
  <c r="AL60" i="1" a="1"/>
  <c r="AL61" i="1" a="1"/>
  <c r="AL62" i="1" a="1"/>
  <c r="AL63" i="1" a="1"/>
  <c r="AL64" i="1" a="1"/>
  <c r="AL65" i="1" a="1"/>
  <c r="AL66" i="1" a="1"/>
  <c r="AL67" i="1" a="1"/>
  <c r="AL68" i="1" a="1"/>
  <c r="AL69" i="1" a="1"/>
  <c r="AL70" i="1" a="1"/>
  <c r="AL71" i="1" a="1"/>
  <c r="AL72" i="1" a="1"/>
  <c r="AL73" i="1" a="1"/>
  <c r="AL74" i="1" a="1"/>
  <c r="AL75" i="1" a="1"/>
  <c r="AL76" i="1" a="1"/>
  <c r="AL77" i="1" a="1"/>
  <c r="AL78" i="1" a="1"/>
  <c r="AL79" i="1" a="1"/>
  <c r="AL80" i="1" a="1"/>
  <c r="AL81" i="1" a="1"/>
  <c r="AL82" i="1" a="1"/>
  <c r="AL83" i="1" a="1"/>
  <c r="AL84" i="1" a="1"/>
  <c r="AL85" i="1" a="1"/>
  <c r="AL86" i="1" a="1"/>
  <c r="AL87" i="1" a="1"/>
  <c r="AL88" i="1" a="1"/>
  <c r="AL89" i="1" a="1"/>
  <c r="AL90" i="1" a="1"/>
  <c r="AL91" i="1" a="1"/>
  <c r="AL92" i="1" a="1"/>
  <c r="AL93" i="1" a="1"/>
  <c r="AL94" i="1" a="1"/>
  <c r="AL95" i="1" a="1"/>
  <c r="AL96" i="1" a="1"/>
  <c r="AL97" i="1" a="1"/>
  <c r="AL98" i="1" a="1"/>
  <c r="AL99" i="1" a="1"/>
  <c r="AL100" i="1" a="1"/>
  <c r="AL101" i="1" a="1"/>
  <c r="AL102" i="1" a="1"/>
  <c r="AL103" i="1" a="1"/>
  <c r="AL104" i="1" a="1"/>
  <c r="AL105" i="1" a="1"/>
  <c r="AL106" i="1" a="1"/>
  <c r="AL107" i="1" a="1"/>
  <c r="AL108" i="1" a="1"/>
  <c r="AL109" i="1" a="1"/>
  <c r="AL110" i="1" a="1"/>
  <c r="AL111" i="1" a="1"/>
  <c r="AL112" i="1" a="1"/>
  <c r="AL113" i="1" a="1"/>
  <c r="AL114" i="1" a="1"/>
  <c r="AL115" i="1" a="1"/>
  <c r="AL116" i="1" a="1"/>
  <c r="AL117" i="1" a="1"/>
  <c r="AL118" i="1" a="1"/>
  <c r="AL119" i="1" a="1"/>
  <c r="AL120" i="1" a="1"/>
  <c r="AL121" i="1" a="1"/>
  <c r="AL122" i="1" a="1"/>
  <c r="AL123" i="1" a="1"/>
  <c r="AL124" i="1" a="1"/>
  <c r="AL125" i="1" a="1"/>
  <c r="AL126" i="1" a="1"/>
  <c r="AL127" i="1" a="1"/>
  <c r="AL128" i="1" a="1"/>
  <c r="AL129" i="1" a="1"/>
  <c r="AL130" i="1" a="1"/>
  <c r="AL131" i="1" a="1"/>
  <c r="AL132" i="1" a="1"/>
  <c r="AL133" i="1" a="1"/>
  <c r="AL134" i="1" a="1"/>
  <c r="AL135" i="1" a="1"/>
  <c r="AL136" i="1" a="1"/>
  <c r="AL137" i="1" a="1"/>
  <c r="AL138" i="1" a="1"/>
  <c r="AL139" i="1" a="1"/>
  <c r="AL140" i="1" a="1"/>
  <c r="AL141" i="1" a="1"/>
  <c r="AL142" i="1" a="1"/>
  <c r="AL143" i="1" a="1"/>
  <c r="AL144" i="1" a="1"/>
  <c r="AL145" i="1" a="1"/>
  <c r="AL146" i="1" a="1"/>
  <c r="AL147" i="1" a="1"/>
  <c r="AL148" i="1" a="1"/>
  <c r="AL149" i="1" a="1"/>
  <c r="AL150" i="1" a="1"/>
  <c r="AL151" i="1" a="1"/>
  <c r="AL152" i="1" a="1"/>
  <c r="AL153" i="1" a="1"/>
  <c r="AL154" i="1" a="1"/>
  <c r="AL155" i="1" a="1"/>
  <c r="AL156" i="1" a="1"/>
  <c r="AL157" i="1" a="1"/>
  <c r="AL158" i="1" a="1"/>
  <c r="AL159" i="1" a="1"/>
  <c r="AL160" i="1" a="1"/>
  <c r="AL161" i="1" a="1"/>
  <c r="AL162" i="1" a="1"/>
  <c r="AL163" i="1" a="1"/>
  <c r="AL164" i="1" a="1"/>
  <c r="AL165" i="1" a="1"/>
  <c r="AL166" i="1" a="1"/>
  <c r="AL167" i="1" a="1"/>
  <c r="AL168" i="1" a="1"/>
  <c r="AL169" i="1" a="1"/>
  <c r="AL170" i="1" a="1"/>
  <c r="AL171" i="1" a="1"/>
  <c r="AL172" i="1" a="1"/>
  <c r="AL173" i="1" a="1"/>
  <c r="AL174" i="1" a="1"/>
  <c r="AL175" i="1" a="1"/>
  <c r="AL176" i="1" a="1"/>
  <c r="AL177" i="1" a="1"/>
  <c r="AL178" i="1" a="1"/>
  <c r="AL179" i="1" a="1"/>
  <c r="AL180" i="1" a="1"/>
  <c r="AL181" i="1" a="1"/>
  <c r="AL182" i="1" a="1"/>
  <c r="AL183" i="1" a="1"/>
  <c r="AL184" i="1" a="1"/>
  <c r="AL185" i="1" a="1"/>
  <c r="AL186" i="1" a="1"/>
  <c r="AL187" i="1" a="1"/>
  <c r="AL188" i="1" a="1"/>
  <c r="AL189" i="1" a="1"/>
  <c r="AL190" i="1" a="1"/>
  <c r="AL191" i="1" a="1"/>
  <c r="AL192" i="1" a="1"/>
  <c r="AL193" i="1" a="1"/>
  <c r="AL194" i="1" a="1"/>
  <c r="AL195" i="1" a="1"/>
  <c r="AL196" i="1" a="1"/>
  <c r="AL197" i="1" a="1"/>
  <c r="AL198" i="1" a="1"/>
  <c r="AL199" i="1" a="1"/>
  <c r="AL200" i="1" a="1"/>
  <c r="AL201" i="1" a="1"/>
  <c r="AL202" i="1" a="1"/>
  <c r="AL203" i="1" a="1"/>
  <c r="AL204" i="1" a="1"/>
  <c r="AL205" i="1" a="1"/>
  <c r="AL206" i="1" a="1"/>
  <c r="AL207" i="1" a="1"/>
  <c r="AL208" i="1" a="1"/>
  <c r="AL209" i="1" a="1"/>
  <c r="AL210" i="1" a="1"/>
  <c r="AL211" i="1" a="1"/>
  <c r="AL212" i="1" a="1"/>
  <c r="AL213" i="1" a="1"/>
  <c r="AL214" i="1" a="1"/>
  <c r="AL215" i="1" a="1"/>
  <c r="AL216" i="1" a="1"/>
  <c r="AL217" i="1" a="1"/>
  <c r="AL218" i="1" a="1"/>
  <c r="AL219" i="1" a="1"/>
  <c r="AL220" i="1" a="1"/>
  <c r="AL221" i="1" a="1"/>
  <c r="AL222" i="1" a="1"/>
  <c r="AL223" i="1" a="1"/>
  <c r="AL224" i="1" a="1"/>
  <c r="AL225" i="1" a="1"/>
  <c r="AL226" i="1" a="1"/>
  <c r="AL227" i="1" a="1"/>
  <c r="AL228" i="1" a="1"/>
  <c r="AL229" i="1" a="1"/>
  <c r="AL230" i="1" a="1"/>
  <c r="AL231" i="1" a="1"/>
  <c r="AL232" i="1" a="1"/>
  <c r="AL233" i="1" a="1"/>
  <c r="AL234" i="1" a="1"/>
  <c r="AL235" i="1" a="1"/>
  <c r="AL236" i="1" a="1"/>
  <c r="AL237" i="1" a="1"/>
  <c r="AL238" i="1" a="1"/>
  <c r="AL239" i="1" a="1"/>
  <c r="AL240" i="1" a="1"/>
  <c r="AL241" i="1" a="1"/>
  <c r="AL242" i="1" a="1"/>
  <c r="AL243" i="1" a="1"/>
  <c r="AL244" i="1" a="1"/>
  <c r="AL245" i="1" a="1"/>
  <c r="AL246" i="1" a="1"/>
  <c r="AL247" i="1" a="1"/>
  <c r="AL248" i="1" a="1"/>
  <c r="AL249" i="1" a="1"/>
  <c r="AL250" i="1" a="1"/>
  <c r="AL251" i="1" a="1"/>
  <c r="AL252" i="1" a="1"/>
  <c r="AL253" i="1" a="1"/>
  <c r="AL254" i="1" a="1"/>
  <c r="AL255" i="1" a="1"/>
  <c r="AL256" i="1" a="1"/>
  <c r="AL257" i="1" a="1"/>
  <c r="AL258" i="1" a="1"/>
  <c r="AL259" i="1" a="1"/>
  <c r="AL260" i="1" a="1"/>
  <c r="AL261" i="1" a="1"/>
  <c r="AL262" i="1" a="1"/>
  <c r="AL263" i="1" a="1"/>
  <c r="AL264" i="1" a="1"/>
  <c r="AL265" i="1" a="1"/>
  <c r="AL266" i="1" a="1"/>
  <c r="AL267" i="1" a="1"/>
  <c r="AL268" i="1" a="1"/>
  <c r="AL269" i="1" a="1"/>
  <c r="AL270" i="1" a="1"/>
  <c r="AL271" i="1" a="1"/>
  <c r="AL272" i="1" a="1"/>
  <c r="AL273" i="1" a="1"/>
  <c r="AL274" i="1" a="1"/>
  <c r="AL275" i="1" a="1"/>
  <c r="AL276" i="1" a="1"/>
  <c r="AL277" i="1" a="1"/>
  <c r="AL278" i="1" a="1"/>
  <c r="AL279" i="1" a="1"/>
  <c r="AL280" i="1" a="1"/>
  <c r="AL281" i="1" a="1"/>
  <c r="AL282" i="1" a="1"/>
  <c r="AL283" i="1" a="1"/>
  <c r="AL284" i="1" a="1"/>
  <c r="AL285" i="1" a="1"/>
  <c r="AL286" i="1" a="1"/>
  <c r="AL287" i="1" a="1"/>
  <c r="AL288" i="1" a="1"/>
  <c r="AL289" i="1" a="1"/>
  <c r="AL290" i="1" a="1"/>
  <c r="AL291" i="1" a="1"/>
  <c r="AL292" i="1" a="1"/>
  <c r="AL293" i="1" a="1"/>
  <c r="AL294" i="1" a="1"/>
  <c r="AL295" i="1" a="1"/>
  <c r="AL296" i="1" a="1"/>
  <c r="AL297" i="1" a="1"/>
  <c r="AL298" i="1" a="1"/>
  <c r="AL299" i="1" a="1"/>
  <c r="AL300" i="1" a="1"/>
  <c r="AL301" i="1" a="1"/>
  <c r="AL302" i="1" a="1"/>
  <c r="AL303" i="1" a="1"/>
  <c r="AL304" i="1" a="1"/>
  <c r="AL305" i="1" a="1"/>
  <c r="AL306" i="1" a="1"/>
  <c r="AL307" i="1" a="1"/>
  <c r="AL308" i="1" a="1"/>
  <c r="AL309" i="1" a="1"/>
  <c r="AL310" i="1" a="1"/>
  <c r="AL311" i="1" a="1"/>
  <c r="AL312" i="1" a="1"/>
  <c r="AL313" i="1" a="1"/>
  <c r="AL314" i="1" a="1"/>
  <c r="AL315" i="1" a="1"/>
  <c r="AL316" i="1" a="1"/>
  <c r="AL317" i="1" a="1"/>
  <c r="AL318" i="1" a="1"/>
  <c r="AL319" i="1" a="1"/>
  <c r="AL320" i="1" a="1"/>
  <c r="AL321" i="1" a="1"/>
  <c r="AL322" i="1" a="1"/>
  <c r="AL323" i="1" a="1"/>
  <c r="AL324" i="1" a="1"/>
  <c r="AL325" i="1" a="1"/>
  <c r="AL326" i="1" a="1"/>
  <c r="AL327" i="1" a="1"/>
  <c r="AL328" i="1" a="1"/>
  <c r="AL329" i="1" a="1"/>
  <c r="AL330" i="1" a="1"/>
  <c r="AL331" i="1" a="1"/>
  <c r="AL332" i="1" a="1"/>
  <c r="AL333" i="1" a="1"/>
  <c r="AL334" i="1" a="1"/>
  <c r="AL335" i="1" a="1"/>
  <c r="AL336" i="1" a="1"/>
  <c r="AL337" i="1" a="1"/>
  <c r="AL338" i="1" a="1"/>
  <c r="AL339" i="1" a="1"/>
  <c r="AL340" i="1" a="1"/>
  <c r="AL341" i="1" a="1"/>
  <c r="AL342" i="1" a="1"/>
  <c r="AL343" i="1" a="1"/>
  <c r="AL344" i="1" a="1"/>
  <c r="AL345" i="1" a="1"/>
  <c r="AL346" i="1" a="1"/>
  <c r="AL347" i="1" a="1"/>
  <c r="AL348" i="1" a="1"/>
  <c r="AL349" i="1" a="1"/>
  <c r="AL350" i="1" a="1"/>
  <c r="AL351" i="1" a="1"/>
  <c r="AL352" i="1" a="1"/>
  <c r="AL353" i="1" a="1"/>
  <c r="AL354" i="1" a="1"/>
  <c r="AL355" i="1" a="1"/>
  <c r="AL356" i="1" a="1"/>
  <c r="AL357" i="1" a="1"/>
  <c r="AL358" i="1" a="1"/>
  <c r="AL359" i="1" a="1"/>
  <c r="AL360" i="1" a="1"/>
  <c r="AL361" i="1" a="1"/>
  <c r="AL362" i="1" a="1"/>
  <c r="AL363" i="1" a="1"/>
  <c r="AL364" i="1" a="1"/>
  <c r="AL365" i="1" a="1"/>
  <c r="AL366" i="1" a="1"/>
  <c r="AL367" i="1" a="1"/>
  <c r="AL368" i="1" a="1"/>
  <c r="AL369" i="1" a="1"/>
  <c r="AL370" i="1" a="1"/>
  <c r="AL371" i="1" a="1"/>
  <c r="AL372" i="1" a="1"/>
  <c r="AL373" i="1" a="1"/>
  <c r="AL374" i="1" a="1"/>
  <c r="AL375" i="1" a="1"/>
  <c r="AL376" i="1" a="1"/>
  <c r="AL377" i="1" a="1"/>
  <c r="AL378" i="1" a="1"/>
  <c r="AL379" i="1" a="1"/>
  <c r="AL380" i="1" a="1"/>
  <c r="AL381" i="1" a="1"/>
  <c r="AL382" i="1" a="1"/>
  <c r="AL383" i="1" a="1"/>
  <c r="AL384" i="1" a="1"/>
  <c r="AL385" i="1" a="1"/>
  <c r="AL386" i="1" a="1"/>
  <c r="AL387" i="1" a="1"/>
  <c r="AL388" i="1" a="1"/>
  <c r="AL389" i="1" a="1"/>
  <c r="AL390" i="1" a="1"/>
  <c r="AL391" i="1" a="1"/>
  <c r="AL392" i="1" a="1"/>
  <c r="AL393" i="1" a="1"/>
  <c r="AL394" i="1" a="1"/>
  <c r="AL395" i="1" a="1"/>
  <c r="AL396" i="1" a="1"/>
  <c r="AL397" i="1" a="1"/>
  <c r="AL398" i="1" a="1"/>
  <c r="AL399" i="1" a="1"/>
  <c r="AL401" i="1" a="1"/>
  <c r="AL403" i="1" a="1"/>
  <c r="AL405" i="1" a="1"/>
  <c r="AL406" i="1" a="1"/>
  <c r="AL407" i="1" a="1"/>
  <c r="AL408" i="1" a="1"/>
  <c r="AL409" i="1" a="1"/>
  <c r="AL410" i="1" a="1"/>
  <c r="AL411" i="1" a="1"/>
  <c r="AL412" i="1" a="1"/>
  <c r="AL413" i="1" a="1"/>
  <c r="AL414" i="1" a="1"/>
  <c r="AL415" i="1" a="1"/>
  <c r="AL416" i="1" a="1"/>
  <c r="AL417" i="1" a="1"/>
  <c r="AL418" i="1" a="1"/>
  <c r="AL419" i="1" a="1"/>
  <c r="AL420" i="1" a="1"/>
  <c r="AL421" i="1" a="1"/>
  <c r="AL422" i="1" a="1"/>
  <c r="AL423" i="1" a="1"/>
  <c r="AL424" i="1" a="1"/>
  <c r="AL425" i="1" a="1"/>
  <c r="AL426" i="1" a="1"/>
  <c r="AL427" i="1" a="1"/>
  <c r="AL428" i="1" a="1"/>
  <c r="AL429" i="1" a="1"/>
  <c r="AL430" i="1" a="1"/>
  <c r="AL431" i="1" a="1"/>
  <c r="AL432" i="1" a="1"/>
  <c r="AL433" i="1" a="1"/>
  <c r="AL434" i="1" a="1"/>
  <c r="AL435" i="1" a="1"/>
  <c r="AL436" i="1" a="1"/>
  <c r="AL437" i="1" a="1"/>
  <c r="AL438" i="1" a="1"/>
  <c r="AL439" i="1" a="1"/>
  <c r="AL440" i="1" a="1"/>
  <c r="AL441" i="1" a="1"/>
  <c r="AL442" i="1" a="1"/>
  <c r="AL443" i="1" a="1"/>
  <c r="AL444" i="1" a="1"/>
  <c r="AL445" i="1" a="1"/>
  <c r="AL446" i="1" a="1"/>
  <c r="AL447" i="1" a="1"/>
  <c r="AL448" i="1" a="1"/>
  <c r="AL449" i="1" a="1"/>
  <c r="AL450" i="1" a="1"/>
  <c r="AL451" i="1" a="1"/>
  <c r="AL452" i="1" a="1"/>
  <c r="AL453" i="1" a="1"/>
  <c r="AL454" i="1" a="1"/>
  <c r="AL455" i="1" a="1"/>
  <c r="AL456" i="1" a="1"/>
  <c r="AL457" i="1" a="1"/>
  <c r="AL458" i="1" a="1"/>
  <c r="AL459" i="1" a="1"/>
  <c r="AL460" i="1" a="1"/>
  <c r="AL461" i="1" a="1"/>
  <c r="AL462" i="1" a="1"/>
  <c r="AL463" i="1" a="1"/>
  <c r="AL464" i="1" a="1"/>
  <c r="AL465" i="1" a="1"/>
  <c r="AL466" i="1" a="1"/>
  <c r="AL467" i="1" a="1"/>
  <c r="AL468" i="1" a="1"/>
  <c r="AL469" i="1" a="1"/>
  <c r="AL470" i="1" a="1"/>
  <c r="AL471" i="1" a="1"/>
  <c r="AL472" i="1" a="1"/>
  <c r="AL473" i="1" a="1"/>
  <c r="AL474" i="1" a="1"/>
  <c r="AL475" i="1" a="1"/>
  <c r="AL476" i="1" a="1"/>
  <c r="AL477" i="1" a="1"/>
  <c r="AL478" i="1" a="1"/>
  <c r="AL479" i="1" a="1"/>
  <c r="AL480" i="1" a="1"/>
  <c r="AL481" i="1" a="1"/>
  <c r="AL482" i="1" a="1"/>
  <c r="AL483" i="1" a="1"/>
  <c r="AL484" i="1" a="1"/>
  <c r="AL485" i="1" a="1"/>
  <c r="AL486" i="1" a="1"/>
  <c r="AL487" i="1" a="1"/>
  <c r="AL488" i="1" a="1"/>
  <c r="AL489" i="1" a="1"/>
  <c r="AL490" i="1" a="1"/>
  <c r="AL491" i="1" a="1"/>
  <c r="AL492" i="1" a="1"/>
  <c r="AL493" i="1" a="1"/>
  <c r="AL494" i="1" a="1"/>
  <c r="AL495" i="1" a="1"/>
  <c r="AL496" i="1" a="1"/>
  <c r="AL497" i="1" a="1"/>
  <c r="AL498" i="1" a="1"/>
  <c r="AL499" i="1" a="1"/>
  <c r="AL500" i="1" a="1"/>
  <c r="AL501" i="1" a="1"/>
  <c r="AL502" i="1" a="1"/>
  <c r="AL503" i="1" a="1"/>
  <c r="AL504" i="1" a="1"/>
  <c r="AL505" i="1" a="1"/>
  <c r="AL506" i="1" a="1"/>
  <c r="AL507" i="1" a="1"/>
  <c r="AL508" i="1" a="1"/>
  <c r="AL509" i="1" a="1"/>
  <c r="AL510" i="1" a="1"/>
  <c r="AL511" i="1" a="1"/>
  <c r="AL512" i="1" a="1"/>
  <c r="AL513" i="1" a="1"/>
  <c r="AL514" i="1" a="1"/>
  <c r="AL515" i="1" a="1"/>
  <c r="AL516" i="1" a="1"/>
  <c r="AL517" i="1" a="1"/>
  <c r="AL518" i="1" a="1"/>
  <c r="AL519" i="1" a="1"/>
  <c r="AL520" i="1" a="1"/>
  <c r="AL521" i="1" a="1"/>
  <c r="AL522" i="1" a="1"/>
  <c r="AL523" i="1" a="1"/>
  <c r="AL524" i="1" a="1"/>
  <c r="AL525" i="1" a="1"/>
  <c r="AL526" i="1" a="1"/>
  <c r="AL527" i="1" a="1"/>
  <c r="AL528" i="1" a="1"/>
  <c r="AL529" i="1" a="1"/>
  <c r="AL530" i="1" a="1"/>
  <c r="AL531" i="1" a="1"/>
  <c r="AL532" i="1" a="1"/>
  <c r="AL533" i="1" a="1"/>
  <c r="AL534" i="1" a="1"/>
  <c r="AL535" i="1" a="1"/>
  <c r="AL536" i="1" a="1"/>
  <c r="AL537" i="1" a="1"/>
  <c r="AL538" i="1" a="1"/>
  <c r="AL539" i="1" a="1"/>
  <c r="AL540" i="1" a="1"/>
  <c r="AL541" i="1" a="1"/>
  <c r="AL542" i="1" a="1"/>
  <c r="AL543" i="1" a="1"/>
  <c r="AL544" i="1" a="1"/>
  <c r="AL545" i="1" a="1"/>
  <c r="AL546" i="1" a="1"/>
  <c r="AL547" i="1" a="1"/>
  <c r="AL548" i="1" a="1"/>
  <c r="AL549" i="1" a="1"/>
  <c r="AL550" i="1" a="1"/>
  <c r="AL551" i="1" a="1"/>
  <c r="AL552" i="1" a="1"/>
  <c r="AL553" i="1" a="1"/>
  <c r="AL554" i="1" a="1"/>
  <c r="AL555" i="1" a="1"/>
  <c r="AL556" i="1" a="1"/>
  <c r="AL557" i="1" a="1"/>
  <c r="AJ4" i="1"/>
  <c r="AK4" i="1" s="1"/>
  <c r="AJ5" i="1"/>
  <c r="AK5" i="1" s="1"/>
  <c r="AJ6" i="1"/>
  <c r="AK6" i="1" s="1"/>
  <c r="AJ7" i="1"/>
  <c r="AK7" i="1" s="1"/>
  <c r="AJ8" i="1"/>
  <c r="AK8" i="1" s="1"/>
  <c r="AK9" i="1"/>
  <c r="AJ10" i="1"/>
  <c r="AK10" i="1" s="1"/>
  <c r="AK11" i="1"/>
  <c r="AJ12" i="1"/>
  <c r="AK12" i="1" s="1"/>
  <c r="AK13" i="1"/>
  <c r="AJ14" i="1"/>
  <c r="AK14" i="1" s="1"/>
  <c r="AK15" i="1"/>
  <c r="AJ16" i="1"/>
  <c r="AK16" i="1" s="1"/>
  <c r="AK17" i="1"/>
  <c r="AJ18" i="1"/>
  <c r="AK18" i="1" s="1"/>
  <c r="AK19" i="1"/>
  <c r="AJ20" i="1"/>
  <c r="AK20" i="1" s="1"/>
  <c r="AK21" i="1"/>
  <c r="AJ22" i="1"/>
  <c r="AK22" i="1" s="1"/>
  <c r="AK23" i="1"/>
  <c r="AJ24" i="1"/>
  <c r="AK24" i="1" s="1"/>
  <c r="AK25" i="1"/>
  <c r="AJ26" i="1"/>
  <c r="AK26" i="1" s="1"/>
  <c r="AK27" i="1"/>
  <c r="AJ28" i="1"/>
  <c r="AK28" i="1" s="1"/>
  <c r="AK29" i="1"/>
  <c r="AJ30" i="1"/>
  <c r="AK30" i="1" s="1"/>
  <c r="AK31" i="1"/>
  <c r="AJ33" i="1"/>
  <c r="AK33" i="1" s="1"/>
  <c r="AK34" i="1"/>
  <c r="AK36" i="1"/>
  <c r="AK37" i="1"/>
  <c r="AJ39" i="1"/>
  <c r="AK39" i="1" s="1"/>
  <c r="AK40" i="1"/>
  <c r="AJ42" i="1"/>
  <c r="AK42" i="1" s="1"/>
  <c r="AK43" i="1"/>
  <c r="AJ45" i="1"/>
  <c r="AK45" i="1" s="1"/>
  <c r="AJ46" i="1"/>
  <c r="AK46" i="1" s="1"/>
  <c r="AJ47" i="1"/>
  <c r="AK47" i="1" s="1"/>
  <c r="AJ48" i="1"/>
  <c r="AK48" i="1" s="1"/>
  <c r="AJ49" i="1"/>
  <c r="AK49" i="1" s="1"/>
  <c r="AJ50" i="1"/>
  <c r="AK50" i="1" s="1"/>
  <c r="AJ51" i="1"/>
  <c r="AK51" i="1" s="1"/>
  <c r="AJ52" i="1"/>
  <c r="AK52" i="1" s="1"/>
  <c r="AJ53" i="1"/>
  <c r="AK53" i="1" s="1"/>
  <c r="AK54" i="1"/>
  <c r="AJ55" i="1"/>
  <c r="AK55" i="1" s="1"/>
  <c r="AK56" i="1"/>
  <c r="AJ57" i="1"/>
  <c r="AK57" i="1" s="1"/>
  <c r="AK58" i="1"/>
  <c r="AJ59" i="1"/>
  <c r="AK59" i="1" s="1"/>
  <c r="AK60" i="1"/>
  <c r="AJ61" i="1"/>
  <c r="AK61" i="1" s="1"/>
  <c r="AK62" i="1"/>
  <c r="AJ63" i="1"/>
  <c r="AK63" i="1" s="1"/>
  <c r="AK64" i="1"/>
  <c r="AJ65" i="1"/>
  <c r="AK65" i="1" s="1"/>
  <c r="AK66" i="1"/>
  <c r="AJ67" i="1"/>
  <c r="AK67" i="1" s="1"/>
  <c r="AK68" i="1"/>
  <c r="AJ69" i="1"/>
  <c r="AK69" i="1" s="1"/>
  <c r="AK70" i="1"/>
  <c r="AJ71" i="1"/>
  <c r="AK71" i="1" s="1"/>
  <c r="AK72" i="1"/>
  <c r="AJ73" i="1"/>
  <c r="AK73" i="1" s="1"/>
  <c r="AK74" i="1"/>
  <c r="AJ75" i="1"/>
  <c r="AK75" i="1" s="1"/>
  <c r="AK76" i="1"/>
  <c r="AJ77" i="1"/>
  <c r="AK77" i="1" s="1"/>
  <c r="AK78" i="1"/>
  <c r="AJ79" i="1"/>
  <c r="AK79" i="1" s="1"/>
  <c r="AJ80" i="1"/>
  <c r="AK80" i="1" s="1"/>
  <c r="AJ81" i="1"/>
  <c r="AK81" i="1" s="1"/>
  <c r="AJ82" i="1"/>
  <c r="AK82" i="1" s="1"/>
  <c r="AJ83" i="1"/>
  <c r="AK83" i="1" s="1"/>
  <c r="AJ84" i="1"/>
  <c r="AK84" i="1" s="1"/>
  <c r="AJ85" i="1"/>
  <c r="AK85" i="1" s="1"/>
  <c r="AJ86" i="1"/>
  <c r="AK86" i="1" s="1"/>
  <c r="AJ87" i="1"/>
  <c r="AK87" i="1" s="1"/>
  <c r="AJ88" i="1"/>
  <c r="AK88" i="1" s="1"/>
  <c r="AJ89" i="1"/>
  <c r="AK89" i="1" s="1"/>
  <c r="AJ90" i="1"/>
  <c r="AK90" i="1" s="1"/>
  <c r="AJ91" i="1"/>
  <c r="AK91" i="1" s="1"/>
  <c r="AJ92" i="1"/>
  <c r="AK92" i="1" s="1"/>
  <c r="AJ93" i="1"/>
  <c r="AK93" i="1" s="1"/>
  <c r="AJ94" i="1"/>
  <c r="AK94" i="1" s="1"/>
  <c r="AJ95" i="1"/>
  <c r="AK95" i="1" s="1"/>
  <c r="AJ96" i="1"/>
  <c r="AK96" i="1" s="1"/>
  <c r="AJ97" i="1"/>
  <c r="AK97" i="1" s="1"/>
  <c r="AJ98" i="1"/>
  <c r="AK98" i="1" s="1"/>
  <c r="AJ99" i="1"/>
  <c r="AK99" i="1" s="1"/>
  <c r="AJ100" i="1"/>
  <c r="AK100" i="1" s="1"/>
  <c r="AJ101" i="1"/>
  <c r="AK101" i="1" s="1"/>
  <c r="AJ102" i="1"/>
  <c r="AK102" i="1" s="1"/>
  <c r="AJ103" i="1"/>
  <c r="AK103" i="1" s="1"/>
  <c r="AJ104" i="1"/>
  <c r="AK104" i="1" s="1"/>
  <c r="AK105" i="1"/>
  <c r="AK106" i="1"/>
  <c r="AK107" i="1"/>
  <c r="AK108" i="1"/>
  <c r="AK109" i="1"/>
  <c r="AK110" i="1"/>
  <c r="AK111" i="1"/>
  <c r="AK112" i="1"/>
  <c r="AK113" i="1"/>
  <c r="AK114" i="1"/>
  <c r="AK115" i="1"/>
  <c r="AK116" i="1"/>
  <c r="AJ117" i="1"/>
  <c r="AK117" i="1" s="1"/>
  <c r="AJ118" i="1"/>
  <c r="AK118" i="1" s="1"/>
  <c r="AJ119" i="1"/>
  <c r="AK119" i="1" s="1"/>
  <c r="AJ120" i="1"/>
  <c r="AK120" i="1" s="1"/>
  <c r="AJ121" i="1"/>
  <c r="AK121" i="1" s="1"/>
  <c r="AJ122" i="1"/>
  <c r="AK122" i="1" s="1"/>
  <c r="AJ123" i="1"/>
  <c r="AK123" i="1" s="1"/>
  <c r="AK124" i="1"/>
  <c r="AJ125" i="1"/>
  <c r="AK125" i="1" s="1"/>
  <c r="AK126" i="1"/>
  <c r="AJ127" i="1"/>
  <c r="AK127" i="1" s="1"/>
  <c r="AK128" i="1"/>
  <c r="AJ129" i="1"/>
  <c r="AK129" i="1" s="1"/>
  <c r="AJ130" i="1"/>
  <c r="AK130" i="1" s="1"/>
  <c r="AJ131" i="1"/>
  <c r="AK131" i="1" s="1"/>
  <c r="AJ132" i="1"/>
  <c r="AK132" i="1" s="1"/>
  <c r="AJ133" i="1"/>
  <c r="AK133" i="1" s="1"/>
  <c r="AJ134" i="1"/>
  <c r="AK134" i="1" s="1"/>
  <c r="AJ135" i="1"/>
  <c r="AK135" i="1" s="1"/>
  <c r="AJ136" i="1"/>
  <c r="AK136" i="1" s="1"/>
  <c r="AJ137" i="1"/>
  <c r="AK137" i="1" s="1"/>
  <c r="AJ138" i="1"/>
  <c r="AK138" i="1" s="1"/>
  <c r="AJ139" i="1"/>
  <c r="AK139" i="1" s="1"/>
  <c r="AJ140" i="1"/>
  <c r="AK140" i="1" s="1"/>
  <c r="AJ141" i="1"/>
  <c r="AK141" i="1" s="1"/>
  <c r="AJ142" i="1"/>
  <c r="AK142" i="1" s="1"/>
  <c r="AJ143" i="1"/>
  <c r="AK143" i="1" s="1"/>
  <c r="AJ144" i="1"/>
  <c r="AK144" i="1" s="1"/>
  <c r="AJ145" i="1"/>
  <c r="AK145" i="1" s="1"/>
  <c r="AJ146" i="1"/>
  <c r="AK146" i="1" s="1"/>
  <c r="AJ147" i="1"/>
  <c r="AK147" i="1" s="1"/>
  <c r="AJ148" i="1"/>
  <c r="AK148" i="1" s="1"/>
  <c r="AJ149" i="1"/>
  <c r="AK149" i="1" s="1"/>
  <c r="AJ150" i="1"/>
  <c r="AK150" i="1" s="1"/>
  <c r="AJ151" i="1"/>
  <c r="AK151" i="1" s="1"/>
  <c r="AJ152" i="1"/>
  <c r="AK152" i="1" s="1"/>
  <c r="AJ153" i="1"/>
  <c r="AK153" i="1" s="1"/>
  <c r="AJ154" i="1"/>
  <c r="AK154" i="1" s="1"/>
  <c r="AJ155" i="1"/>
  <c r="AK155" i="1" s="1"/>
  <c r="AJ156" i="1"/>
  <c r="AK156" i="1" s="1"/>
  <c r="AJ157" i="1"/>
  <c r="AK157" i="1" s="1"/>
  <c r="AJ158" i="1"/>
  <c r="AK158" i="1" s="1"/>
  <c r="AJ159" i="1"/>
  <c r="AK159" i="1" s="1"/>
  <c r="AJ160" i="1"/>
  <c r="AK160" i="1" s="1"/>
  <c r="AJ161" i="1"/>
  <c r="AK161" i="1" s="1"/>
  <c r="AJ162" i="1"/>
  <c r="AK162" i="1" s="1"/>
  <c r="AJ163" i="1"/>
  <c r="AK163" i="1" s="1"/>
  <c r="AJ164" i="1"/>
  <c r="AK164" i="1" s="1"/>
  <c r="AJ165" i="1"/>
  <c r="AK165" i="1" s="1"/>
  <c r="AJ166" i="1"/>
  <c r="AK166" i="1" s="1"/>
  <c r="AJ167" i="1"/>
  <c r="AK167" i="1" s="1"/>
  <c r="AK168" i="1"/>
  <c r="AJ169" i="1"/>
  <c r="AK169" i="1" s="1"/>
  <c r="AK170" i="1"/>
  <c r="AJ173" i="1"/>
  <c r="AK173" i="1" s="1"/>
  <c r="AJ174" i="1"/>
  <c r="AK174" i="1" s="1"/>
  <c r="AJ175" i="1"/>
  <c r="AK175" i="1" s="1"/>
  <c r="AJ176" i="1"/>
  <c r="AK176" i="1" s="1"/>
  <c r="AJ177" i="1"/>
  <c r="AK177" i="1" s="1"/>
  <c r="AJ178" i="1"/>
  <c r="AK178" i="1" s="1"/>
  <c r="AJ179" i="1"/>
  <c r="AK179" i="1" s="1"/>
  <c r="AJ180" i="1"/>
  <c r="AK180" i="1" s="1"/>
  <c r="AJ181" i="1"/>
  <c r="AK181" i="1" s="1"/>
  <c r="AJ182" i="1"/>
  <c r="AK182" i="1" s="1"/>
  <c r="AJ183" i="1"/>
  <c r="AK183" i="1" s="1"/>
  <c r="AJ184" i="1"/>
  <c r="AK184" i="1" s="1"/>
  <c r="AJ185" i="1"/>
  <c r="AK185" i="1" s="1"/>
  <c r="AJ186" i="1"/>
  <c r="AK186" i="1" s="1"/>
  <c r="AJ187" i="1"/>
  <c r="AK187" i="1" s="1"/>
  <c r="AJ188" i="1"/>
  <c r="AK188" i="1" s="1"/>
  <c r="AJ189" i="1"/>
  <c r="AK189" i="1" s="1"/>
  <c r="AJ190" i="1"/>
  <c r="AK190" i="1" s="1"/>
  <c r="AJ191" i="1"/>
  <c r="AK191" i="1" s="1"/>
  <c r="AJ192" i="1"/>
  <c r="AK192" i="1" s="1"/>
  <c r="AJ193" i="1"/>
  <c r="AK193" i="1" s="1"/>
  <c r="AJ194" i="1"/>
  <c r="AK194" i="1" s="1"/>
  <c r="AJ195" i="1"/>
  <c r="AK195" i="1" s="1"/>
  <c r="AJ196" i="1"/>
  <c r="AK196" i="1" s="1"/>
  <c r="AJ197" i="1"/>
  <c r="AK197" i="1" s="1"/>
  <c r="AJ198" i="1"/>
  <c r="AK198" i="1" s="1"/>
  <c r="AJ199" i="1"/>
  <c r="AK199" i="1" s="1"/>
  <c r="AJ200" i="1"/>
  <c r="AK200" i="1" s="1"/>
  <c r="AJ201" i="1"/>
  <c r="AK201" i="1" s="1"/>
  <c r="AJ203" i="1"/>
  <c r="AK203" i="1" s="1"/>
  <c r="AJ205" i="1"/>
  <c r="AK205" i="1" s="1"/>
  <c r="AJ206" i="1"/>
  <c r="AK206" i="1" s="1"/>
  <c r="AJ207" i="1"/>
  <c r="AK207" i="1" s="1"/>
  <c r="AJ208" i="1"/>
  <c r="AK208" i="1" s="1"/>
  <c r="AJ209" i="1"/>
  <c r="AK209" i="1" s="1"/>
  <c r="AJ210" i="1"/>
  <c r="AK210" i="1" s="1"/>
  <c r="AJ211" i="1"/>
  <c r="AK211" i="1" s="1"/>
  <c r="AJ212" i="1"/>
  <c r="AK212" i="1" s="1"/>
  <c r="AJ213" i="1"/>
  <c r="AK213" i="1" s="1"/>
  <c r="AJ214" i="1"/>
  <c r="AK214" i="1" s="1"/>
  <c r="AJ215" i="1"/>
  <c r="AK215" i="1" s="1"/>
  <c r="AK216" i="1"/>
  <c r="AK218" i="1"/>
  <c r="AK220" i="1"/>
  <c r="AK222" i="1"/>
  <c r="AJ223" i="1"/>
  <c r="AK223" i="1" s="1"/>
  <c r="AJ225" i="1"/>
  <c r="AK225" i="1" s="1"/>
  <c r="AJ226" i="1"/>
  <c r="AK226" i="1" s="1"/>
  <c r="AJ227" i="1"/>
  <c r="AK227" i="1" s="1"/>
  <c r="AJ228" i="1"/>
  <c r="AK228" i="1" s="1"/>
  <c r="AJ229" i="1"/>
  <c r="AK229" i="1" s="1"/>
  <c r="AJ230" i="1"/>
  <c r="AK230" i="1" s="1"/>
  <c r="AJ231" i="1"/>
  <c r="AK231" i="1" s="1"/>
  <c r="AJ232" i="1"/>
  <c r="AK232" i="1" s="1"/>
  <c r="AJ233" i="1"/>
  <c r="AK233" i="1" s="1"/>
  <c r="AK234" i="1"/>
  <c r="AJ235" i="1"/>
  <c r="AK235" i="1" s="1"/>
  <c r="AK236" i="1"/>
  <c r="AJ237" i="1"/>
  <c r="AK237" i="1" s="1"/>
  <c r="AJ238" i="1"/>
  <c r="AK238" i="1" s="1"/>
  <c r="AJ239" i="1"/>
  <c r="AK239" i="1" s="1"/>
  <c r="AJ240" i="1"/>
  <c r="AK240" i="1" s="1"/>
  <c r="AJ241" i="1"/>
  <c r="AK241" i="1" s="1"/>
  <c r="AJ242" i="1"/>
  <c r="AK242" i="1" s="1"/>
  <c r="AJ243" i="1"/>
  <c r="AK243" i="1" s="1"/>
  <c r="AJ244" i="1"/>
  <c r="AK244" i="1" s="1"/>
  <c r="AJ245" i="1"/>
  <c r="AK245" i="1" s="1"/>
  <c r="AJ246" i="1"/>
  <c r="AK246" i="1" s="1"/>
  <c r="AJ247" i="1"/>
  <c r="AK247" i="1" s="1"/>
  <c r="AJ248" i="1"/>
  <c r="AK248" i="1" s="1"/>
  <c r="AJ249" i="1"/>
  <c r="AK249" i="1" s="1"/>
  <c r="AJ250" i="1"/>
  <c r="AK250" i="1" s="1"/>
  <c r="AJ251" i="1"/>
  <c r="AK251" i="1" s="1"/>
  <c r="AJ252" i="1"/>
  <c r="AK252" i="1" s="1"/>
  <c r="AJ253" i="1"/>
  <c r="AK253" i="1" s="1"/>
  <c r="AJ254" i="1"/>
  <c r="AK254" i="1" s="1"/>
  <c r="AJ255" i="1"/>
  <c r="AK255" i="1" s="1"/>
  <c r="AJ256" i="1"/>
  <c r="AK256" i="1" s="1"/>
  <c r="AJ257" i="1"/>
  <c r="AK257" i="1" s="1"/>
  <c r="AJ258" i="1"/>
  <c r="AK258" i="1" s="1"/>
  <c r="AJ259" i="1"/>
  <c r="AK259" i="1" s="1"/>
  <c r="AJ260" i="1"/>
  <c r="AK260" i="1" s="1"/>
  <c r="AJ261" i="1"/>
  <c r="AK261" i="1" s="1"/>
  <c r="AK262" i="1"/>
  <c r="AJ263" i="1"/>
  <c r="AK263" i="1" s="1"/>
  <c r="AJ264" i="1"/>
  <c r="AK264" i="1" s="1"/>
  <c r="AK265" i="1"/>
  <c r="AJ266" i="1"/>
  <c r="AK266" i="1" s="1"/>
  <c r="AJ267" i="1"/>
  <c r="AK267" i="1" s="1"/>
  <c r="AK268" i="1"/>
  <c r="AJ269" i="1"/>
  <c r="AK269" i="1" s="1"/>
  <c r="AJ270" i="1"/>
  <c r="AK270" i="1" s="1"/>
  <c r="AK271" i="1"/>
  <c r="AJ272" i="1"/>
  <c r="AK272" i="1" s="1"/>
  <c r="AJ273" i="1"/>
  <c r="AK273" i="1" s="1"/>
  <c r="AK274" i="1"/>
  <c r="AJ275" i="1"/>
  <c r="AK275" i="1" s="1"/>
  <c r="AJ276" i="1"/>
  <c r="AK276" i="1" s="1"/>
  <c r="AK277" i="1"/>
  <c r="AJ278" i="1"/>
  <c r="AK278" i="1" s="1"/>
  <c r="AJ279" i="1"/>
  <c r="AK279" i="1" s="1"/>
  <c r="AK280" i="1"/>
  <c r="AJ281" i="1"/>
  <c r="AK281" i="1" s="1"/>
  <c r="AJ282" i="1"/>
  <c r="AK282" i="1" s="1"/>
  <c r="AK283" i="1"/>
  <c r="AJ284" i="1"/>
  <c r="AK284" i="1" s="1"/>
  <c r="AJ285" i="1"/>
  <c r="AK285" i="1" s="1"/>
  <c r="AK286" i="1"/>
  <c r="AJ287" i="1"/>
  <c r="AK287" i="1" s="1"/>
  <c r="AJ288" i="1"/>
  <c r="AK288" i="1" s="1"/>
  <c r="AK289" i="1"/>
  <c r="AJ290" i="1"/>
  <c r="AK290" i="1" s="1"/>
  <c r="AJ291" i="1"/>
  <c r="AK291" i="1" s="1"/>
  <c r="AK292" i="1"/>
  <c r="AJ293" i="1"/>
  <c r="AK293" i="1" s="1"/>
  <c r="AJ294" i="1"/>
  <c r="AK294" i="1" s="1"/>
  <c r="AK295" i="1"/>
  <c r="AJ296" i="1"/>
  <c r="AK296" i="1" s="1"/>
  <c r="AK297" i="1"/>
  <c r="AJ298" i="1"/>
  <c r="AK298" i="1" s="1"/>
  <c r="AJ299" i="1"/>
  <c r="AK299" i="1" s="1"/>
  <c r="AJ300" i="1"/>
  <c r="AK300" i="1" s="1"/>
  <c r="AJ301" i="1"/>
  <c r="AK301" i="1" s="1"/>
  <c r="AJ302" i="1"/>
  <c r="AK302" i="1" s="1"/>
  <c r="AJ303" i="1"/>
  <c r="AK303" i="1" s="1"/>
  <c r="AJ304" i="1"/>
  <c r="AK304" i="1" s="1"/>
  <c r="AJ305" i="1"/>
  <c r="AK305" i="1" s="1"/>
  <c r="AJ306" i="1"/>
  <c r="AK306" i="1" s="1"/>
  <c r="AJ307" i="1"/>
  <c r="AK307" i="1" s="1"/>
  <c r="AJ308" i="1"/>
  <c r="AK308" i="1" s="1"/>
  <c r="AK309" i="1"/>
  <c r="AJ310" i="1"/>
  <c r="AK310" i="1" s="1"/>
  <c r="AK311" i="1"/>
  <c r="AJ312" i="1"/>
  <c r="AK312" i="1" s="1"/>
  <c r="AK313" i="1"/>
  <c r="AJ314" i="1"/>
  <c r="AK314" i="1" s="1"/>
  <c r="AK315" i="1"/>
  <c r="AJ316" i="1"/>
  <c r="AK316" i="1" s="1"/>
  <c r="AJ317" i="1"/>
  <c r="AK317" i="1" s="1"/>
  <c r="AJ318" i="1"/>
  <c r="AK318" i="1" s="1"/>
  <c r="AJ319" i="1"/>
  <c r="AK319" i="1" s="1"/>
  <c r="AJ320" i="1"/>
  <c r="AK320" i="1" s="1"/>
  <c r="AJ321" i="1"/>
  <c r="AK321" i="1" s="1"/>
  <c r="AJ322" i="1"/>
  <c r="AK322" i="1" s="1"/>
  <c r="AJ323" i="1"/>
  <c r="AK323" i="1" s="1"/>
  <c r="AJ324" i="1"/>
  <c r="AK324" i="1" s="1"/>
  <c r="AJ325" i="1"/>
  <c r="AK325" i="1" s="1"/>
  <c r="AJ326" i="1"/>
  <c r="AK326" i="1" s="1"/>
  <c r="AJ327" i="1"/>
  <c r="AK327" i="1" s="1"/>
  <c r="AJ328" i="1"/>
  <c r="AK328" i="1" s="1"/>
  <c r="AJ329" i="1"/>
  <c r="AK329" i="1" s="1"/>
  <c r="AJ330" i="1"/>
  <c r="AK330" i="1" s="1"/>
  <c r="AJ331" i="1"/>
  <c r="AK331" i="1" s="1"/>
  <c r="AJ332" i="1"/>
  <c r="AK332" i="1" s="1"/>
  <c r="AJ333" i="1"/>
  <c r="AK333" i="1" s="1"/>
  <c r="AJ334" i="1"/>
  <c r="AK334" i="1" s="1"/>
  <c r="AJ335" i="1"/>
  <c r="AK335" i="1" s="1"/>
  <c r="AJ336" i="1"/>
  <c r="AK336" i="1" s="1"/>
  <c r="AK337" i="1"/>
  <c r="AJ338" i="1"/>
  <c r="AK338" i="1" s="1"/>
  <c r="AK339" i="1"/>
  <c r="AJ340" i="1"/>
  <c r="AK340" i="1" s="1"/>
  <c r="AK341" i="1"/>
  <c r="AJ342" i="1"/>
  <c r="AK342" i="1" s="1"/>
  <c r="AK343" i="1"/>
  <c r="AJ344" i="1"/>
  <c r="AK344" i="1" s="1"/>
  <c r="AK345" i="1"/>
  <c r="AJ346" i="1"/>
  <c r="AK346" i="1" s="1"/>
  <c r="AJ347" i="1"/>
  <c r="AK347" i="1" s="1"/>
  <c r="AJ348" i="1"/>
  <c r="AK348" i="1" s="1"/>
  <c r="AJ349" i="1"/>
  <c r="AK349" i="1" s="1"/>
  <c r="AJ350" i="1"/>
  <c r="AK350" i="1" s="1"/>
  <c r="AJ351" i="1"/>
  <c r="AK351" i="1" s="1"/>
  <c r="AJ352" i="1"/>
  <c r="AK352" i="1" s="1"/>
  <c r="AJ353" i="1"/>
  <c r="AK353" i="1" s="1"/>
  <c r="AJ354" i="1"/>
  <c r="AK354" i="1" s="1"/>
  <c r="AJ355" i="1"/>
  <c r="AK355" i="1" s="1"/>
  <c r="AJ356" i="1"/>
  <c r="AK356" i="1" s="1"/>
  <c r="AJ357" i="1"/>
  <c r="AK357" i="1" s="1"/>
  <c r="AJ358" i="1"/>
  <c r="AK358" i="1" s="1"/>
  <c r="AJ359" i="1"/>
  <c r="AK359" i="1" s="1"/>
  <c r="AJ360" i="1"/>
  <c r="AK360" i="1" s="1"/>
  <c r="AJ361" i="1"/>
  <c r="AK361" i="1" s="1"/>
  <c r="AJ362" i="1"/>
  <c r="AK362" i="1" s="1"/>
  <c r="AJ363" i="1"/>
  <c r="AK363" i="1" s="1"/>
  <c r="AJ364" i="1"/>
  <c r="AK364" i="1" s="1"/>
  <c r="AJ365" i="1"/>
  <c r="AK365" i="1" s="1"/>
  <c r="AJ366" i="1"/>
  <c r="AK366" i="1" s="1"/>
  <c r="AJ367" i="1"/>
  <c r="AK367" i="1" s="1"/>
  <c r="AJ368" i="1"/>
  <c r="AK368" i="1" s="1"/>
  <c r="AJ369" i="1"/>
  <c r="AK369" i="1" s="1"/>
  <c r="AJ370" i="1"/>
  <c r="AK370" i="1" s="1"/>
  <c r="AJ371" i="1"/>
  <c r="AK371" i="1" s="1"/>
  <c r="AJ372" i="1"/>
  <c r="AK372" i="1" s="1"/>
  <c r="AJ373" i="1"/>
  <c r="AK373" i="1" s="1"/>
  <c r="AJ374" i="1"/>
  <c r="AK374" i="1" s="1"/>
  <c r="AJ375" i="1"/>
  <c r="AK375" i="1" s="1"/>
  <c r="AJ376" i="1"/>
  <c r="AK376" i="1" s="1"/>
  <c r="AJ377" i="1"/>
  <c r="AK377" i="1" s="1"/>
  <c r="AJ378" i="1"/>
  <c r="AK378" i="1" s="1"/>
  <c r="AJ379" i="1"/>
  <c r="AK379" i="1" s="1"/>
  <c r="AJ380" i="1"/>
  <c r="AK380" i="1" s="1"/>
  <c r="AJ381" i="1"/>
  <c r="AK381" i="1" s="1"/>
  <c r="AJ382" i="1"/>
  <c r="AK382" i="1" s="1"/>
  <c r="AJ383" i="1"/>
  <c r="AK383" i="1" s="1"/>
  <c r="AJ384" i="1"/>
  <c r="AK384" i="1" s="1"/>
  <c r="AJ385" i="1"/>
  <c r="AK385" i="1" s="1"/>
  <c r="AJ386" i="1"/>
  <c r="AK386" i="1" s="1"/>
  <c r="AJ387" i="1"/>
  <c r="AK387" i="1" s="1"/>
  <c r="AJ388" i="1"/>
  <c r="AK388" i="1" s="1"/>
  <c r="AJ389" i="1"/>
  <c r="AK389" i="1" s="1"/>
  <c r="AJ390" i="1"/>
  <c r="AK390" i="1" s="1"/>
  <c r="AJ391" i="1"/>
  <c r="AK391" i="1" s="1"/>
  <c r="AJ392" i="1"/>
  <c r="AK392" i="1" s="1"/>
  <c r="AJ393" i="1"/>
  <c r="AK393" i="1" s="1"/>
  <c r="AJ394" i="1"/>
  <c r="AK394" i="1" s="1"/>
  <c r="AJ395" i="1"/>
  <c r="AK395" i="1" s="1"/>
  <c r="AJ396" i="1"/>
  <c r="AK396" i="1" s="1"/>
  <c r="AJ397" i="1"/>
  <c r="AK397" i="1" s="1"/>
  <c r="AJ398" i="1"/>
  <c r="AK398" i="1" s="1"/>
  <c r="AJ399" i="1"/>
  <c r="AK399" i="1" s="1"/>
  <c r="AJ400" i="1"/>
  <c r="AK400" i="1" s="1"/>
  <c r="AJ401" i="1"/>
  <c r="AK401" i="1" s="1"/>
  <c r="AJ402" i="1"/>
  <c r="AK402" i="1" s="1"/>
  <c r="AJ403" i="1"/>
  <c r="AK403" i="1" s="1"/>
  <c r="AJ404" i="1"/>
  <c r="AK404" i="1" s="1"/>
  <c r="AJ405" i="1"/>
  <c r="AK405" i="1" s="1"/>
  <c r="AJ406" i="1"/>
  <c r="AK406" i="1" s="1"/>
  <c r="AJ407" i="1"/>
  <c r="AK407" i="1" s="1"/>
  <c r="AJ408" i="1"/>
  <c r="AK408" i="1" s="1"/>
  <c r="AJ409" i="1"/>
  <c r="AK409" i="1" s="1"/>
  <c r="AJ410" i="1"/>
  <c r="AK410" i="1" s="1"/>
  <c r="AJ411" i="1"/>
  <c r="AK411" i="1" s="1"/>
  <c r="AJ412" i="1"/>
  <c r="AK412" i="1" s="1"/>
  <c r="AJ413" i="1"/>
  <c r="AK413" i="1" s="1"/>
  <c r="AJ414" i="1"/>
  <c r="AK414" i="1" s="1"/>
  <c r="AJ415" i="1"/>
  <c r="AK415" i="1" s="1"/>
  <c r="AJ416" i="1"/>
  <c r="AK416" i="1" s="1"/>
  <c r="AJ417" i="1"/>
  <c r="AK417" i="1" s="1"/>
  <c r="AJ418" i="1"/>
  <c r="AK418" i="1" s="1"/>
  <c r="AJ419" i="1"/>
  <c r="AK419" i="1" s="1"/>
  <c r="AJ420" i="1"/>
  <c r="AK420" i="1" s="1"/>
  <c r="AJ421" i="1"/>
  <c r="AK421" i="1" s="1"/>
  <c r="AJ422" i="1"/>
  <c r="AK422" i="1" s="1"/>
  <c r="AJ423" i="1"/>
  <c r="AK423" i="1" s="1"/>
  <c r="AJ424" i="1"/>
  <c r="AK424" i="1" s="1"/>
  <c r="AJ425" i="1"/>
  <c r="AK425" i="1" s="1"/>
  <c r="AJ426" i="1"/>
  <c r="AK426" i="1" s="1"/>
  <c r="AJ427" i="1"/>
  <c r="AK427" i="1" s="1"/>
  <c r="AJ428" i="1"/>
  <c r="AK428" i="1" s="1"/>
  <c r="AJ429" i="1"/>
  <c r="AK429" i="1" s="1"/>
  <c r="AJ430" i="1"/>
  <c r="AK430" i="1" s="1"/>
  <c r="AJ431" i="1"/>
  <c r="AK431" i="1" s="1"/>
  <c r="AK432" i="1"/>
  <c r="AJ433" i="1"/>
  <c r="AK433" i="1" s="1"/>
  <c r="AK434" i="1"/>
  <c r="AJ435" i="1"/>
  <c r="AK435" i="1" s="1"/>
  <c r="AK436" i="1"/>
  <c r="AJ437" i="1"/>
  <c r="AK437" i="1" s="1"/>
  <c r="AK438" i="1"/>
  <c r="AJ439" i="1"/>
  <c r="AK439" i="1" s="1"/>
  <c r="AK440" i="1"/>
  <c r="AJ441" i="1"/>
  <c r="AK441" i="1" s="1"/>
  <c r="AK442" i="1"/>
  <c r="AJ443" i="1"/>
  <c r="AK443" i="1" s="1"/>
  <c r="AK444" i="1"/>
  <c r="AJ445" i="1"/>
  <c r="AK445" i="1" s="1"/>
  <c r="AK446" i="1"/>
  <c r="AJ447" i="1"/>
  <c r="AK447" i="1" s="1"/>
  <c r="AJ448" i="1"/>
  <c r="AK448" i="1" s="1"/>
  <c r="AJ449" i="1"/>
  <c r="AK449" i="1" s="1"/>
  <c r="AJ450" i="1"/>
  <c r="AK450" i="1" s="1"/>
  <c r="AJ451" i="1"/>
  <c r="AK451" i="1" s="1"/>
  <c r="AJ452" i="1"/>
  <c r="AK452" i="1" s="1"/>
  <c r="AJ453" i="1"/>
  <c r="AK453" i="1" s="1"/>
  <c r="AJ454" i="1"/>
  <c r="AK454" i="1" s="1"/>
  <c r="AJ455" i="1"/>
  <c r="AK455" i="1" s="1"/>
  <c r="AJ456" i="1"/>
  <c r="AK456" i="1" s="1"/>
  <c r="AJ457" i="1"/>
  <c r="AK457" i="1" s="1"/>
  <c r="AJ458" i="1"/>
  <c r="AK458" i="1" s="1"/>
  <c r="AJ459" i="1"/>
  <c r="AK459" i="1" s="1"/>
  <c r="AJ460" i="1"/>
  <c r="AK460" i="1" s="1"/>
  <c r="AJ461" i="1"/>
  <c r="AK461" i="1" s="1"/>
  <c r="AJ462" i="1"/>
  <c r="AK462" i="1" s="1"/>
  <c r="AJ463" i="1"/>
  <c r="AK463" i="1" s="1"/>
  <c r="AJ464" i="1"/>
  <c r="AK464" i="1" s="1"/>
  <c r="AJ465" i="1"/>
  <c r="AK465" i="1" s="1"/>
  <c r="AJ466" i="1"/>
  <c r="AK466" i="1" s="1"/>
  <c r="AJ467" i="1"/>
  <c r="AK467" i="1" s="1"/>
  <c r="AJ468" i="1"/>
  <c r="AK468" i="1" s="1"/>
  <c r="AJ469" i="1"/>
  <c r="AK469" i="1" s="1"/>
  <c r="AJ470" i="1"/>
  <c r="AK470" i="1" s="1"/>
  <c r="AJ471" i="1"/>
  <c r="AK471" i="1" s="1"/>
  <c r="AJ472" i="1"/>
  <c r="AK472" i="1" s="1"/>
  <c r="AJ473" i="1"/>
  <c r="AK473" i="1" s="1"/>
  <c r="AJ474" i="1"/>
  <c r="AK474" i="1" s="1"/>
  <c r="AJ475" i="1"/>
  <c r="AK475" i="1" s="1"/>
  <c r="AJ477" i="1"/>
  <c r="AK477" i="1" s="1"/>
  <c r="AJ479" i="1"/>
  <c r="AK479" i="1" s="1"/>
  <c r="AJ481" i="1"/>
  <c r="AK481" i="1" s="1"/>
  <c r="AJ483" i="1"/>
  <c r="AK483" i="1" s="1"/>
  <c r="AJ485" i="1"/>
  <c r="AK485" i="1" s="1"/>
  <c r="AK486" i="1"/>
  <c r="AJ487" i="1"/>
  <c r="AK487" i="1" s="1"/>
  <c r="AK488" i="1"/>
  <c r="AJ489" i="1"/>
  <c r="AK489" i="1" s="1"/>
  <c r="AJ490" i="1"/>
  <c r="AK490" i="1" s="1"/>
  <c r="AJ491" i="1"/>
  <c r="AK491" i="1" s="1"/>
  <c r="AJ492" i="1"/>
  <c r="AK492" i="1" s="1"/>
  <c r="AJ493" i="1"/>
  <c r="AK493" i="1" s="1"/>
  <c r="AJ494" i="1"/>
  <c r="AK494" i="1" s="1"/>
  <c r="AJ495" i="1"/>
  <c r="AK495" i="1" s="1"/>
  <c r="AJ496" i="1"/>
  <c r="AK496" i="1" s="1"/>
  <c r="AJ497" i="1"/>
  <c r="AK497" i="1" s="1"/>
  <c r="AJ498" i="1"/>
  <c r="AK498" i="1" s="1"/>
  <c r="AJ499" i="1"/>
  <c r="AK499" i="1" s="1"/>
  <c r="AJ500" i="1"/>
  <c r="AK500" i="1" s="1"/>
  <c r="AJ501" i="1"/>
  <c r="AK501" i="1" s="1"/>
  <c r="AJ502" i="1"/>
  <c r="AK502" i="1" s="1"/>
  <c r="AJ503" i="1"/>
  <c r="AK503" i="1" s="1"/>
  <c r="AJ504" i="1"/>
  <c r="AK504" i="1" s="1"/>
  <c r="AJ505" i="1"/>
  <c r="AK505" i="1" s="1"/>
  <c r="AJ506" i="1"/>
  <c r="AK506" i="1" s="1"/>
  <c r="AJ507" i="1"/>
  <c r="AK507" i="1" s="1"/>
  <c r="AJ508" i="1"/>
  <c r="AK508" i="1" s="1"/>
  <c r="AJ509" i="1"/>
  <c r="AK509" i="1" s="1"/>
  <c r="AK510" i="1"/>
  <c r="AK512" i="1"/>
  <c r="AK514" i="1"/>
  <c r="AK516" i="1"/>
  <c r="AK518" i="1"/>
  <c r="AK520" i="1"/>
  <c r="AK522" i="1"/>
  <c r="AJ523" i="1"/>
  <c r="AK523" i="1" s="1"/>
  <c r="AK524" i="1"/>
  <c r="AJ525" i="1"/>
  <c r="AK525" i="1" s="1"/>
  <c r="AJ526" i="1"/>
  <c r="AK526" i="1" s="1"/>
  <c r="AJ527" i="1"/>
  <c r="AK527" i="1" s="1"/>
  <c r="AJ528" i="1"/>
  <c r="AK528" i="1" s="1"/>
  <c r="AJ529" i="1"/>
  <c r="AK529" i="1" s="1"/>
  <c r="AJ530" i="1"/>
  <c r="AK530" i="1" s="1"/>
  <c r="AJ531" i="1"/>
  <c r="AK531" i="1" s="1"/>
  <c r="AJ532" i="1"/>
  <c r="AK532" i="1" s="1"/>
  <c r="AJ533" i="1"/>
  <c r="AK533" i="1" s="1"/>
  <c r="AJ534" i="1"/>
  <c r="AK534" i="1" s="1"/>
  <c r="AJ535" i="1"/>
  <c r="AK535" i="1" s="1"/>
  <c r="AJ536" i="1"/>
  <c r="AK536" i="1" s="1"/>
  <c r="AJ537" i="1"/>
  <c r="AK537" i="1" s="1"/>
  <c r="AJ538" i="1"/>
  <c r="AK538" i="1" s="1"/>
  <c r="AJ539" i="1"/>
  <c r="AK539" i="1" s="1"/>
  <c r="AJ540" i="1"/>
  <c r="AK540" i="1" s="1"/>
  <c r="AJ541" i="1"/>
  <c r="AK541" i="1" s="1"/>
  <c r="AJ542" i="1"/>
  <c r="AK542" i="1" s="1"/>
  <c r="AJ543" i="1"/>
  <c r="AK543" i="1" s="1"/>
  <c r="AJ544" i="1"/>
  <c r="AK544" i="1" s="1"/>
  <c r="AJ545" i="1"/>
  <c r="AK545" i="1" s="1"/>
  <c r="AJ546" i="1"/>
  <c r="AK546" i="1" s="1"/>
  <c r="AJ547" i="1"/>
  <c r="AK547" i="1" s="1"/>
  <c r="AJ548" i="1"/>
  <c r="AK548" i="1" s="1"/>
  <c r="AJ549" i="1"/>
  <c r="AK549" i="1" s="1"/>
  <c r="AJ550" i="1"/>
  <c r="AK550" i="1" s="1"/>
  <c r="AJ551" i="1"/>
  <c r="AK551" i="1" s="1"/>
  <c r="AJ552" i="1"/>
  <c r="AK552" i="1" s="1"/>
  <c r="AJ553" i="1"/>
  <c r="AK553" i="1" s="1"/>
  <c r="AJ554" i="1"/>
  <c r="AK554" i="1" s="1"/>
  <c r="AJ555" i="1"/>
  <c r="AK555" i="1" s="1"/>
  <c r="AJ556" i="1"/>
  <c r="AK556" i="1" s="1"/>
  <c r="AJ557" i="1"/>
  <c r="AK557" i="1" s="1"/>
  <c r="AJ2" i="1"/>
  <c r="AK2" i="1" s="1"/>
  <c r="Z32" i="1" l="1"/>
  <c r="Z819" i="1"/>
  <c r="Z936" i="1"/>
  <c r="Z829" i="1"/>
  <c r="Z934" i="1"/>
  <c r="Z938" i="1"/>
  <c r="Z618" i="1"/>
  <c r="Z586" i="1"/>
  <c r="Z570" i="1"/>
  <c r="Z500" i="1"/>
  <c r="Z436" i="1"/>
  <c r="Z384" i="1"/>
  <c r="Z246" i="1"/>
  <c r="Z196" i="1"/>
  <c r="Z526" i="1"/>
  <c r="Z865" i="1"/>
  <c r="Z922" i="1"/>
  <c r="Z892" i="1"/>
  <c r="Z616" i="1"/>
  <c r="Z554" i="1"/>
  <c r="Z498" i="1"/>
  <c r="Z450" i="1"/>
  <c r="Z434" i="1"/>
  <c r="Z412" i="1"/>
  <c r="Z398" i="1"/>
  <c r="Z382" i="1"/>
  <c r="Z260" i="1"/>
  <c r="Z244" i="1"/>
  <c r="Z230" i="1"/>
  <c r="Z218" i="1"/>
  <c r="Z194" i="1"/>
  <c r="Z178" i="1"/>
  <c r="Z164" i="1"/>
  <c r="Z132" i="1"/>
  <c r="Z122" i="1"/>
  <c r="Z110" i="1"/>
  <c r="Z102" i="1"/>
  <c r="Z90" i="1"/>
  <c r="Z76" i="1"/>
  <c r="Z50" i="1"/>
  <c r="Z34" i="1"/>
  <c r="Z946" i="1"/>
  <c r="Z932" i="1"/>
  <c r="Z916" i="1"/>
  <c r="Z900" i="1"/>
  <c r="Z839" i="1"/>
  <c r="Z786" i="1"/>
  <c r="Z656" i="1"/>
  <c r="Z628" i="1"/>
  <c r="Z612" i="1"/>
  <c r="Z596" i="1"/>
  <c r="Z580" i="1"/>
  <c r="Z566" i="1"/>
  <c r="Z550" i="1"/>
  <c r="Z534" i="1"/>
  <c r="Z510" i="1"/>
  <c r="Z494" i="1"/>
  <c r="Z482" i="1"/>
  <c r="Z446" i="1"/>
  <c r="Z424" i="1"/>
  <c r="Z408" i="1"/>
  <c r="Z394" i="1"/>
  <c r="Z378" i="1"/>
  <c r="Z256" i="1"/>
  <c r="Z240" i="1"/>
  <c r="Z226" i="1"/>
  <c r="Z214" i="1"/>
  <c r="Z190" i="1"/>
  <c r="Z160" i="1"/>
  <c r="Z144" i="1"/>
  <c r="Z118" i="1"/>
  <c r="Z106" i="1"/>
  <c r="Z98" i="1"/>
  <c r="Z86" i="1"/>
  <c r="Z72" i="1"/>
  <c r="Z277" i="1"/>
  <c r="Z367" i="1"/>
  <c r="Z783" i="1"/>
  <c r="Z770" i="1"/>
  <c r="Z758" i="1"/>
  <c r="Z740" i="1"/>
  <c r="Z375" i="1"/>
  <c r="Z359" i="1"/>
  <c r="Z343" i="1"/>
  <c r="Z335" i="1"/>
  <c r="Z295" i="1"/>
  <c r="Z25" i="1"/>
  <c r="Z15" i="1"/>
  <c r="Z329" i="1"/>
  <c r="Z337" i="1"/>
  <c r="Z351" i="1"/>
  <c r="Z748" i="1"/>
  <c r="Z301" i="1"/>
  <c r="Z315" i="1"/>
  <c r="Z879" i="1"/>
  <c r="Z861" i="1"/>
  <c r="Z813" i="1"/>
  <c r="Z764" i="1"/>
  <c r="Z752" i="1"/>
  <c r="Z734" i="1"/>
  <c r="Z722" i="1"/>
  <c r="Z694" i="1"/>
  <c r="Z369" i="1"/>
  <c r="Z353" i="1"/>
  <c r="Z339" i="1"/>
  <c r="Z331" i="1"/>
  <c r="Z317" i="1"/>
  <c r="Z303" i="1"/>
  <c r="Z292" i="1"/>
  <c r="Z181" i="1"/>
  <c r="Z37" i="1"/>
  <c r="Z9" i="1"/>
  <c r="Z732" i="1"/>
  <c r="Z825" i="1"/>
  <c r="Z801" i="1"/>
  <c r="Z760" i="1"/>
  <c r="Z726" i="1"/>
  <c r="Z702" i="1"/>
  <c r="Z309" i="1"/>
  <c r="Z297" i="1"/>
  <c r="Z27" i="1"/>
  <c r="Z17" i="1"/>
  <c r="Z942" i="1"/>
  <c r="Z912" i="1"/>
  <c r="Z898" i="1"/>
  <c r="Z845" i="1"/>
  <c r="Z835" i="1"/>
  <c r="Z798" i="1"/>
  <c r="Z671" i="1"/>
  <c r="Z652" i="1"/>
  <c r="Z640" i="1"/>
  <c r="Z624" i="1"/>
  <c r="Z608" i="1"/>
  <c r="Z592" i="1"/>
  <c r="Z576" i="1"/>
  <c r="Z562" i="1"/>
  <c r="Z546" i="1"/>
  <c r="Z530" i="1"/>
  <c r="Z522" i="1"/>
  <c r="Z506" i="1"/>
  <c r="Z490" i="1"/>
  <c r="Z458" i="1"/>
  <c r="Z442" i="1"/>
  <c r="Z252" i="1"/>
  <c r="Z236" i="1"/>
  <c r="Z210" i="1"/>
  <c r="Z833" i="1"/>
  <c r="Z650" i="1"/>
  <c r="Z638" i="1"/>
  <c r="Z606" i="1"/>
  <c r="Z590" i="1"/>
  <c r="Z574" i="1"/>
  <c r="Z560" i="1"/>
  <c r="Z520" i="1"/>
  <c r="Z504" i="1"/>
  <c r="Z474" i="1"/>
  <c r="Z440" i="1"/>
  <c r="Z388" i="1"/>
  <c r="Z250" i="1"/>
  <c r="Z881" i="1"/>
  <c r="Z863" i="1"/>
  <c r="Z795" i="1"/>
  <c r="Z776" i="1"/>
  <c r="Z766" i="1"/>
  <c r="Z754" i="1"/>
  <c r="Z736" i="1"/>
  <c r="Z724" i="1"/>
  <c r="Z708" i="1"/>
  <c r="Z371" i="1"/>
  <c r="Z355" i="1"/>
  <c r="Z319" i="1"/>
  <c r="Z305" i="1"/>
  <c r="Z11" i="1"/>
  <c r="Z712" i="1"/>
  <c r="Z700" i="1"/>
  <c r="Z142" i="1"/>
  <c r="Z70" i="1"/>
  <c r="Z902" i="1"/>
  <c r="Z658" i="1"/>
  <c r="Z630" i="1"/>
  <c r="Z614" i="1"/>
  <c r="Z582" i="1"/>
  <c r="Z536" i="1"/>
  <c r="Z512" i="1"/>
  <c r="Z496" i="1"/>
  <c r="Z484" i="1"/>
  <c r="Z448" i="1"/>
  <c r="Z426" i="1"/>
  <c r="Z396" i="1"/>
  <c r="Z271" i="1"/>
  <c r="Z242" i="1"/>
  <c r="Z228" i="1"/>
  <c r="Z216" i="1"/>
  <c r="Z192" i="1"/>
  <c r="Z162" i="1"/>
  <c r="Z120" i="1"/>
  <c r="Z108" i="1"/>
  <c r="Z100" i="1"/>
  <c r="Z88" i="1"/>
  <c r="Z62" i="1"/>
  <c r="Z280" i="1"/>
  <c r="Z206" i="1"/>
  <c r="Z152" i="1"/>
  <c r="Z720" i="1"/>
  <c r="Z692" i="1"/>
  <c r="Z472" i="1"/>
  <c r="Z170" i="1"/>
  <c r="Z528" i="1"/>
  <c r="Z94" i="1"/>
  <c r="Z202" i="1"/>
  <c r="Z438" i="1"/>
  <c r="Z3" i="1"/>
  <c r="Z96" i="1"/>
  <c r="Z60" i="1"/>
  <c r="Z46" i="1"/>
  <c r="Z402" i="1"/>
  <c r="Z944" i="1"/>
  <c r="Z930" i="1"/>
  <c r="Z914" i="1"/>
  <c r="Z886" i="1"/>
  <c r="Z850" i="1"/>
  <c r="Z837" i="1"/>
  <c r="Z683" i="1"/>
  <c r="Z654" i="1"/>
  <c r="Z642" i="1"/>
  <c r="Z626" i="1"/>
  <c r="Z610" i="1"/>
  <c r="Z594" i="1"/>
  <c r="Z578" i="1"/>
  <c r="Z564" i="1"/>
  <c r="Z532" i="1"/>
  <c r="Z524" i="1"/>
  <c r="Z508" i="1"/>
  <c r="Z492" i="1"/>
  <c r="Z480" i="1"/>
  <c r="Z460" i="1"/>
  <c r="Z444" i="1"/>
  <c r="Z286" i="1"/>
  <c r="Z238" i="1"/>
  <c r="Z188" i="1"/>
  <c r="Z871" i="1"/>
  <c r="Z422" i="1"/>
  <c r="Z406" i="1"/>
  <c r="Z392" i="1"/>
  <c r="Z212" i="1"/>
  <c r="Z158" i="1"/>
  <c r="Z84" i="1"/>
  <c r="Z58" i="1"/>
  <c r="Z254" i="1"/>
  <c r="Z204" i="1"/>
  <c r="Z920" i="1"/>
  <c r="Z258" i="1"/>
  <c r="Z420" i="1"/>
  <c r="Z390" i="1"/>
  <c r="Z186" i="1"/>
  <c r="Z156" i="1"/>
  <c r="Z128" i="1"/>
  <c r="Z56" i="1"/>
  <c r="Z883" i="1"/>
  <c r="Z778" i="1"/>
  <c r="Z768" i="1"/>
  <c r="Z756" i="1"/>
  <c r="Z710" i="1"/>
  <c r="Z698" i="1"/>
  <c r="Z430" i="1"/>
  <c r="Z373" i="1"/>
  <c r="Z357" i="1"/>
  <c r="Z341" i="1"/>
  <c r="Z333" i="1"/>
  <c r="Z307" i="1"/>
  <c r="Z283" i="1"/>
  <c r="Z23" i="1"/>
  <c r="Z13" i="1"/>
  <c r="Z598" i="1"/>
  <c r="Z418" i="1"/>
  <c r="Z224" i="1"/>
  <c r="Z200" i="1"/>
  <c r="Z138" i="1"/>
  <c r="Z116" i="1"/>
  <c r="Z66" i="1"/>
  <c r="Z40" i="1"/>
  <c r="Z48" i="1"/>
  <c r="Z928" i="1"/>
  <c r="Z696" i="1"/>
  <c r="Z668" i="1"/>
  <c r="Z622" i="1"/>
  <c r="Z265" i="1"/>
  <c r="Z380" i="1"/>
  <c r="Z19" i="1"/>
  <c r="Z908" i="1"/>
  <c r="Z841" i="1"/>
  <c r="Z831" i="1"/>
  <c r="Z680" i="1"/>
  <c r="Z648" i="1"/>
  <c r="Z620" i="1"/>
  <c r="Z588" i="1"/>
  <c r="Z558" i="1"/>
  <c r="Z502" i="1"/>
  <c r="Z454" i="1"/>
  <c r="Z416" i="1"/>
  <c r="Z386" i="1"/>
  <c r="Z136" i="1"/>
  <c r="Z124" i="1"/>
  <c r="Z114" i="1"/>
  <c r="Z146" i="1"/>
  <c r="Z855" i="1"/>
  <c r="Z924" i="1"/>
  <c r="Z906" i="1"/>
  <c r="Z792" i="1"/>
  <c r="Z665" i="1"/>
  <c r="Z634" i="1"/>
  <c r="Z602" i="1"/>
  <c r="Z516" i="1"/>
  <c r="Z486" i="1"/>
  <c r="Z470" i="1"/>
  <c r="Z452" i="1"/>
  <c r="Z414" i="1"/>
  <c r="Z400" i="1"/>
  <c r="Z262" i="1"/>
  <c r="Z232" i="1"/>
  <c r="Z220" i="1"/>
  <c r="Z166" i="1"/>
  <c r="Z150" i="1"/>
  <c r="Z134" i="1"/>
  <c r="Z112" i="1"/>
  <c r="Z104" i="1"/>
  <c r="Z92" i="1"/>
  <c r="Z78" i="1"/>
  <c r="Z52" i="1"/>
  <c r="Z410" i="1"/>
  <c r="Z762" i="1"/>
  <c r="Z877" i="1"/>
  <c r="Z859" i="1"/>
  <c r="Z827" i="1"/>
  <c r="Z432" i="1"/>
  <c r="Z728" i="1"/>
  <c r="Z74" i="1"/>
  <c r="Z774" i="1"/>
  <c r="Z5" i="1"/>
  <c r="Z875" i="1"/>
  <c r="Z857" i="1"/>
  <c r="Z789" i="1"/>
  <c r="Z746" i="1"/>
  <c r="Z730" i="1"/>
  <c r="Z718" i="1"/>
  <c r="Z706" i="1"/>
  <c r="Z690" i="1"/>
  <c r="Z584" i="1"/>
  <c r="Z468" i="1"/>
  <c r="Z365" i="1"/>
  <c r="Z349" i="1"/>
  <c r="Z327" i="1"/>
  <c r="Z313" i="1"/>
  <c r="Z299" i="1"/>
  <c r="Z21" i="1"/>
  <c r="Z345" i="1"/>
  <c r="Z889" i="1"/>
  <c r="Z823" i="1"/>
  <c r="Z744" i="1"/>
  <c r="Z716" i="1"/>
  <c r="Z704" i="1"/>
  <c r="Z686" i="1"/>
  <c r="Z363" i="1"/>
  <c r="Z311" i="1"/>
  <c r="Z175" i="1"/>
  <c r="Z873" i="1"/>
  <c r="Z347" i="1"/>
  <c r="Z325" i="1"/>
  <c r="Z289" i="1"/>
  <c r="Z7" i="1"/>
  <c r="Z772" i="1"/>
  <c r="Z742" i="1"/>
  <c r="Z714" i="1"/>
  <c r="Z674" i="1"/>
  <c r="Z361" i="1"/>
  <c r="Z869" i="1"/>
  <c r="Z43" i="1"/>
  <c r="Z268" i="1"/>
  <c r="Z140" i="1"/>
  <c r="Z68" i="1"/>
  <c r="Z940" i="1"/>
  <c r="Z910" i="1"/>
  <c r="Z843" i="1"/>
  <c r="Z816" i="1"/>
  <c r="Z488" i="1"/>
  <c r="Z456" i="1"/>
  <c r="Z428" i="1"/>
  <c r="Z404" i="1"/>
  <c r="Z234" i="1"/>
  <c r="Z208" i="1"/>
  <c r="Z184" i="1"/>
  <c r="Z154" i="1"/>
  <c r="Z126" i="1"/>
  <c r="Z82" i="1"/>
  <c r="Z54" i="1"/>
  <c r="Z926" i="1"/>
  <c r="Z636" i="1"/>
  <c r="Z604" i="1"/>
  <c r="Z572" i="1"/>
  <c r="Z542" i="1"/>
  <c r="Z518" i="1"/>
  <c r="Z248" i="1"/>
  <c r="Z222" i="1"/>
  <c r="Z198" i="1"/>
  <c r="Z904" i="1"/>
  <c r="Z660" i="1"/>
  <c r="Z632" i="1"/>
  <c r="Z600" i="1"/>
  <c r="Z568" i="1"/>
  <c r="Z538" i="1"/>
  <c r="Z51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<sst xmlns="http://schemas.openxmlformats.org/spreadsheetml/2006/main" count="20386" uniqueCount="1259">
  <si>
    <t>studyID</t>
  </si>
  <si>
    <t>N</t>
  </si>
  <si>
    <t>age</t>
  </si>
  <si>
    <t>sex_males_% pren</t>
  </si>
  <si>
    <t>cognition status</t>
  </si>
  <si>
    <t>dementia_subtype</t>
  </si>
  <si>
    <t>country</t>
  </si>
  <si>
    <t>baseline_functional_status</t>
  </si>
  <si>
    <t>frailty_status</t>
  </si>
  <si>
    <t>multimorbidity</t>
  </si>
  <si>
    <t>polypharmacy</t>
  </si>
  <si>
    <t>disease</t>
  </si>
  <si>
    <t>intervention</t>
  </si>
  <si>
    <t>agent</t>
  </si>
  <si>
    <t>trt</t>
  </si>
  <si>
    <t>outcome</t>
  </si>
  <si>
    <t>scale</t>
  </si>
  <si>
    <t>pren</t>
  </si>
  <si>
    <t>premean</t>
  </si>
  <si>
    <t>presd</t>
  </si>
  <si>
    <t>postn</t>
  </si>
  <si>
    <t>postmean</t>
  </si>
  <si>
    <t>postsd</t>
  </si>
  <si>
    <t>y</t>
  </si>
  <si>
    <t>se</t>
  </si>
  <si>
    <t>diff</t>
  </si>
  <si>
    <t>pooled_var</t>
  </si>
  <si>
    <t>se_diff</t>
  </si>
  <si>
    <t>lower_is_better</t>
  </si>
  <si>
    <t>Notes</t>
  </si>
  <si>
    <t>duration_weeks</t>
  </si>
  <si>
    <t>sessions</t>
  </si>
  <si>
    <t>time_session</t>
  </si>
  <si>
    <t>code_compendium</t>
  </si>
  <si>
    <t>METS_compendium</t>
  </si>
  <si>
    <t>dose_calculation</t>
  </si>
  <si>
    <t>weekly_dose</t>
  </si>
  <si>
    <t>intensity_level</t>
  </si>
  <si>
    <t>progression</t>
  </si>
  <si>
    <t>progression_type</t>
  </si>
  <si>
    <t>supervision</t>
  </si>
  <si>
    <t>exercise_delivery</t>
  </si>
  <si>
    <t>adverse_events</t>
  </si>
  <si>
    <t>dropout</t>
  </si>
  <si>
    <t>Alvarez-Barbosa, 2014</t>
  </si>
  <si>
    <t>healthy</t>
  </si>
  <si>
    <t>Spain</t>
  </si>
  <si>
    <t>na</t>
  </si>
  <si>
    <t>yes</t>
  </si>
  <si>
    <t>no</t>
  </si>
  <si>
    <t>usual care</t>
  </si>
  <si>
    <t>physical function</t>
  </si>
  <si>
    <t>TUG8</t>
  </si>
  <si>
    <t>NA</t>
  </si>
  <si>
    <t>The control group continued to receive the centre's usual care, which included physiotherapy (1 hour/week of therapeutic massage and thermotherapy), 4 hours/week of mobility and stretching exercises, occupational therapy and nursing care, with no changes in lifestyle.</t>
  </si>
  <si>
    <t>Given that the data were reported as median and interquartile range (IQR), mean and standard deviation were estimated assuming an approximately normal distribution, using the formula SD ≈ IQR/1.35</t>
  </si>
  <si>
    <t>exercise</t>
  </si>
  <si>
    <t>resistance</t>
  </si>
  <si>
    <t>wbv</t>
  </si>
  <si>
    <t xml:space="preserve">Eight-week whole-body vibration programme, with three sessions per week, based on dynamic exercises on a vibration platform. The intervention included six exercises with progression in repetitions (6–12) and frequency (30–35 Hz), constant amplitude of 4 mm and session duration of 12–17 minutes, under direct supervision. The control group continued with the centre's usual care without changing their lifestyle.
</t>
  </si>
  <si>
    <t>lineal</t>
  </si>
  <si>
    <t>fully</t>
  </si>
  <si>
    <t>researcher</t>
  </si>
  <si>
    <t>Given that the data were reported as median and interquartile range (IQR), mean and standard deviation were estimated assuming an approximately normal distribution, using the formula SD ≈ IQR/1.36</t>
  </si>
  <si>
    <t>30CSTS_times</t>
  </si>
  <si>
    <t>Given that the data were reported as median and interquartile range (IQR), mean and standard deviation were estimated assuming an approximately normal distribution, using the formula SD ≈ IQR/1.37</t>
  </si>
  <si>
    <t>Given that the data were reported as median and interquartile range (IQR), mean and standard deviation were estimated assuming an approximately normal distribution, using the formula SD ≈ IQR/1.38</t>
  </si>
  <si>
    <t>30CSTS_W</t>
  </si>
  <si>
    <t>Given that the data were reported as median and interquartile range (IQR), mean and standard deviation were estimated assuming an approximately normal distribution, using the formula SD ≈ IQR/1.39</t>
  </si>
  <si>
    <t>Given that the data were reported as median and interquartile range (IQR), mean and standard deviation were estimated assuming an approximately normal distribution, using the formula SD ≈ IQR/1.40</t>
  </si>
  <si>
    <t>quality of life</t>
  </si>
  <si>
    <t>eq-5d</t>
  </si>
  <si>
    <t>dependence</t>
  </si>
  <si>
    <t>Barthel</t>
  </si>
  <si>
    <t>Arrieta, 2018</t>
  </si>
  <si>
    <t>The control group only participated in routine low-intensity activities at the centre (memory workshops, reading, singing), without structured exercise or progression</t>
  </si>
  <si>
    <t>multicomponent</t>
  </si>
  <si>
    <t>resistance+balance</t>
  </si>
  <si>
    <t>The intervention group underwent a 12-week multicomponent programme with supervised sessions twice a week (45 min), which included strength training (40–70% 1RM), progressive balance training, stretching, and individualised recommendations for daily walking. 45=5' warms up, 25' strengh, 10 balance. Walk recomendatio 5' to 15'.</t>
  </si>
  <si>
    <t>0219060(2,5); 0205460(4,4); 0211360(3,5); 1715360(3,8)</t>
  </si>
  <si>
    <t>en la columna de researcher no lo indica por lo que no sé quien poner</t>
  </si>
  <si>
    <t>ACT_times</t>
  </si>
  <si>
    <t>6mWT(m)</t>
  </si>
  <si>
    <t>CSRT (cm)</t>
  </si>
  <si>
    <t>Gait_pref</t>
  </si>
  <si>
    <t>Gait4</t>
  </si>
  <si>
    <t>fall</t>
  </si>
  <si>
    <t>Berg</t>
  </si>
  <si>
    <t>physical activity</t>
  </si>
  <si>
    <t xml:space="preserve">LPA </t>
  </si>
  <si>
    <t xml:space="preserve">MVPA </t>
  </si>
  <si>
    <t>Sppb_Sco</t>
  </si>
  <si>
    <t>HandDo</t>
  </si>
  <si>
    <t>HandNo</t>
  </si>
  <si>
    <t>cognition</t>
  </si>
  <si>
    <t>MEC35_Sco</t>
  </si>
  <si>
    <t>Bays-Moneo, 2023</t>
  </si>
  <si>
    <t>mci</t>
  </si>
  <si>
    <t>pre-frail</t>
  </si>
  <si>
    <t xml:space="preserve"> The control group maintained the centre's usual care, with rehabilitation if necessary and a recommendation for daily walks, without structured exercise or progression.
</t>
  </si>
  <si>
    <t>areobic+resistance</t>
  </si>
  <si>
    <t>The calisthenics group performed 5 weekly 40-minute sessions with general strength exercises using elastic bands, mobility, and moderate-intensity walking.  The calisthenics group (CALG) performed five sessions per
week in a group of 20-25 patients for 40 minutes each. Each
session consisted of a warm-up, resistance training exercises
(focused on lower and upper limbs), and flexibility exercises.
Resistance training was performed using elastic bands with a
resistance of approximately 15 repetitions at an intensity of 5-6
on the Borg scale (a scale of 0-10), carried out in two sets of ten
repetitions of the main muscle groups’ movements. also performed gait retraining, walking from 5-10 minutes
during the first two weeks, and gradually increasing to 15-30
minutes at an intensity of 5-6 on the Borg scale (a scale of 0-10)
during the entire intervention.</t>
  </si>
  <si>
    <t>0202260(3,5); 1719060(5,3)</t>
  </si>
  <si>
    <t>resistance+balance+aerobic</t>
  </si>
  <si>
    <t>The multi-component group underwent a 12-month supervised programme combining strength/power training on a leg press machine (2 days/week; 20–60% 1RM at maximum speed), progressive balance exercises and gait retraining (3 days/week; 5–30 min; Borg 5–6). The progressive
resistance training program was performed 2 days a week,
starting with 2 sets of 8-10 repetitions at 20-30% of the 1RM
(one-repetition maximum) during the first two weeks and
progressing to 2-3 sets of 8-12 repetitions at an intensity of
40-60% of 1RM. Additionally, participants performed 2 sets of
8-10 repetitions of the sit-to-stand exercise at maximal intended
velocity. The balance training consisted of several exercise
progressions in difficulty, such as semitandem-foot standing to
tandem-foot standing, heel-toe walking, and standing on one
leg. Participants also performed gait retraining, walking from
5-10 minutes during the first 2 weeks, to 15-30 minutes at an
intensity of a 5-6 Borg score (scale 0-10 points) during the
whole intervention.</t>
  </si>
  <si>
    <t>0205460(4,3);1719060(5,3); 0211360(3,5)</t>
  </si>
  <si>
    <t>Therefore, knowing the CI limits and the sample size (n), the equation can be algebraically rearranged to estimate the standard deviation (SD). The value 1.96 was used assuming a 95% CI based on the normal distribution.
𝑆𝐷 = [(Upper - Lower) × √𝑛 ​]/ 2 x 1,96</t>
  </si>
  <si>
    <t>Therefore, knowing the CI limits and the sample size (n), the equation can be algebraically rearranged to estimate the standard deviation (SD). The value 1.96 was used assuming a 95% CI based on the normal distribution.
𝑆𝐷 = [(Upper - Lower) × √𝑛 ​]/ 2 x 1,97</t>
  </si>
  <si>
    <t>Therefore, knowing the CI limits and the sample size (n), the equation can be algebraically rearranged to estimate the standard deviation (SD). The value 1.96 was used assuming a 95% CI based on the normal distribution.
𝑆𝐷 = [(Upper - Lower) × √𝑛 ​]/ 2 x 1,98</t>
  </si>
  <si>
    <t>Therefore, knowing the CI limits and the sample size (n), the equation can be algebraically rearranged to estimate the standard deviation (SD). The value 1.96 was used assuming a 95% CI based on the normal distribution.
𝑆𝐷 = [(Upper - Lower) × √𝑛 ​]/ 2 x 1,99</t>
  </si>
  <si>
    <t>Therefore, knowing the CI limits and the sample size (n), the equation can be algebraically rearranged to estimate the standard deviation (SD). The value 1.96 was used assuming a 95% CI based on the normal distribution.
𝑆𝐷 = [(Upper - Lower) × √𝑛 ​]/ 2 x 1,100</t>
  </si>
  <si>
    <t>Therefore, knowing the CI limits and the sample size (n), the equation can be algebraically rearranged to estimate the standard deviation (SD). The value 1.96 was used assuming a 95% CI based on the normal distribution.
𝑆𝐷 = [(Upper - Lower) × √𝑛 ​]/ 2 x 1,101</t>
  </si>
  <si>
    <t>Therefore, knowing the CI limits and the sample size (n), the equation can be algebraically rearranged to estimate the standard deviation (SD). The value 1.96 was used assuming a 95% CI based on the normal distribution.
𝑆𝐷 = [(Upper - Lower) × √𝑛 ​]/ 2 x 1,102</t>
  </si>
  <si>
    <t>Therefore, knowing the CI limits and the sample size (n), the equation can be algebraically rearranged to estimate the standard deviation (SD). The value 1.96 was used assuming a 95% CI based on the normal distribution.
𝑆𝐷 = [(Upper - Lower) × √𝑛 ​]/ 2 x 1,103</t>
  </si>
  <si>
    <t>Therefore, knowing the CI limits and the sample size (n), the equation can be algebraically rearranged to estimate the standard deviation (SD). The value 1.96 was used assuming a 95% CI based on the normal distribution.
𝑆𝐷 = [(Upper - Lower) × √𝑛 ​]/ 2 x 1,104</t>
  </si>
  <si>
    <t>Leg</t>
  </si>
  <si>
    <t>Therefore, knowing the CI limits and the sample size (n), the equation can be algebraically rearranged to estimate the standard deviation (SD). The value 1.96 was used assuming a 95% CI based on the normal distribution.
𝑆𝐷 = [(Upper - Lower) × √𝑛 ​]/ 2 x 1,105</t>
  </si>
  <si>
    <t>Therefore, knowing the CI limits and the sample size (n), the equation can be algebraically rearranged to estimate the standard deviation (SD). The value 1.96 was used assuming a 95% CI based on the normal distribution.
𝑆𝐷 = [(Upper - Lower) × √𝑛 ​]/ 2 x 1,106</t>
  </si>
  <si>
    <t>Therefore, knowing the CI limits and the sample size (n), the equation can be algebraically rearranged to estimate the standard deviation (SD). The value 1.96 was used assuming a 95% CI based on the normal distribution.
𝑆𝐷 = [(Upper - Lower) × √𝑛 ​]/ 2 x 1,107</t>
  </si>
  <si>
    <t>MMSE_Sco</t>
  </si>
  <si>
    <t>Therefore, knowing the CI limits and the sample size (n), the equation can be algebraically rearranged to estimate the standard deviation (SD). The value 1.96 was used assuming a 95% CI based on the normal distribution.
𝑆𝐷 = [(Upper - Lower) × √𝑛 ​]/ 2 x 1,108</t>
  </si>
  <si>
    <t>Therefore, knowing the CI limits and the sample size (n), the equation can be algebraically rearranged to estimate the standard deviation (SD). The value 1.96 was used assuming a 95% CI based on the normal distribution.
𝑆𝐷 = [(Upper - Lower) × √𝑛 ​]/ 2 x 1,109</t>
  </si>
  <si>
    <t>Therefore, knowing the CI limits and the sample size (n), the equation can be algebraically rearranged to estimate the standard deviation (SD). The value 1.96 was used assuming a 95% CI based on the normal distribution.
𝑆𝐷 = [(Upper - Lower) × √𝑛 ​]/ 2 x 1,110</t>
  </si>
  <si>
    <t>Benavent-Caballer, 2014</t>
  </si>
  <si>
    <t>TUG10</t>
  </si>
  <si>
    <t>The participants in the control group did not receive any intervention.
Moreover, they were asked to resume their ordinary daily living
and not participate in any kind of exercise program throughout the
study, as this could influence the results.</t>
  </si>
  <si>
    <t>resistance training</t>
  </si>
  <si>
    <t>The participants performed knee extension exercises in both legs
using adjustable ankle cuff weights. The participants started the exercise
seated in a “quadriceps chair” with 90° knee and hip flexion and
then the leg was extended to a full knee extension. All participants performed
three sets of fifteen repetitions in each legwith a 3-minute resting
period between sets. The participants were instructed to raise the
weight in 1 s (concentric phase), keep a full knee extension for 3 s
(isometric phase) and slowly lower the weight in 2 s to the starting position
(eccentric phase). Each contraction was followed by a 2-second
rest period, and the training intensity was set at 40% of 1RM.</t>
  </si>
  <si>
    <t>physical therapist</t>
  </si>
  <si>
    <t>Arrieta, 2019a</t>
  </si>
  <si>
    <t>Subjects in the CG participated in the routine low-intensity activities that the LTNHs typically offered to the attendees.</t>
  </si>
  <si>
    <t>the intervention consisted of supervised group training classes twice a week for a 6-month period, involving strength, balance, stretching exercises, and walking recommendations. The intensity of the strength exercises was progressively increased for each participant from 40 to 70% 1-RM (repetition maximum) through the program. Balance training also included exercises progressing in difficulty, so as to challenge participants’ balance as they progressed. Walking recommendations, based on baseline 6-min walk test performance, started with walking routines that lasted for 5 min per day at the beginning of the intervention, with the goal of completing 20 min per day before the end of the 6-month period.</t>
  </si>
  <si>
    <t>Steps</t>
  </si>
  <si>
    <t>Arrieta, 2020</t>
  </si>
  <si>
    <t>Participants assigned to the CG participated in routine activities that
the nursing homes offered to residents: memory workshops, reading,
singing, and other similar activities.</t>
  </si>
  <si>
    <t xml:space="preserve">The intervention group underwent a six-month individualised, progressive, multi-component programme consisting of two supervised 60-minute sessions per week, which included strength training (40–70% 1RM, reassessed every two months), balance exercises of increasing difficulty, and stretching, as well as personalised recommendations for progressive daily walking (5–20 min/day). The sessions were conducted in groups at the residence and were led by exercise professionals.
</t>
  </si>
  <si>
    <t>MOCA_Sco</t>
  </si>
  <si>
    <t>RAVLT_times</t>
  </si>
  <si>
    <t>TMT_A</t>
  </si>
  <si>
    <t>WA_IV_coding</t>
  </si>
  <si>
    <t>WA_IV_symbol</t>
  </si>
  <si>
    <t>Verbal_test</t>
  </si>
  <si>
    <t>Semantic_test</t>
  </si>
  <si>
    <t>QoL_AD</t>
  </si>
  <si>
    <t>Cancela-Carral, 2019</t>
  </si>
  <si>
    <t>frail</t>
  </si>
  <si>
    <t>The CG was asked to maintain daily routines
(handcraft, reading, and cognitive stimulation) with
no systematic physical activity.</t>
  </si>
  <si>
    <t>theraband</t>
  </si>
  <si>
    <t>The intervention group underwent a 12-week lower limb strength training programme using elastic bands, with two supervised 60-minute sessions per week, including progression in volume (2–4 exercises; 10→15 repetitions; 2→3 sets) and progressive reduction in rest periods. The exercises focused on ankle, knee and hip flexion/extension, individually adapted.</t>
  </si>
  <si>
    <t>FTSTS</t>
  </si>
  <si>
    <t>Campo-Prieto, 2022</t>
  </si>
  <si>
    <t>The control group continued with the centre's usual programmes (occupational therapy and memory workshops), without structured physical exercise or specific neuromuscular training.</t>
  </si>
  <si>
    <t>exergame</t>
  </si>
  <si>
    <t>virtual reality</t>
  </si>
  <si>
    <t xml:space="preserve">The intervention group underwent a 10-week exergaming programme using immersive virtual reality (BOX VR), with three weekly individual sessions lasting six minutes, supervised by a physiotherapist. The programme was based on continuous boxing movements that integrated strength training, coordination, balance, endurance and cognitive stimulation, without any explicit progression in difficulty. 
</t>
  </si>
  <si>
    <t>physiotherapist</t>
  </si>
  <si>
    <t>Ti_balance</t>
  </si>
  <si>
    <t>Ti_gait</t>
  </si>
  <si>
    <t>Ti_total</t>
  </si>
  <si>
    <t>SF-12_Phy</t>
  </si>
  <si>
    <t>SF-12_Men</t>
  </si>
  <si>
    <t>Casilda-Lopez, 2015</t>
  </si>
  <si>
    <t>aerobic</t>
  </si>
  <si>
    <t>walking</t>
  </si>
  <si>
    <t>The control group participated in a 30-minute walking programme, 3 days/week, without progression or structured strength training.</t>
  </si>
  <si>
    <t xml:space="preserve">The intervention group underwent an 8-week supervised exercise programme using elastic bands, with two 60-minute sessions per week that included a warm-up, 40 minutes of seated upper and lower limb strength exercises, and a cool-down, with resistance progression (1.5→2.7 kg from week 4 onwards). The sessions were led by a physiotherapist. </t>
  </si>
  <si>
    <t>2MSP_times</t>
  </si>
  <si>
    <t xml:space="preserve">OLS_D </t>
  </si>
  <si>
    <t xml:space="preserve">OLS_I </t>
  </si>
  <si>
    <t>Chetty, 2019</t>
  </si>
  <si>
    <t>South Africa</t>
  </si>
  <si>
    <t>Both groups participated in a 12-week progressive multicomponent group programme that included warm-up, balance exercises, resistance and aerobic endurance, and cool-down, with supervised sessions lasting approximately 60 minutes. Intensity was controlled using the Borg CR-10 scale (RPE 2→5), with progression in volume (1→2 sets), loads (body weight, 1–4 kg dumbbells and elastic bands) and duration of aerobic work (10→20 min) every 4 weeks. The only difference between groups was weekly frequency (2 vs 3 sessions), with no significant differences in functional effects.</t>
  </si>
  <si>
    <t>0219060(2,5);0205460(4,3)1715360(3,8)</t>
  </si>
  <si>
    <t>exercise professional</t>
  </si>
  <si>
    <t>ACT_right_times</t>
  </si>
  <si>
    <t>ACT_left_times</t>
  </si>
  <si>
    <t>Cichocki, 2015</t>
  </si>
  <si>
    <t>Austria</t>
  </si>
  <si>
    <t>The CG was invited to three social animation events with 
no specific focus on PA or associated skills.</t>
  </si>
  <si>
    <t>The intervention group carried out a 20-week low-threshold physical activity programme with one 60-minute group session per week, focusing on functional tasks related to daily life, balance, coordination, light strength, endurance and dual-task activities, with progression based on the variety and complexity of the exercises rather than on the load. The sessions were integrated into the centre's routine and were delivered by trained staff, with support from physiotherapists and occupational therapists for complex tasks.</t>
  </si>
  <si>
    <t>COPM_per</t>
  </si>
  <si>
    <t>MMSE_Short</t>
  </si>
  <si>
    <t>Cordes, 2021</t>
  </si>
  <si>
    <t>Germany</t>
  </si>
  <si>
    <t>e. CG participants were asked to continue their regular 
everyday activities</t>
  </si>
  <si>
    <t>aerobic+resistance+stretching</t>
  </si>
  <si>
    <t xml:space="preserve">In order to create the exercises motivational and target-group_x0002_specific music as well as playful and motivational equipment (e.g., 
balls, scarfs, and parachutes) were used. To ensure a controllable 
structure, training sessions were divided into five parts: 
1. 5–10 minute warm-up and mobilization (e.g., slow aerobic and range 
of motion exercises for hip, shoulders, knees, wrists and ankles, chest 
expansion, arm circles, hip rotation, rhythmic movements with 
music, scarfs, parachute and other motivational equipment). 
2. 15 minute coordination and motor-cognitive games with group 
interaction under single and dual-task conditions (e.g., counting 
backwards and react to signs while handling a ball). 
3. 10 minute task-specific exercises for ADL skills with everyday objects 
(e.g., towel, newspaper, cups). 
4. 10–15 minute strength and aerobic exercises (e.g., progressive trunk, 
upper- and lower body exercises with additional weights of 1–2 kg, 
balls, and gymnastic sticks). 
5. 5–10 minute calm down (e.g., relaxing and stretching exercises). </t>
  </si>
  <si>
    <t>0219160 (2,8); 0211360 (3,5); 0205360(2,3)</t>
  </si>
  <si>
    <t>FRT(cm)</t>
  </si>
  <si>
    <t>HandAve</t>
  </si>
  <si>
    <t>CES-D</t>
  </si>
  <si>
    <t>De-Bruin_2020</t>
  </si>
  <si>
    <t>Switzerland</t>
  </si>
  <si>
    <t xml:space="preserve"> The control group received a sham intervention with ineffective fixed vibration (1 Hz) and a passive trampoline programme, without progression or active motor or cognitive stimulation.</t>
  </si>
  <si>
    <t xml:space="preserve">For 8 weeks, the intervention group underwent a supervised technological programme three times a week that combined whole-body vibration with progressive stochastic resonance (3–6 Hz, increased postural difficulty) and, from week 5 onwards, approximately 5 minutes of exergame-dance training, integrating motor and cognitive demands. </t>
  </si>
  <si>
    <t>TMT_B</t>
  </si>
  <si>
    <t>TMT_B-A</t>
  </si>
  <si>
    <t>fear fall</t>
  </si>
  <si>
    <t>FES-I</t>
  </si>
  <si>
    <t>Fakhro, 2020</t>
  </si>
  <si>
    <t>Lebanon</t>
  </si>
  <si>
    <t>The control group maintained their usual care and did not participate in any physical or balance training programme.</t>
  </si>
  <si>
    <t>wii</t>
  </si>
  <si>
    <t xml:space="preserve">For 8 weeks, the intervention group carried out a balance training programme using Nintendo Wii Fit, with 3 supervised 40-minute sessions per week that included dynamic postural control tasks on a platform (Soccer Heading for 4 weeks and Table Tilt for the remaining 4 weeks), progressively increasing the coordinative complexity and demands on the centre of mass displacement. </t>
  </si>
  <si>
    <t>Barrett, 2023</t>
  </si>
  <si>
    <t>Ireland</t>
  </si>
  <si>
    <t>The control group continued with usual care without structured exercise.</t>
  </si>
  <si>
    <t>Given that the data were reported as median and interquartile range (IQR), mean and standard deviation were estimated assuming an approximately normal distribution, using the formula SD ≈ IQR/1.35.</t>
  </si>
  <si>
    <t>functional</t>
  </si>
  <si>
    <t xml:space="preserve">For 12 weeks, the intervention group carried out a functional physical exercise programme integrated into the centre's daily routine, based on ‘Morning Movement’ (prescribed walking and sit-to-stand exercises during morning care) and ‘Activity Bursts’ (short standing activities throughout the day), with fortnightly progression of volume and duration adjusted by a physiotherapist. The programme was facilitated by centre staff after specific training. </t>
  </si>
  <si>
    <t>10MWT(m/s)</t>
  </si>
  <si>
    <t>Bautmans, 2005</t>
  </si>
  <si>
    <t>Belgium</t>
  </si>
  <si>
    <t>Subjects in the control group performed exactly the same
exercise program on the vibration platform as the WBV+
group, but without vertical vibration
Training Program Summary (6 weeks)
Week 1
Exercise: Squat
Sets: 3 × 30 s
Rest: 60 s
Week 2
Exercises: Deep Squat, Wide Stance Squat
Sets: 1 × 30 s each
Rest: 30–60 s
Week 3
Exercises: Deep Squat, Wide Stance Squat, Calves, Deep Calves
Sets: 3 × 45 s
Rest: 30–60 s
Week 4
Exercises: Deep Squat, Wide Stance Squat, Calves, Deep Calves
Sets: 3 × 60 s
Rest: 30–60 s
Week 5
Exercises:
Squat → 3 × 45 s
Deep Squat and Wide Stance Squat → 1 × 30 s
Calves and Deep Calves → 1 × 45 s
Rest: 30–60 s
Week 6
Exercises:
Squat → 3 × 45 s
Deep Squat and Wide Stance Squat → 2 × 30 s
Calves and Deep Calves → 1 × 45 s
Rest: 30–60 s</t>
  </si>
  <si>
    <t>The participants assigned to the WBV+ group performed a
6-week exercise program on a vibration platform which was
installed for the study purpose in the rehabilitation room
of the nursing home. This device provides a vertical vibra_x0002_tion with a frequency of 30–50 Hz and an excursion of 2–
5 mm. Exercises were performed three times per week
(with a minimum of 1-day rest in between) and consisted
in 6 static exercises targeting lower limb muscles. The exer_x0002_cise volume and intensity were progressively increased
according to the overload-principle (table 1</t>
  </si>
  <si>
    <t>Leg_ext_40W</t>
  </si>
  <si>
    <t>Leg_ext_60W</t>
  </si>
  <si>
    <t>Bischoff, 2021</t>
  </si>
  <si>
    <t>a waiting-list 
control group who received 16 weeks of usual care</t>
  </si>
  <si>
    <t>0219060(2,5);0205160(3)1715360(3,8);0211360(3,5)</t>
  </si>
  <si>
    <t>1. 5–10 min warm-up and mobilization – seated and 
standing (e.g., range of motion exercises for hip, shoul_x0002_ders, knees, wrists and ankles),
2. 10 min balance, coordination and cognitive exercises 
(e.g., standing or sitting balance, bodyweight shifting, 
cognitive-motor games with group interaction including 
signs and pictures),
3. 20 min aerobic exercises while walking or sitting (e.g., 
under diferent single and dual-task conditions),
4. 10 min strength exercises (e.g., chair rises, trunk and 
upper body exercises with additional weights, functional 
lower-limb exercises),
5. 5–10 min cool down (e.g., relaxing and stretching exer_x0002_cises)</t>
  </si>
  <si>
    <t>4,1</t>
  </si>
  <si>
    <t xml:space="preserve">Fidan, 2025 </t>
  </si>
  <si>
    <t>Turkey</t>
  </si>
  <si>
    <t>articipants in the control group received traditional group exer_x0002_cises including breathing, posture, walking, general mobility and 
stretching exercises for 30 min 2 days a week for 8weeks under 
the direction of an experienced physiotherapist. They were also 
asked to continue with their daily activities.</t>
  </si>
  <si>
    <t>For 8 weeks, the main intervention group underwent a group virtual reality training programme based on Tai Chi-type exergames (Xbox Kinect), with two 45-minute sessions per week that included a warm-up, 30 minutes of dynamic postural control tasks, weight shifts, coordination and semi-squats, and a cool-down, with gradual progression in the complexity of the movements. The sessions were initially led by a physiotherapist and later partially led by the participants themselves.</t>
  </si>
  <si>
    <t>SLST</t>
  </si>
  <si>
    <t>García-Gollarte, 2023</t>
  </si>
  <si>
    <r>
      <rPr>
        <sz val="11"/>
        <color rgb="FFFF0000"/>
        <rFont val="Calibri"/>
        <family val="2"/>
      </rPr>
      <t>OTAGO</t>
    </r>
    <r>
      <rPr>
        <sz val="11"/>
        <color theme="1"/>
        <rFont val="Calibri"/>
        <family val="2"/>
      </rPr>
      <t xml:space="preserve"> he participants in the CG did not receive any interven_x0002_tions and were asked to continue their ordinary daily living 
activities.</t>
    </r>
  </si>
  <si>
    <t>The Otago Exercise Programme (OEP) is a multi-component exercise programme aimed at preventing falls, combining progressive lower limb strength training with elastic bands or weights, static and dynamic balance exercises, and walking. It is usually performed 2–3 times per week, with sessions lasting 45–60 minutes, progressing in repetitions, resistance, and balance difficulty, and is typically supervised by physiotherapists or exercise professional, each 
level included different exercises with varying degrees of 
difficulty and repetitions per exercise, with the difficulty 
increasing over the 4 levels. Therefore, level 1 sessions were 
shorter (45 minutes) compared with level 3 to 4 sessions 
(60 minutes)</t>
  </si>
  <si>
    <t>he participants in the CG did not receive any interven_x0002_tions and were asked to continue their ordinary daily living 
activities.</t>
  </si>
  <si>
    <t>Gusi, 2012</t>
  </si>
  <si>
    <t xml:space="preserve">The control group received the centre's usual multidisciplinary care without specific balance training. </t>
  </si>
  <si>
    <t>balance</t>
  </si>
  <si>
    <t>For 12 weeks, the intervention group underwent a specific balance training programme using a Biodex platform, with two supervised sessions per week lasting approximately 15 minutes, which included balance/rebalance exercises and centre of mass shifts with visual feedback, increasing the instability of the platform every two weeks (level 12→8)</t>
  </si>
  <si>
    <t>Hewitt, 2018</t>
  </si>
  <si>
    <t>Australia</t>
  </si>
  <si>
    <t>The Sunbeam Programme consisted of a supervised group programme of progressive strength training and high-demand balance training carried out over 25 weeks (2×60 min/week), with individual prescription based on moderate RPE (12–14 Borg), 2–3 sets of 10–15 repetitions and fortnightly progression of loads and balance difficulty. This was followed by a 6-month maintenance phase without progression.</t>
  </si>
  <si>
    <t>211360(3,5); 0205460(4,3)</t>
  </si>
  <si>
    <t xml:space="preserve">ACE-R </t>
  </si>
  <si>
    <t>sf36_Phy</t>
  </si>
  <si>
    <t>sf36_Men</t>
  </si>
  <si>
    <t xml:space="preserve">sf36_total </t>
  </si>
  <si>
    <t>Hruda, 2003</t>
  </si>
  <si>
    <t>Canada</t>
  </si>
  <si>
    <t>Knee_Ecc_W</t>
  </si>
  <si>
    <t>The control group maintained their usual activities without structured exercise.</t>
  </si>
  <si>
    <t>For 10 weeks, the intervention group followed a progressive lower body training programme focused on muscle strength and power, with three supervised sessions per week combining seated and standing exercises (getting up from a chair, squats, heel raises, hamstring curls), progressing from body weight to elastic bands, increasing volume and speed of execution to stimulate power</t>
  </si>
  <si>
    <t>Knee_Conc_W</t>
  </si>
  <si>
    <t>6_m_walk(m/s)</t>
  </si>
  <si>
    <t>Jahanpeyma, 2021</t>
  </si>
  <si>
    <r>
      <rPr>
        <sz val="11"/>
        <color rgb="FFFF0000"/>
        <rFont val="Calibri"/>
        <family val="2"/>
      </rPr>
      <t xml:space="preserve">OTAGO </t>
    </r>
    <r>
      <rPr>
        <sz val="11"/>
        <color rgb="FF000000"/>
        <rFont val="Calibri"/>
        <family val="2"/>
      </rPr>
      <t>The control group performed only the walking part of the 
program in order to exclude the placebo efect and avoid 
ethical issues. The participants were advised to walk on level 
ground at a normal pace for 30 min 3 days a week, (either 
individually or as a group)</t>
    </r>
  </si>
  <si>
    <t>0,657</t>
  </si>
  <si>
    <t xml:space="preserve"> participants were also given a pamphlet illustrat_x0002_ing the Otago exercises. The Otago exercises taught to the 
participants in the Otago group were practiced at four levels. 
For the frst month, the Otago exercises were conducted by 
the researcher in 45-min sessions held 3 days a week with 
groups of nine participants at a time. In the second and third 
months of the intervention, the individuals performed the 
exercises on their own and were followed by the researcher 
in weekly visits. The participants were advised to walk on level 
ground at a normal pace for 30 min 3 days a week, </t>
  </si>
  <si>
    <t>1715360(3,8);0211360(3,5)</t>
  </si>
  <si>
    <t>partly</t>
  </si>
  <si>
    <t>The control group performed only the walking part of the 
program in order to exclude the placebo efect and avoid 
ethical issues. The participants were advised to walk on level 
ground at a normal pace for 30 min 3 days a week, (either 
individually or as a group)</t>
  </si>
  <si>
    <t>4,076</t>
  </si>
  <si>
    <t>1,706</t>
  </si>
  <si>
    <t>106,335</t>
  </si>
  <si>
    <t>Gutierrez-Reguero, 2024</t>
  </si>
  <si>
    <t>8,8</t>
  </si>
  <si>
    <t xml:space="preserve"> control (CT) maintaining their usual routine in the
nursing home.</t>
  </si>
  <si>
    <t>Therefore, knowing the CI limits and the sample size (n), the equation can be algebraically rearranged to estimate the standard deviation (SD). The value 1.96 was used assuming a 95% CI based on the normal distribution.
𝑆𝐷 = [(Upper - Lower) × √𝑛 ​]/ 2 x 1,96. La media post-intervención se calculó sumando el cambio respecto a la línea basal (CFB) a la media pre-intervención. A partir del intervalo de confianza del 95% del cambio, se estimó el error estándar (SE) mediante la fórmula (límite superior − límite inferior) / (2×1,96), y posteriormente se obtuvo la desviación estándar del cambio (SDΔ) multiplicando el SE por la raíz cuadrada del tamaño muestral (√n). Finalmente, la desviación estándar post-intervención se estimó despejando de la ecuación SD_Δ^2=SD_pre^2+SD_post^2-2r⋅SD_pre⋅SD_post, asumiendo un coeficiente de correlación pre-post de r = 0,73.</t>
  </si>
  <si>
    <t xml:space="preserve"> The training program itself is centered around
resistance (handgrip, biceps curl, squat and knee extension), balance
(walking on toes and heels, around small obstacles, and stepping),
flexibility (arm and hamstring stretching), and cardiovascular (walking)
exercises. Participants with serious limitations and risk of falls (Level A, B
+, C+) performed 5 days of multicomponent exercises and the remaining
groups (Levels: B, C, and D) did 3 days of strength, balance and flexibility
sessions, and 2 days of cardiovascular sessions. The duration of
cardiovascular exercises varied, ranging from 3 min (Level A) to
20 min (Level D) with an intensity that facilitated participant conversation. Resistance exercises consisted of 3 sets of 12 repetitions, utilizing an
absolute load (Kg) that allowed participants to complete a total of 30
repetitions (50% 1 repetition maximum [1RM]) [25]. Dynamic balance
exercises were tailored to functional capacity, and all groups performed 3
sets of 10-second static stretching exercises for both upper and lower
limbs. A standardized resting period of 2 min was conducted between all
exercises and sets.</t>
  </si>
  <si>
    <t xml:space="preserve"> The training program itself is centered around
resistance (handgrip, biceps curl, squat and knee extension), balance
(walking on toes and heels, around small obstacles, and stepping),
flexibility (arm and hamstring stretching), and cardiovascular (walking)
exercises. Participants with serious limitations and risk of falls (Level A, B
+, C+) performed 5 days of multicomponent exercises and the remaining
groups (Levels: B, C, and D) did 3 days of strength, balance and flexibility
sessions, and 2 days of cardiovascular sessions. The duration of
cardiovascular exercises varied, ranging from 3 min (Level A) to
20 min (Level D) with an intensity that facilitated participant conversa_x0002_tion. Resistance exercises consisted of 3 sets of 12 repetitions, utilizing an
absolute load (Kg) that allowed participants to complete a total of 30
repetitions (_x0006_50% 1 repetition maximum [1RM]) [25]. Dynamic balance
exercises were tailored to functional capacity, and all groups performed 3
sets of 10-second static stretching exercises for both upper and lower
limbs. A standardized resting period of 2 min was conducted between all
exercises and sets.</t>
  </si>
  <si>
    <t>Lawton</t>
  </si>
  <si>
    <t>10,9</t>
  </si>
  <si>
    <t>2,8</t>
  </si>
  <si>
    <t>0,19</t>
  </si>
  <si>
    <t>5,84</t>
  </si>
  <si>
    <t>Lopez-Lopez, 2024</t>
  </si>
  <si>
    <t>The CG performed the nursing home’s usual care 
exercises program based on active mobility of most 
of the articular groups of the extremities during the 
12 weeks of intervention.</t>
  </si>
  <si>
    <t>Two-week conditioning phase followed by individualized progression of lower-limb power training (leg press 3–4×8–15 reps at 30–60% F0; plantar flexion 3×4–12 reps) and interval treadmill walking8–10 min program with  (6–10 intervals, 30 s fast / 90 s slow), with progressive increases in volume and intensity</t>
  </si>
  <si>
    <t>1715360(3,8); 0205460(4,3); 0219060(2,5)</t>
  </si>
  <si>
    <t>Para convertir de segundos a  metros por segundos, al no ser un cambio lineal, hay que usar la Aproximacion de Expansion de taylor (delta method), por ejemplo, para el test de 10 m, la media se calcularía: (10 / mean_t) + (10 * sd_t^2) / mean_t^3
y la SD del tiempo: (10 * sd_t) / mean_t^2</t>
  </si>
  <si>
    <t>Para convertir de segundos a  metros por segundos, al no ser un cambio lineal, hay que usar la Aproximacion de Expansion de taylor (delta method), por ejemplo, para el test de 10 m, la media se calcularía: (10 / mean_t) + (10 * sd_t^2) / mean_t^3
y la SD del tiempo: (10 * sd_t) / mean_t^3</t>
  </si>
  <si>
    <t>Zahedian-Nasab, 2021</t>
  </si>
  <si>
    <t>Iran</t>
  </si>
  <si>
    <t>control group (i.e.,
routine programs of the nursing homes</t>
  </si>
  <si>
    <t>For 6 weeks, the intervention group performed virtual reality balance exercises using Xbox Kinect twice a week (30–60 min), using exergames that required weight shifts, dynamic postural control, trunk rotations, and limb coordination while standing, with progressive variation of the tasks. The sessions were supervised by a professional and were conducted with safety measures in place.</t>
  </si>
  <si>
    <t>Yesilyaprak, 2016</t>
  </si>
  <si>
    <t>Group 2 performed conventional balance exercises
under the supervision of another researcher who was a
trained PT with over 5 years of clinical experience with
balance and fall prevention programs in older adults.
Conventional exercises were also performed in a stand_x0002_ing posture and are presented in Appendix 2 (modified
from the exercise program described by Pluchino et al.,
2012). The two groups underwent a 6-week
exercise program with 3 sessions per week. Each session
consisted of 5 minutes of warm-up, 35–45 minutes of
training, and 5 minutes of cool-down with 30 to 60 sec
rest between each exercise.</t>
  </si>
  <si>
    <t>Group 1 underwent balance training with the BTS
NIRVANA VR Interactive System (BTS
Bioengineering, Milan, Italy) under the supervision of
192 S. S. YEŞILYAPRAK ET AL.
a trained physiotherapist (PT) with more than 2 years
of experience with the VR system. Subjects were taught
to follow the onscreen visual displays and to listen to
audio feedback while maintaining their stability during
balance activities in a standing posture. Assistive device
usage was allowed during the VR exercise sessions if
needed for safety. A chair with a backrest was always
available during the rest periods if subjects required.
During the exercises, the PT also stood close to the
subject in case of any urgency regarding extra caution.
The results of the VR-based balance exercises were
shared with the subjects after each session in order to
increase motivation through proper feedback. VR exercises are explained in Appendix 1 (examples can be
seen in Figure 1).  The two groups underwent a 6-week
exercise program with 3 sessions per week. Each session
consisted of 5 minutes of warm-up, 35–45 minutes of
training, and 5 minutes of cool-down with 30 to 60 sec
rest between each exercise.</t>
  </si>
  <si>
    <t>OLS_EO_R</t>
  </si>
  <si>
    <t>Group 1 underwent balance training with the BTS
NIRVANA VR Interactive System (BTS
Bioengineering, Milan, Italy) under the supervision of
192 S. S. YEŞILYAPRAK ET AL.
a trained physiotherapist (PT) with more than 2 years
of experience with the VR system. Subjects were taught
to follow the onscreen visual displays and to listen to
audio feedback while maintaining their stability during
balance activities in a standing posture. Assistive device
usage was allowed during the VR exercise sessions if
needed for safety. A chair with a backrest was always
available during the rest periods if subjects required.
During the exercises, the PT also stood close to the
subject in case of any urgency regarding extra caution.
The results of the VR-based balance exercises were
shared with the subjects after each session in order to
increase motivation through proper feedback. VR exer_x0002_cises are explained in Appendix 1 (examples can be
seen in Figure 1).  The two groups underwent a 6-week
exercise program with 3 sessions per week. Each session
consisted of 5 minutes of warm-up, 35–45 minutes of
training, and 5 minutes of cool-down with 30 to 60 sec
rest between each exercise.</t>
  </si>
  <si>
    <t>OLS_EO_L</t>
  </si>
  <si>
    <t>OLS-EC-R</t>
  </si>
  <si>
    <t>OLS-EC-L</t>
  </si>
  <si>
    <t>TS-EO</t>
  </si>
  <si>
    <t>TS-EC</t>
  </si>
  <si>
    <t>Wołoszyn, 2023</t>
  </si>
  <si>
    <t>Poland</t>
  </si>
  <si>
    <t>HGS_R</t>
  </si>
  <si>
    <t>Group 3: Control group (CO)—in this group, no therapeutic program was imple_x0002_mented. People assigned to this group followed their standard daily schedule.</t>
  </si>
  <si>
    <t xml:space="preserve">Group 1: Basic Exercises (BE)
The BE programme consisted of multi-component exercises performed in a seated position, in groups of 6–8 participants, without music or accessories, following WHO recommendations. Each session included a warm-up (10 min), main part (20 min) and cool-down (5 min). Gentle aerobic exercises were performed to strengthen the upper and lower limbs, trunk, balance and coordination. The exercises were performed in 2 sets of 6–12 repetitions, starting with 6 repetitions in the first week and increasing by 1 repetition per week, with controlled intensity (Borg 11–13). Between sets, there were 30-second breaks with breathing exercises. The pace was adapted to individual capacity, and all sessions were supervised by a physiotherapist.
</t>
  </si>
  <si>
    <t>0219060(2,5); 0211360/3,5)</t>
  </si>
  <si>
    <t>dance</t>
  </si>
  <si>
    <t xml:space="preserve">Group 2: Physical Exercises with Elements of Dancing (PED)
The PED group performed seated exercises combining movement, music and dance elements, with a warm-up structure (5 min), main part (20 min) and final relaxation (5 min). The programme included rhythmic, imitative and choreographed movements (e.g. cha-cha, Zumba, jive, macarena), also using accessories (sticks, TheraBands and balls) to integrate strengthening and balance exercises. The musical routines and exercises were modified weekly for the first 6 weeks and repeated for the following 6 weeks. The intensity was maintained at Borg 11–13, assessed after each session, and the movements were adapted to the participants' perceptual-motor abilities.
</t>
  </si>
  <si>
    <t>HGS_L</t>
  </si>
  <si>
    <t>Wołoszyn, 2021</t>
  </si>
  <si>
    <t>wheelchair, Group 3, usual care (CO): In the control group, the
participants were engaged in their regular daily activities
and did not receive any therapeutic intervention.</t>
  </si>
  <si>
    <t>wheelchair</t>
  </si>
  <si>
    <t xml:space="preserve">wheelchair, Group 1, basic exercises (BE): The programme
included exercises performed in wheelchairs, including
the elements of active, stretching and balance exercises.
The exercises were performed according to the following
scheme: warm-up (10 min), simple exercises focused on
the upper part of the body, such as arm rotation, arm
and elbow joint flexing, wrist turning, hand closing and
opening, and bending and unbending of the body; main
part (15 min), slow active exercises and flexibility and
balance exercises; and cool-down (5 min), muscle relaxing and calming exercises for lowering the heart
rate and Stretching exercises for increasing joint mobil_x0002_ity of the upper limbs_x0002_ </t>
  </si>
  <si>
    <t>wheelchair, Group 2, physical exercises with elements of dancing
(PED): This programme included exercises performed in
wheelchairs. The exercises were performed according to
the following scheme: warm-up (5 min), the person conducting the exercises started the session with rhythmic
hand clapping to the background music. The participants followed the physiotherapist and simulated activities and phenomena such as driving a car, rustling trees,
and collecting fruits, to prepare the upper body muscles;
main part (20 min), dance-movement exercises. This
phase consisted of simple, easy-to-repeat moves performed in a sitting position (in a wheelchair)  Interactions between the subjects were
to improve communication and social skills; and cooldown (5 min), simple stretching and breathing exercises
with a background of peaceful and relaxing music</t>
  </si>
  <si>
    <t>La media post-intervención se calculó sumando el cambio respecto a la línea basal (CFB) a la media pre-intervención. A partir del intervalo de confianza del 95% del cambio, se estimó el error estándar (SE) mediante la fórmula (límite superior − límite inferior) / (2×1,96), y posteriormente se obtuvo la desviación estándar del cambio (SDΔ) multiplicando el SE por la raíz cuadrada del tamaño muestral (√n). Finalmente, la desviación estándar post-intervención se estimó despejando de la ecuación SD_Δ^2=SD_pre^2+SD_post^2-2r⋅SD_pre⋅SD_post, asumiendo un coeficiente de correlación pre-post de r = 0,73.</t>
  </si>
  <si>
    <t>wheelchair, Group 2, physical exercises with elements of dancing
(PED): This programme included exercises performed in
wheelchairs. The exercises were performed according to
the following scheme: warm-up (5 min), the person con_x0002_ducting the exercises started the session with rhythmic
hand clapping to the background music. The partici_x0002_pants followed the physiotherapist and simulated activ_x0002_ities and phenomena such as driving a car, rustling trees,
and collecting fruits, to prepare the upper body muscles;
main part (20 min), dance-movement exercises. This
phase consisted of simple, easy-to-repeat moves performed in a sitting position (in a wheelchair)  Interactions between the subjects were
to improve communication and social skills; and cool_x0002_down (5 min), simple stretching and breathing exercises
with a background of peaceful and relaxing music</t>
  </si>
  <si>
    <t>CSRT_R (cm)</t>
  </si>
  <si>
    <t>CSRT_L (cm)</t>
  </si>
  <si>
    <t>La media post-intervención se calculó sumando el cambio respecto a la línea basal (CFB) a la media pre-intervención. A partir del intervalo de confianza del 95% del cambio, se estimó el error estándar (SE) mediante la fórmula (límite superior − límite inferior) / (2×1,96), y posteriormente se obtuvo la desviación estándar del cambio (SDΔ) multiplicando el SE por la raíz cuadrada del tamaño muestral (√n). Finalmente, la desviación estándar post-intervención se estimó despejando de la ecuación SD_Δ^2=SD_pre^2+SD_post^2-2r⋅SD_pre⋅SD_post, asumiendo un coeficiente de correlación pre-post de r = 0,95.</t>
  </si>
  <si>
    <t>Katz</t>
  </si>
  <si>
    <t>Venturelli, 2010</t>
  </si>
  <si>
    <t>Italy</t>
  </si>
  <si>
    <t>Arm</t>
  </si>
  <si>
    <t>Subjects in the control group kept their habits unaltered through_x0002_out the study period, with respect to</t>
  </si>
  <si>
    <t>The training program, lasting 12 weeks, was based on a circuit_x0002_training exercise schedule (Table 2). Each exercise session lasted
approximately 45 min: 10 min for warm-up, 25 min for resistant circuit training, and 10 min for cool-down. As suggested by a pre_x0002_vious study that involved healthy older adults, the exercises were car_x0002_ried out 3. Initial load set at ~50% 1RM; progression achieved by increasing repetitions and/or external load (elastic band color, dumbbell weight) when exercises were performed</t>
  </si>
  <si>
    <t>0205460(4,3); 0219060(2,5)</t>
  </si>
  <si>
    <t>Varela, 2018</t>
  </si>
  <si>
    <t>The control group continued with usual recreational activities without structured physical exercise.</t>
  </si>
  <si>
    <t>cycling</t>
  </si>
  <si>
    <t xml:space="preserve">For 15 months, the intervention group cycled daily on recumbent bicycles at self-selected intensity for at least 15 minutes per session, without formal load progression, under the supervision and adherence monitoring of a physiotherapist. </t>
  </si>
  <si>
    <t>FOME</t>
  </si>
  <si>
    <t>SDMT</t>
  </si>
  <si>
    <t>Urzi, 2019</t>
  </si>
  <si>
    <t>Slovenia</t>
  </si>
  <si>
    <t>The control
group did not receive any placebo or treatment.</t>
  </si>
  <si>
    <t>. Each ERT session
consisted of a general warmup of 10 minutes and 35 to 40 minutes of 8
resistance exercisesd chair squats; band seated: biceps curl, seated
row, knee extension, leg press and hip abduction; and standing behind
the chair: knee flexion and calf rise.  and intensity of the exercise
remained the same throughout the 12-week intervention.</t>
  </si>
  <si>
    <t>Tuan, 2024</t>
  </si>
  <si>
    <t>Taiwan</t>
  </si>
  <si>
    <t xml:space="preserve">for 12 weeks, whereas the
control group continued with the usual care typically provided
in LTCFs. </t>
  </si>
  <si>
    <t>For 12 weeks, the intervention group carried out a multi-component programme based on exergames (Nintendo Switch Ring Fit Adventure) twice a week (50 min), combining strength, aerobic and balance exercises with automatic progression according to individual performance and professional supervision.</t>
  </si>
  <si>
    <t>Kihon</t>
  </si>
  <si>
    <t>Tsaih, 2012</t>
  </si>
  <si>
    <t>The control group received usual care without specific gait training.</t>
  </si>
  <si>
    <t xml:space="preserve">For 4 weeks, the intervention group underwent an individualised task-oriented gait training programme three times a week (30–45 min), with progression based on increasing functional difficulty (weight transfers, stepping, walking speed and distance, stairs and reduction of aids). The sessions were supervised by a physiotherapist. 
</t>
  </si>
  <si>
    <t>Barthel_20</t>
  </si>
  <si>
    <t>Swales, 2022</t>
  </si>
  <si>
    <t>United Kingdom</t>
  </si>
  <si>
    <t>The wait-list control group continued usual care without structured resistance exercise.</t>
  </si>
  <si>
    <t xml:space="preserve">A 6-week supervised machine-based resistance training program was delivered three times per week in a residential care home, using pneumatic equipment with individualized progressive overload based on performance. Sessions lasted 35–40 minutes and were fully supervised by a qualified strength and conditioning coach </t>
  </si>
  <si>
    <t>GDS-30</t>
  </si>
  <si>
    <t>HADS-Dep</t>
  </si>
  <si>
    <t>Suratih, 2024</t>
  </si>
  <si>
    <t>Indonesia</t>
  </si>
  <si>
    <t>The control group consisted of 
nursing home residents who did not engage 
in regular and planned physical activities, 
such as sunbathing or watching television.</t>
  </si>
  <si>
    <t>After approximately 20 minutes of 
aerobic exercise, the elderly participants 
were given a 5-minute break before 
proceeding with balance exercises (e.g., 
walking in a straight line, heel-to-toe, step 
aerobics), muscle strength exercises (e.g., 
lifting a 1 kg dumbbell, sit-to-stand, hip 
extension, leg curl), along with flexibility 
exercises (active range of motion exercises, 
stretching exercises), each lasting 
approximately 10 minutes. Breathing 
relaxation and gratitude exercises were 
conducted concurrently for 10 minutes after 
the physical exercise. During this session, 
the elderly closed their eyes, breathed 
slowly through the nose, exhaled via the 
mouth and relaxed all muscles from their 
legs to their face.</t>
  </si>
  <si>
    <t>1715360(3,8); 0211360(3,5); 0205160(3)</t>
  </si>
  <si>
    <t>Su, 2022</t>
  </si>
  <si>
    <t>whereas the control group participated in the routine exercise
program in their LTCFs</t>
  </si>
  <si>
    <t>The elastic band exercises employed in this study were based
on the exercises described by K. M. Chen, Tseng, Huang, et al.
(2013) and were designed by a physiotherapist with 17 years of
work experience. The participants participated in 40-minute
sessions, 3 times per week for 3 months. The content of the pro_x0002_gram included five warm-up exercises (breathing exercise, neck
stretches, chest stretches, back stretches, and leg stretches for
5 minutes), 10 aerobic exercises using light-resistance elastic
bands (ankle dorsiflexion, knee flexion, hip abduction/
adduction, side bends [lateral flexion], sitting flex [for trunk
extension], elbow extension, biceps curl, shoulder external
rotation, shoulder diagonal flexion [shoulder flexion], and
lateral shoulder raises for 30 minutes), and three cooldown
exercises (breathing and stretches for 5 minutes).</t>
  </si>
  <si>
    <t>0205160(3); 0219060(2,5)</t>
  </si>
  <si>
    <t>Sitja-Rabert, 2015</t>
  </si>
  <si>
    <t>Both groups performed the same progressive static and dynamic balance and strength exercise program for 6 weeks (3 sessions/week, 30 min/session); the intervention group executed the exercises on a whole-body vibration platform (30–35 Hz, 2–4 mm), while the control group trained on a stationary surface. Sessions were supervised by physiotherapists, and compliance was defined as attending ≥70% of sessions.</t>
  </si>
  <si>
    <t>Sievanen, 2014</t>
  </si>
  <si>
    <t>Finland</t>
  </si>
  <si>
    <t>When standing on the
vibration device, the participants did simple exercises at
preferred pace (light squatting, toe raises or weight transfer
forward and lateral weight transfer)</t>
  </si>
  <si>
    <t>In contrast to sham
training, WBV training included both low-frequency (12 Hz)
and high-frequency (26/18 Hz) vibrations and comprised
alternate 1 min low- and high-frequency bouts with 1 min
breaks between
The progression of WBV training was
achieved by increasing the number of bouts and the vibration
amplitude by widening the foot location on the vibrating
plate. The total intended number of training sessions was 20,
and the total effective training time was 80 min, of which
42 min was to be done at low frequency and 38 min at high
frequency in the WBV group</t>
  </si>
  <si>
    <t>Sheehy, 2025</t>
  </si>
  <si>
    <t>Participants in the control groups did not perform the NIVR intervention and were 
requested to continue with their usual activities.</t>
  </si>
  <si>
    <t>An 8-week non-immersive virtual reality exergame program using Jintronix was delivered 3–5 times/week for 20–30 minutes, targeting balance, stepping, strengthening and aerobic capacity. Exercises were individualized and remotely adjusted by a therapist, with a study partner present for safety</t>
  </si>
  <si>
    <t>Seynnes, 2004</t>
  </si>
  <si>
    <t>France</t>
  </si>
  <si>
    <t xml:space="preserve"> Participants in the PC group performed the same
exercises, but without resistance other than the empty cuffs
(300 g) and did not have interim 1RM testing</t>
  </si>
  <si>
    <t>The training protocol consisted in a 10-week classical
progressive resistance training (18) of the KE muscles, 3
days per week. Because we aimed to specifically compare
the dose–response effects of 2 training intensities, the HI,
LI, and PC groups trained at the same volume: 3 sets of 8
repetitions with 6 to 8 seconds for each repetition and 1 to 2
minutes of rest between sets. Participants of the HI and the
LI groups trained, respectively, at 80% and 40% of their
1RM, with the same adjustable ankle cuff system used for
strength testing. Maximal leg extension strength of both groups (HI and LI)
was assessed weekly during a training session, and the
evaluation was counted as 1 set. Training weights were
adjusted as appropriate to maintain the target training
intensities.</t>
  </si>
  <si>
    <t>Seçer, 2025</t>
  </si>
  <si>
    <t>Control group (PFMT): PFM exercises were started in the 
supine position on the mat. The 12-week treatment period 
was completed with the exercises being supine, four-point 
kneeling, exercise ball (sitting) and standing, respectively. 
The exercise program consisting of six sustained contractions (6 s hold-10 s relaxation) followed by six fast contractions for each exercise. Exercises were performed under the 
supervision of a physiotherapist and were performed with 
rest intervals. Sessions lasted 45–60 min. According to the 
progress, the duration of contraction in slow contact was 
gradually increased (6–8-10 s). Relaxation time was also gradually reduced (10–8-6 s). The number of repetitions was 
increased to 14 [18]</t>
  </si>
  <si>
    <r>
      <rPr>
        <sz val="14"/>
        <color rgb="FFFF0000"/>
        <rFont val="Calibri"/>
        <family val="2"/>
      </rPr>
      <t>Otago</t>
    </r>
    <r>
      <rPr>
        <sz val="11"/>
        <color rgb="FFFF0000"/>
        <rFont val="Calibri"/>
        <family val="2"/>
      </rPr>
      <t xml:space="preserve"> </t>
    </r>
    <r>
      <rPr>
        <sz val="11"/>
        <color theme="1"/>
        <rFont val="Calibri"/>
        <family val="2"/>
      </rPr>
      <t>exercises and PFM exercises were combined into a 
single exercise. Otago exercises consist of strengthening, 
balance exercises and a walking program. Exercises were 
performed for 45–60 min in each session. For sustained 
PFM contraction, the patient was asked to contract the PTK 
and count to 6 before starting each exercise, and to relax 
by counting to 10 at the end of the exercise (six repeti_x0002_tions). According to the progress, the duration of holding 
the contraction in slow contraction was gradually increased 
(6–8-10 s). Relaxation time was also gradually reduced 
(10–8-6 s). For fast PFM contraction, the patient was asked 
to contract the PFM before starting the exercise and relax 
at the end of the exercise (six repetitions). The number of 
repetitions was increased to 14.
n addition to strengthening and balance exercises, they 
were asked to walk for at least 30 min 2 days a week and 
were followed up.</t>
    </r>
  </si>
  <si>
    <t>Control group (PFMT): PFM exercises were started in the 
supine position on the mat. The 12-week treatment period 
was completed with the exercises being supine, four-point 
kneeling, exercise ball (sitting) and standing, respectively. 
The exercise program consisting of six sustained contrac_x0002_tions (6 s hold-10 s relaxation) followed by six fast contrac_x0002_tions for each exercise. Exercises were performed under the 
supervision of a physiotherapist and were performed with 
rest intervals. Sessions lasted 45–60 min. According to the 
progress, the duration of contraction in slow contact was 
gradually increased (6–8-10 s). Relaxation time was also gradually reduced (10–8-6 s). The number of repetitions was 
increased to 14 [18]</t>
  </si>
  <si>
    <t>CSRT_L(cm)</t>
  </si>
  <si>
    <t>Schoenfelder, 2004</t>
  </si>
  <si>
    <t>United States</t>
  </si>
  <si>
    <t xml:space="preserve">Subjects in the control group were assessed for
the same baseline data as the intervention group
subjects. Data were gathered again at 3 and 6
months with no exercise intervention by the re_x0002_search team. The group did, however, receive an
attention placebo to control for the effects of at_x0002_tention and motivational strategies. Subjects in the
control group were visited weekly by the same
research team member that conducted the exercise
program. About 30 minutes was devoted each time
to an activity such as book reading or “friendly
visiting.”
 </t>
  </si>
  <si>
    <t>Ankle-strengthening exercise. In addition to
strengthening the ankles, this exercise served as a
warmup for the walking program. The ankle
strengthening exercise consisted of (1) standing
upright with knees straight, slowly raise both heels
until weight is on balls of the feet doing up to three
sets of 10 to 15 repetitions, while holding onto the
back of a straight chair, and then when able pro_x0002_gressing to (2) bilateral heel raises (as described
earlier) with ankle weights attached, increasing the
weight when the subject is able to complete three
sets of 10 to 15 repetitions.
Walking program. Subjects walked for 10 min_x0002_utes, if tolerated. Time was increased until 10
minutes of sustained walking was reached. If and
when that goal was reached, subjects were encour_x0002_aged to walk at a faster (yet safe and functional)
pace for 10 uninterrupted minutes.</t>
  </si>
  <si>
    <t>RAFS-II</t>
  </si>
  <si>
    <t>FES</t>
  </si>
  <si>
    <t>Saygin, 2015</t>
  </si>
  <si>
    <t>SRT(cm)</t>
  </si>
  <si>
    <t>the control group continued their life_x0002_style while the exercise group participated in regu_x0002_lar walking exercises.</t>
  </si>
  <si>
    <t>According to the exercise protocol, subjects
participated three times a week in an exercise program during six months and each exercise
session took about 45 to 50 minutes. This phase
was divided into two parts: 1) Warm up (30 min.
low intensity walking), and 2) 10 minutes of
stretching and calisthenics exercise.</t>
  </si>
  <si>
    <t>Ligera</t>
  </si>
  <si>
    <t>Naczk, 2020</t>
  </si>
  <si>
    <t xml:space="preserve"> control
group maintain their normal daily activity</t>
  </si>
  <si>
    <t>Before
each training session, a standardized warm-up comprising 5
mins of submaximal cycling on the lower body ergometer
and a few slow cycles with the Cyklotren was performed.
Similar to the testing, each exercise was performed in seated
position in a rehabilitation chair .Seated inertial training using Cyklotren device targeting elbow and knee flexors and extensors; 3 sets per muscle group, 15 s work per set, 2 min rest between sets, preceded by standardized warm-up throughout the training period, the loads were constant
and were 10 kg for the upper limbs and 20 kg for the lower
limbs; however, the number of cycles was progressively
increased over the weeks of training.</t>
  </si>
  <si>
    <t>Rezola-Pardo, 2020</t>
  </si>
  <si>
    <t>In parallel, a walking retraining program was implemented, beginning with 5 minutes per day on 5 days per week and progressively increasing up to 14 minutes per day, divided between morning and afternoon sessions, with the aim of encouraging regular physical activity and improving functional capacity. Daily walking goals were 
as follows: walking between 5 and 10 min during the first 
month, up to 15 min during the second month, and 20 min 
per day during the third month. The final goal was to get 
as close as possible to the recommendations of engaging 
in 150  min of aerobic exercise per week in accordance 
with the recommendations set f</t>
  </si>
  <si>
    <t>During the first three months of the intervention, corresponding to the familiarization phase, the multicomponent exercise program aimed to increase muscle strength and promote a gradual adaptation to exercise in institutionalized older adults. Strength training consisted of 3 to 5 upper- and lower-body exercises, performed in 1–2 sets of 8–12 repetitions, starting at an intensity of 40% of one-repetition maximum (1RM) and progressively increasing to 60% of 1RM. The balance training component included 2–3 exercises with progressive difficulty, initially performed in a seated position and later in standing, with a gradual reduction of arm support.</t>
  </si>
  <si>
    <t>0205460(4,3)0211360(3,5)</t>
  </si>
  <si>
    <t>Goldberg-Dep</t>
  </si>
  <si>
    <t>Pepera, 2021</t>
  </si>
  <si>
    <t>Greece</t>
  </si>
  <si>
    <t>The control group did not receive any intervention during that
period and were instructed to pursue their habitual daily life ac_x0002_tivities.</t>
  </si>
  <si>
    <t>The exercise training program consisted of a 50-minute session structured into three main phases: warm-up, main component, and cool-down. The session began with a 10-minute warm-up, which included five minutes of circular walking followed by muscle-strengthening exercises targeting the upper extremities (deltoids, triceps, and rotator cuff muscles) and lower extremities (quadriceps and hamstrings). The main component, lasting 30 minutes, focused on three key areas. First, a muscle-strengthening program was performed for 10 repetitions, incorporating lower-extremity exercises using low-resistance bands (hip flexion, extension, abduction and adduction, knee flexion and extension, and ankle dorsiflexion and plantarflexion), heel and toe rises, and upper-limb strengthening with 1-kg dumbbells. Second, balance training (10 repetitions) included tasks such as single-leg standing, lateral weight shifting, staggered stance, and sidestepping. Third, functional mobility training (10 repetitions) emphasized daily functional tasks, including walking up and down stairs with handrails and standing up from a seated to an upright position. The session concluded with a 10-minute cool-down, which mirrored the warm-up activities and included circular walking and additional upper- and lower-extremity muscle-strengthening exercises to promote recovery and relaxation.</t>
  </si>
  <si>
    <t>0205460(4,3)0211360(3,5)0219060(2,5)</t>
  </si>
  <si>
    <t>Pepera, 2022</t>
  </si>
  <si>
    <t>Moreira, 2018</t>
  </si>
  <si>
    <t>Brazil</t>
  </si>
  <si>
    <t xml:space="preserve"> the control group that received no treatment</t>
  </si>
  <si>
    <t>The MEG protocol consisted of the following blocks: warm‐up
(5 min); strength (10 min); coordination and balance (10 min); multisensory stimulation (15 min), and flexibility and cool‐down (10 min). The
warm‐up period included short walks and games with balls using
the upper and lower limbs. To assess strength, free active exercises
were used with resistance of the body's own weight or rubber
band that involved the major muscle groups (upper limbs, lower
limbs, and trunk). Balance and coordination were tested through
movements between the lower and upper limbs that associated different positions of the head and neck (flexion, extension, and rotation)
with and without visual stimulation and on stable and unstable
surfaces, for example, on mats with bipedal support and a single leg.
In addition, they were asked to transpose obstacles such as sticks,
boxes, and a rope and cones in different directions (walk forward,
backward, and sideways). Verbal encouragement to alternate the gait
speed was provided by the same instructor during all of the walking
exercises. The multisensory stimulation was composed of sensory
stimulation together such as visual, auditory, touch, and motor (i.e.,
music, singing, storytelling, imagery, and soft/hard texture objects). Warm‐up, balance, coordination, multisensory stimulation, flexibility,
and cool‐down exercises were performed in three sets for at least
40 s each. Strength exercises were performed through the three
sets with 10–15 repetitions each (Garber et al., 2011). The exercise programme was organized in four stages, each
consisting of 4 weeks with increased overload according to the task's
complexity degree: (i) Weeks 1–4, exercises were held with basic
movements while sitting or in bipedal support and basic multisensory
activities; (ii) Weeks 5–8, medium complexity movements were
performed with bipedal and different positions of the limbs and head
support, and medium multisensory activities; (iii) Weeks 9–12, medium
complexity movements were performed by associating posture
changes and positioning as well as an unstable and single leg support,
and medium multisensory activities; (iv) Weeks 13–16, the same item
of activities were held (iii), including those without visual stimuli
(exercises with closed eyes) and high multisensory activities</t>
  </si>
  <si>
    <t>The MEG protocol consisted of the following blocks: warm‐up
(5 min); strength (10 min); coordination and balance (10 min); multisen_x0002_sory stimulation (15 min), and flexibility and cool‐down (10 min). The
warm‐up period included short walks and games with balls using
the upper and lower limbs. To assess strength, free active exercises
were used with resistance of the body's own weight or rubber
band that involved the major muscle groups (upper limbs, lower
limbs, and trunk). Balance and coordination were tested through
movements between the lower and upper limbs that associated differ_x0002_ent positions of the head and neck (flexion, extension, and rotation)
with and without visual stimulation and on stable and unstable
surfaces, for example, on mats with bipedal support and a single leg.
In addition, they were asked to transpose obstacles such as sticks,
boxes, and a rope and cones in different directions (walk forward,
backward, and sideways). Verbal encouragement to alternate the gait
speed was provided by the same instructor during all of the walking
exercises. The multisensory stimulation was composed of sensory
stimulation together such as visual, auditory, touch, and motor (i.e.,
music, singing, storytelling, imagery, and soft/hard texture objects). Warm‐up, balance, coordination, multisensory stimulation, flexibility,
and cool‐down exercises were performed in three sets for at least
40 s each. Strength exercises were performed through the three
sets with 10–15 repetitions each (Garber et al., 2011). The exercise programme was organized in four stages, each
consisting of 4 weeks with increased overload according to the task's
complexity degree: (i) Weeks 1–4, exercises were held with basic
movements while sitting or in bipedal support and basic multisensory
activities; (ii) Weeks 5–8, medium complexity movements were
performed with bipedal and different positions of the limbs and head
support, and medium multisensory activities; (iii) Weeks 9–12, medium
complexity movements were performed by associating posture
changes and positioning as well as an unstable and single leg support,
and medium multisensory activities; (iv) Weeks 13–16, the same item
of activities were held (iii), including those without visual stimuli
(exercises with closed eyes) and high multisensory activities</t>
  </si>
  <si>
    <t>Martin-Sánchez, 2021</t>
  </si>
  <si>
    <t>Elderly women performed the intervention protocol over 8 
weeks using threshold IMT, with a frequency of 1 session per day, 
5 days a week. The participants carried out 15 series of 1 min with 
a 1-min rest between them. and the LIG to 20% of MIP, measured 
during the initial evaluation
The load intensity adjustment was 
performed every 2 weeks by evaluating the MIP. During the entire 
period of the intervention protocol, the resistive load was in these 
percentages. The rest of parameters were the same in both groups</t>
  </si>
  <si>
    <t>Elderly women performed the intervention protocol over 8 
weeks using threshold IMT, with a frequency of 1 session per day, 
5 days a week. The participants carried out 15 series of 1 min with 
a 1-min rest between them. The intensity of training was different in the groups: the HIG 
was adjusted to 40% of MIP
The load intensity adjustment was 
performed every 2 weeks by evaluating the MIP. During the entire 
period of the intervention protocol, the resistive load was in these 
percentages. The rest of parameters were the same in both groups</t>
  </si>
  <si>
    <t>Machacova, 2017</t>
  </si>
  <si>
    <t>Czech Republic</t>
  </si>
  <si>
    <t>The control group participated in the 
regular activities of the NH.</t>
  </si>
  <si>
    <t>The dance 
sessions were divided into a 10-min warm-up period, a 40-min main dance 
period, and a 10-min cool-down period, all accompanied by motivating music 
appropriate for each period. The warm-up period included various slowpaced leg and arm movements mostly in a seated position. The main dancebased exercises involved basic steps and combinations of ballroom dances, 
including foxtrot, waltz, cha-cha-cha, cancan, and so on. The cool-down period used relaxation techniques such as 
deep breathing and stretching exercises.</t>
  </si>
  <si>
    <t>The dance 
sessions were divided into a 10-min warm-up period, a 40-min main dance 
period, and a 10-min cool-down period, all accompanied by motivating music 
appropriate for each period. The warm-up period included various slow_x0002_paced leg and arm movements mostly in a seated position. The main dance_x0002_based exercises involved basic steps and combinations of ballroom dances, 
including foxtrot, waltz, cha-cha-cha, cancan, and so on. The cool-down period used relaxation techniques such as 
deep breathing and stretching exercises.</t>
  </si>
  <si>
    <t>Liu, 2022</t>
  </si>
  <si>
    <t>China</t>
  </si>
  <si>
    <t xml:space="preserve"> while the control group only 
continued with their daily activities. </t>
  </si>
  <si>
    <t>mind body</t>
  </si>
  <si>
    <t>Tai Chi</t>
  </si>
  <si>
    <t>Physical activity, providing a well-established aerobics 
exercise program in each elderly nursing home, a 40-minute 
session five times a week for 12 months, conducted by 
trainers. Training attendance will be recorded every session. 
The integrated physical exercise program includes Tai Chi, 
a traditional Chinese mind-body physical activity, appeals to 
many older adults and has been extensively studied (22), as well 
as chest extension, trunk extension, marching, squatting, and 
knee extension. Before each training, each elderly person shall carry out 
enough warm-up preparation activities, including chest 
expansion, body rotation, double arm rotation, left and right 
knee rotation and front kick of both legs, for 5-10 minutes.  After the exercise, the relaxation activities include deep 
breathing, standing still, tapping the shoulder well, massaging muscles, kicking both legs, kicking left and right legs and 
shaking the whole body for 5-10 minutes.</t>
  </si>
  <si>
    <t>nurse</t>
  </si>
  <si>
    <t>WHOQOL</t>
  </si>
  <si>
    <t>Littbrand, 2009</t>
  </si>
  <si>
    <t>Sweden</t>
  </si>
  <si>
    <t>OTs developed the control activity program, which in_x0002_cluded activities while sitting (e.g., watching a film, reading,
singing, and conversation) for this study. The program was
based on themes (e.g., the old country shop, famous people,
and games from the past) and was expected to be interesting
and stimulating for older people, including those with se_x0002_vere cognitive impairment</t>
  </si>
  <si>
    <t>Strength exercises
were intended to be performed at 8- to 12-repetition maximum (RM),32 thus increasing the load as soon as the
participant performed more than 12 repetitions. The load
was increased by adjusting the performance of the exercise
(e.g., by doing deeper squats or step-ups onto a higher box)
or by using a weighted belt worn around the waist loaded
with an increasing weight (maximum 12 kg).  Balance
exercises were intended to fully challenge the participant’s
postural stability (balance exercises performed near the
limits of maintaining postural stability). At the end of the
3-month exercise period, the PTs introduced physical tasks
for the participants, in cooperation with a staff member at
the facility, for the purpose of maintaining physical function. The tasks, performed with or without supervision
from the staff, were integrated into daily life activities. They were individually recommended according to the participants’ functional deficits and motivation regarding type (e.g.,
walking, squats, and standing without balance support),
number (1–4), and frequency (weekly to daily). Adherence
to the tasks was evaluated after 3 months (at the 6-month
follow-up) by interviewing staff about adherence during the
preceding 2 weeks.</t>
  </si>
  <si>
    <t>0205460(4,3)0211360(3,5), 0205160(3)</t>
  </si>
  <si>
    <t>Strength exercises
were intended to be performed at 8- to 12-repetition max_x0002_imum (RM),32 thus increasing the load as soon as the
participant performed more than 12 repetitions. The load
was increased by adjusting the performance of the exercise
(e.g., by doing deeper squats or step-ups onto a higher box)
or by using a weighted belt worn around the waist loaded
with an increasing weight (maximum 12 kg).  Balance
exercises were intended to fully challenge the participant’s
postural stability (balance exercises performed near the
limits of maintaining postural stability). At the end of the
3-month exercise period, the PTs introduced physical tasks
for the participants, in cooperation with a staff member at
the facility, for the purpose of maintaining physical func_x0002_tion. The tasks, performed with or without supervision
from the staff, were integrated into daily life activities. They were individually recommended according to the partici_x0002_pants’ functional deficits and motivation regarding type (e.g.,
walking, squats, and standing without balance support),
number (1–4), and frequency (weekly to daily). Adherence
to the tasks was evaluated after 3 months (at the 6-month
follow-up) by interviewing staff about adherence during the
preceding 2 weeks.</t>
  </si>
  <si>
    <t>Kp, 2024</t>
  </si>
  <si>
    <t>India</t>
  </si>
  <si>
    <r>
      <rPr>
        <sz val="16"/>
        <color rgb="FFFF0000"/>
        <rFont val="Calibri"/>
        <family val="2"/>
      </rPr>
      <t>Otago</t>
    </r>
    <r>
      <rPr>
        <sz val="11"/>
        <color rgb="FFFF0000"/>
        <rFont val="Calibri"/>
        <family val="2"/>
      </rPr>
      <t xml:space="preserve"> </t>
    </r>
    <r>
      <rPr>
        <sz val="11"/>
        <rFont val="Calibri"/>
        <family val="2"/>
      </rPr>
      <t>2.1.3.1. Otago exercise program (OEP). OEP consists of 
strengthening and balance exercises.[34,35] Strengthening of 
ankle plantar and dorsiflexors, knee extensors and flexors, and 
hip abductors are focused in this program. Ankle weight cuffs 
(1–3kg) provide resistance for hip and knee exercises. The ankle 
plantar and dorsi flexors were strengthened by performing heel 
and toe raises. The progression was performed by increasing the 
duration and then weights.[34,35]
Stair walking, sit-to-stand, heel-to-toe walking backward, toe 
walking, heel walking, one-leg stands, tandem walking, tandem 
stance, sideways walking, turning around, walking backward, 
walking, and knee bends were used for balance exercises. Three 
levels were used for balance exercises: Level 1 was 2 hands 
holding on, Level 2 was one hand holding on, and Level 3 was 
no hands or support. The individuals repeated each exercise 10 
times a day over 8 weeks</t>
    </r>
    <r>
      <rPr>
        <sz val="11"/>
        <color rgb="FFFF0000"/>
        <rFont val="Calibri"/>
        <family val="2"/>
      </rPr>
      <t xml:space="preserve">
2.1.3.3. Core stability exercise. Core stability exercises 
included bridging, seated marching, straight leg raise, lower 
trunk rotation, seated oblique crunch, abdominal contraction, 
and curl-up, which were done in 5 repetitions (approximately 
20 minutes), 3 times per week.</t>
    </r>
  </si>
  <si>
    <t xml:space="preserve">2.1.3.2. Gaze Stability exercises (GSE). The exercise protocol in 
GSE included adaptation exercises and substitution exercises. In 
adaptation exercises, participants saw a stationary visual target 
while rotating their heads rapidly. In substitution exercises, with 
the intention of seeing clearly while performing the task, the 
subject moved their eyes and heads between targets. The target 
was moving the other way from the head movement.[31,36]
Adaptation exercises included: In sitting, vertical, and horizontal (stationary target) viewing exercises performed with 
a near target. Then performed with near and far (6–10 feet) argets. Then vertical and horizontal (stationary target) exercises were performed with near and far targets in standing 
position.[31,36]
Substitution exercises included: Eye-head movements between 
near targets (moving target) 4 feet away, horizontal/vertical, sitting. Eye-head movements between near targets (moving target) 
4 feet away, horizontal/vertical, standing. The participants performed each of these exercises for 5 repetitions (approximately 
30 minutes) 2 times a day (at least 4 hours rest in between) 3 
times a week over 8 weeks.[31,36]
</t>
  </si>
  <si>
    <t xml:space="preserve">2.1.3.2. Gaze Stability exercises (GSE). The exercise protocol in 
GSE included adaptation exercises and substitution exercises. In 
adaptation exercises, participants saw a stationary visual target 
while rotating their heads rapidly. In substitution exercises, with 
the intention of seeing clearly while performing the task, the 
subject moved their eyes and heads between targets. The target 
was moving the other way from the head movement.[31,36]
Adaptation exercises included: In sitting, vertical, and hor_x0002_izontal (stationary target) viewing exercises performed with 
a near target. Then performed with near and far (6–10 feet) argets. Then vertical and horizontal (stationary target) exer_x0002_cises were performed with near and far targets in standing 
position.[31,36]
Substitution exercises included: Eye-head movements between 
near targets (moving target) 4 feet away, horizontal/vertical, sit_x0002_ting. Eye-head movements between near targets (moving target) 
4 feet away, horizontal/vertical, standing. The participants per_x0002_formed each of these exercises for 5 repetitions (approximately 
30 minutes) 2 times a day (at least 4 hours rest in between) 3 
times a week over 8 weeks.[31,36]
</t>
  </si>
  <si>
    <t>Kovacs, 2012</t>
  </si>
  <si>
    <t>Hungary</t>
  </si>
  <si>
    <r>
      <rPr>
        <sz val="11"/>
        <color rgb="FF000000"/>
        <rFont val="Calibri"/>
        <family val="2"/>
      </rPr>
      <t xml:space="preserve">The multimodal exercise program included balance and
strength exercises based on </t>
    </r>
    <r>
      <rPr>
        <sz val="11"/>
        <color rgb="FFFF0000"/>
        <rFont val="Calibri"/>
        <family val="2"/>
      </rPr>
      <t>Otago</t>
    </r>
    <r>
      <rPr>
        <sz val="11"/>
        <color rgb="FF000000"/>
        <rFont val="Calibri"/>
        <family val="2"/>
      </rPr>
      <t xml:space="preserve"> Exercise Program
Multimodal exercise program
In sitting
Knee extension in sitting with or without ankle cuff (up to 10 times)
In standing
Knee extension in standing with then without hand support (up to 10 times)
Hip abduction in standing with then without hand support (up to 10 times)
Half squat (up to 10 times)
Repeated sit to stand exercises with or without hand support (up to 10 times)
Heel raise then toe raise in standing with or without hand support (10 steps up to 4 times)
Turning of head (up to 4 times)
Turning of trunk (up to 4 times)
Heel-toe stand (tandem stand) with or without hand support for up to 30 s
Step to back with or without hand support (10 steps up to 4 times)
Step to side (10–10 steps both sides)
Heel walk with or without hand support (10 steps up to 4 times)
Toe walk with or without hand support (10 steps up to 4 times)
Heel–toe walk with or without hand support (10 steps up to 4 times)
Walk in figure of 8
Standard osteoporosis exercise program
In sitting
Heel raise in sitting
Toe raise in sitting
Knee extension in sitting while performed plantar-dorsalflexion
Arm lift to back and to side with highlight of retraction
Throwing and catching different weighted balls
Adapted football in sitting
In standing
Arm lift to back and to side with or without elbow flexion while
standing with feet in shoulder apart
Arm lift to back and to side with or without elbow flexion while
standing with feet in side by side
Reaching exercises with a partner
Throwing and catching different weighted balls while standing
with feet in shoulder apart
 The strength exercises were directed to major
lower limb muscle groups playing roles in the postural control
such as knee extensors, hip extensors, hip abductors and ankle
muscles, using the patients’ body weight and ankle cuff weight
starting with 0.5 kg (Thera-Team 0.5–1.0–2.0 kg). The resistance
increased after the participants could complete sets of ten
repetitions for three consecutive serials. Two minutes rest period
was recommended between sets, if needed. The balance exercises
were closely related to everyday activity, e.g., knee bands in
standing, timed stand practice (standing on one leg, tandem
stance), sit to stand practice, forward, sideway and backward
stepping, and walking without then with changing direction. The
exercise program was supplemented with a 20- to 30-min walking
program. Walking period was allowed to be divided into 10-min
sessions over the day. The maximal intensity of walking was
moderate (individual was able to talk comfortable during walking,
Borg rate of perceived exertion at 12–14)</t>
    </r>
  </si>
  <si>
    <t>Standard osteoporosis exercise program
In sitting
Heel raise in sitting
Toe raise in sitting
Knee extension in sitting while performed plantar-dorsalflexion
Arm lift to back and to side with highlight of retraction
Throwing and catching different weighted balls
Adapted football in sitting
In standing
Arm lift to back and to side with or without elbow flexion while
standing with feet in shoulder apart
Arm lift to back and to side with or without elbow flexion while
standing with feet in side by side
Reaching exercises with a partner
Throwing and catching different weighted balls while standing
with feet in shoulder apart</t>
  </si>
  <si>
    <r>
      <t xml:space="preserve">The multimodal exercise program included balance and
strength exercises based on </t>
    </r>
    <r>
      <rPr>
        <sz val="11"/>
        <color rgb="FFFF0000"/>
        <rFont val="Calibri"/>
        <family val="2"/>
      </rPr>
      <t>Otago</t>
    </r>
    <r>
      <rPr>
        <sz val="11"/>
        <color theme="1"/>
        <rFont val="Calibri"/>
        <family val="2"/>
      </rPr>
      <t xml:space="preserve"> Exercise Program
Multimodal exercise program
In sitting
Knee extension in sitting with or without ankle cuff (up to 10 times)
In standing
Knee extension in standing with then without hand support (up to 10 times)
Hip abduction in standing with then without hand support (up to 10 times)
Half squat (up to 10 times)
Repeated sit to stand exercises with or without hand support (up to 10 times)
Heel raise then toe raise in standing with or without hand support (10 steps up to 4 times)
Turning of head (up to 4 times)
Turning of trunk (up to 4 times)
Heel-toe stand (tandem stand) with or without hand support for up to 30 s
Step to back with or without hand support (10 steps up to 4 times)
Step to side (10–10 steps both sides)
Heel walk with or without hand support (10 steps up to 4 times)
Toe walk with or without hand support (10 steps up to 4 times)
Heel–toe walk with or without hand support (10 steps up to 4 times)
Walk in figure of 8
Standard osteoporosis exercise program
In sitting
Heel raise in sitting
Toe raise in sitting
Knee extension in sitting while performed plantar-dorsalflexion
Arm lift to back and to side with highlight of retraction
Throwing and catching different weighted balls
Adapted football in sitting
In standing
Arm lift to back and to side with or without elbow flexion while
standing with feet in shoulder apart
Arm lift to back and to side with or without elbow flexion while
standing with feet in side by side
Reaching exercises with a partner
Throwing and catching different weighted balls while standing
with feet in shoulder apart
 The strength exercises were directed to major
lower limb muscle groups playing roles in the postural control
such as knee extensors, hip extensors, hip abductors and ankle
muscles, using the patients’ body weight and ankle cuff weight
starting with 0.5 kg (Thera-Team 0.5–1.0–2.0 kg). The resistance
increased after the participants could complete sets of ten
repetitions for three consecutive serials. Two minutes rest period
was recommended between sets, if needed. The balance exercises
were closely related to everyday activity, e.g., knee bands in
standing, timed stand practice (standing on one leg, tandem
stance), sit to stand practice, forward, sideway and backward
stepping, and walking without then with changing direction. The
exercise program was supplemented with a 20- to 30-min walking
program. Walking period was allowed to be divided into 10-min
sessions over the day. The maximal intensity of walking was
moderate (individual was able to talk comfortable during walking,
Borg rate of perceived exertion at 12–14)</t>
    </r>
  </si>
  <si>
    <t>Kocic, 2018</t>
  </si>
  <si>
    <t>Serbia</t>
  </si>
  <si>
    <t xml:space="preserve"> Participants allocated to the CG were advised to continue with
standard care and activities.</t>
  </si>
  <si>
    <t>The OEP is an individually tailored, home-based,
strength and balance training program designed to prevent falls of older
people (Otago Medical School, 2003). This program consists of
strengthening and balance exercises that progress through four levels of
difficulty. Each training session started with 5–7 min gentle warm-up
exercises and continued with about 30–35 min of strength and balance
training. At the end of each session the participants were instructed to
walk 5–7 min at their usual pace in order to cool down. Additionally,
they were included for walks at least twice a week for 30 min at a
moderate pace, on days without assigned exercise program
The exercise program was adjusted to the participants’ physical
fitness. The number of repetitions, the level of resistance and the difficulty of balance exercises were increased gradually according to the
changes of participants’ abilities through the course of the training.
Ankle cuff weights from 0.5–5 kg were used to provide resistance.</t>
  </si>
  <si>
    <t>1715360(3,8); 0219060(2,5); 0211360(3,5)</t>
  </si>
  <si>
    <t>The OEP is an individually tailored, home-based,
strength and balance training program designed to prevent falls of older
people (Otago Medical School, 2003). This program consists of
strengthening and balance exercises that progress through four levels of
difficulty. Each training session started with 5–7 min gentle warm-up
exercises and continued with about 30–35 min of strength and balance
training. At the end of each session the participants were instructed to
walk 5–7 min at their usual pace in order to cool down. Additionally,
they were included for walks at least twice a week for 30 min at a
moderate pace, on days without assigned exercise program
The exercise program was adjusted to the participants’ physical
fitness. The number of repetitions, the level of resistance and the dif_x0002_ficulty of balance exercises were increased gradually according to the
changes of participants’ abilities through the course of the training.
Ankle cuff weights from 0.5–5 kg were used to provide resistance.</t>
  </si>
  <si>
    <t>mFIM</t>
  </si>
  <si>
    <t>Kang, 2015</t>
  </si>
  <si>
    <t>South Korea</t>
  </si>
  <si>
    <t>The control group participated in non-exercise video-viewing sessions matched for time and attention.</t>
  </si>
  <si>
    <t>1) Muscle Strength Training Program
(1) Pelvic Floor Muscle Exercise
The Kegel exercise protocol recommended by the Korean Continence Society was adapted for elderly nursing home residents. Participants were instructed to contract the anal muscles as if holding in gas or urine while slowly counting from one to five, then relax. During the exercise, participants were instructed to avoid contracting the abdominal, gluteal, or leg muscles. Each contraction was held for five seconds, followed by five seconds of relaxation, repeated ten times per set, for a total of three sets. Exercises were performed in a seated or semi-seated position depending on participant preference and physical condition.
From the second week onward, one additional set of pelvic floor exercises was incorporated into the warm-up and cool-down stretching phases to adjust for participants’ physical capacity and attention levels.
(2) Upper and Lower Extremity Resistance Exercise
Resistance exercises were performed using 2-meter Thera-bands (The Hygenic Corporation, USA). Yellow bands (1.3 kg resistance), suitable for elderly beginners, were used initially. Exercises included forward arm lifts, pushing the band with one foot, and pulling the band toward the body. Each movement was repeated ten times per set, for two sets. Exercise intensity was increased to red bands for selected participants at weeks three and five, based on individual capability.
(3) Indoor Walking Exercise
Indoor walking was conducted within the facilities along flat corridors measuring 8–10 meters, adjusted in cooperation with facility staff. Participants walked at a comfortable pace for ten minutes, with occasional upbeat music and clapping to maintain motivation. Walking distance was based on average 10-meter walking speed measured in ten elderly women (1.35 ± 0.21 m/s), ensuring safety and feasibility [28].</t>
  </si>
  <si>
    <t>1715360(3,8); 0219060(2,5); 0205160(3)</t>
  </si>
  <si>
    <t>Jhonen, 2018</t>
  </si>
  <si>
    <t>s for 12 
weeks. Each session lasted approximately 45–60 min, 
and started and ended with a low-intensity warm-up and 
cool-down period (∼5 to 7 min each) consisting mainly 
of stretching exercises involving all major muscle groups. Strength exercises focused on upper and lower limb 
strengthening to activate large muscle groups known to 
contribute to gait speed, balance, mobility, and upper body 
stability
The MT protocol consisted of five exercises: leg 
press, latissimus pull down, elbow and shoulder extension 
(dip), and back extensor (Proxomed; Compass®). Training 
was initiated at 50% of the eight repetition maximum (8RM), 
a measure of muscle strength, at a training volume in the 1st 
set of 18–20 repetitions. Training intensity was increased in 
the 2nd set as tolerated to 75–80% of the 8RM. For the FWT 
protocol, subjects performed two sets of 10–12 repetitions 
using dumbbells (weight range 1–7 lbs). Between the sets, 
participants had to rest for about 1 minute</t>
  </si>
  <si>
    <t>machines</t>
  </si>
  <si>
    <t>The lifts used for 
FWT sessions engaged similar muscle groups compared to 
the MT sessions. The weights for both groups were regularly 
increased to elicit a rating of perceived exertion equal to 12 
(between light and somewhat hard) using the Borg Rate of 
Perceived Exertion scale (range 6–20).</t>
  </si>
  <si>
    <t>freeweight</t>
  </si>
  <si>
    <t>11_stepclimbg</t>
  </si>
  <si>
    <t xml:space="preserve"> Beaudart, 2013</t>
  </si>
  <si>
    <t>Patients, in the control group, were requested neither
to change their lifestyle during the study nor to get
involved in any new type of physical activity.</t>
  </si>
  <si>
    <t xml:space="preserve"> La media post-intervención se calculó sumando el cambio respecto a la línea basal (CFB) a la media pre-intervención. A partir del intervalo de confianza del 95% del cambio, se estimó el error estándar (SE) mediante la fórmula (límite superior − límite inferior) / (2×1,96), y posteriormente se obtuvo la desviación estándar del cambio (SDΔ) multiplicando el SE por la raíz cuadrada del tamaño muestral (√n). Finalmente, la desviación estándar post-intervención se estimó despejando de la ecuación SD_Δ^2=SD_pre^2+SD_post^2-2r⋅SD_pre⋅SD_post, asumiendo un coeficiente de correlación pre-post de r = 0,73.</t>
  </si>
  <si>
    <t>The WBV group performed exercises three times a week
during three months on a sinusoidal vibration platform
(VibrosphereW, Figure 1). Exercises consisted of standing
up, shoes removed, in a bipodal station with a knee
flexion (as if skiing, no specified angle) on this vertical
vibration platform for 5 series of 15 seconds of vibra_x0002_tions at 30 Hz intensity, 2mm of amplitude, alternating
with 30 seconds of rest.</t>
  </si>
  <si>
    <t xml:space="preserve"> La media post-intervención se calculó sumando el cambio respecto a la línea basal (CFB) a la media pre-intervención. A partir del intervalo de confianza del 95% del cambio, se estimó el error estándar (SE) mediante la fórmula (límite superior − límite inferior) / (2×1,96), y posteriormente se obtuvo la desviación estándar del cambio (SDΔ) multiplicando el SE por la raíz cuadrada del tamaño muestral (√n). Finalmente, la desviación estándar post-intervención se estimó despejando de la ecuación SD_Δ^2=SD_pre^2+SD_post^2-2r⋅SD_pre⋅SD_post, asumiendo un coeficiente de correlación pre-post de r = 0,85.</t>
  </si>
  <si>
    <t>Given that the data were reported as median and interquartile range (IQR), mean and standard deviation were estimated assuming an approximately normal distribution, using the formula SD ≈ IQR/1.35.
 La media post-intervención se calculó sumando el cambio respecto a la línea basal (CFB) a la media pre-intervención. A partir del intervalo de confianza del 95% del cambio, se estimó el error estándar (SE) mediante la fórmula (límite superior − límite inferior) / (2×1,96), y posteriormente se obtuvo la desviación estándar del cambio (SDΔ) multiplicando el SE por la raíz cuadrada del tamaño muestral (√n). Finalmente, la desviación estándar post-intervención se estimó despejando de la ecuación SD_Δ^2=SD_pre^2+SD_post^2-2r⋅SD_pre⋅SD_post, asumiendo un coeficiente de correlación pre-post de r = 0,9.</t>
  </si>
  <si>
    <t>Given that the data were reported as median and interquartile range (IQR), mean and standard deviation were estimated assuming an approximately normal distribution, using the formula SD ≈ IQR/1.35.
 La media post-intervención se calculó sumando el cambio respecto a la línea basal (CFB) a la media pre-intervención. A partir del intervalo de confianza del 95% del cambio, se estimó el error estándar (SE) mediante la fórmula (límite superior − límite inferior) / (2×1,96), y posteriormente se obtuvo la desviación estándar del cambio (SDΔ) multiplicando el SE por la raíz cuadrada del tamaño muestral (√n). Finalmente, la desviación estándar post-intervención se estimó despejando de la ecuación SD_Δ^2=SD_pre^2+SD_post^2-2r⋅SD_pre⋅SD_post, asumiendo un coeficiente de correlación pre-post de r = 0,80.</t>
  </si>
  <si>
    <t>Cadore, 2014</t>
  </si>
  <si>
    <t>During the intervention period, subjects in the control
group performed mobility exercises 30 min per day, at
4 days per week, which consisted of small active and
passive movements applied as a series of stretches in a
rhythmic fashion to the individual joints. Such exer_x0002_cises are routinely encouraged in most Spanish nursing
homes.</t>
  </si>
  <si>
    <t>Participants completed a 12-week supervised multicomponent exercise program twice weekly, combining high-velocity resistance training at 40–60% 1RM with progressive balance and gait retraining. Sessions lasted approximately 40 minutes and included warm-up, resistance, balance, and stretching components. The control group performed low-intensity mobility exercises as part of usual care. All training sessions were carefully
supervised by one experienced physical trainer. The
training sessions lasted for approximately 40 min. The
approximate duration of each part of the training was
5 min of warm-up, 10 min balance and gait retraining,
20 min of resistance training, and 5 min of stretching
(cool-down)</t>
  </si>
  <si>
    <t>219060(2,5); 205460(4,3); 211360(3,5)</t>
  </si>
  <si>
    <t>hip_flex</t>
  </si>
  <si>
    <t>Knee_ext</t>
  </si>
  <si>
    <t>Cakar, 2010</t>
  </si>
  <si>
    <t>the exercise group were convened three times a week for six weeks at the gymnasium of the facility. Each group included a warm up 5-7 min, 20-30 training and a 5-7 cooling down. The total exercising was no longer than 45 min. Group-based sessions including stretching, strength and aerobic exercises (fast walking, sideways walking, squats, sit-to-stand, ball throwing, calf raises), the exercise group were convened three times a week for six weeks at the gymnasium of the facility. Each group included a warm up 5-7 min, 20-30 training and a 5-7 cooling down. The total exercising was no longer than 45 min. Group-based sessions including stretching, strength and aerobic exercises (fast walking, sideways walking, squats, sit-to-stand, ball throwing, calf raises),</t>
  </si>
  <si>
    <t>Identical combined exercise program to COM group with the addition of 10 minutes of self-paced vertical jumping per session; jumping intensity and frequency were not limited, rest allowed as needed, and participants were encouraged to maintain high effort while ensuring safety</t>
  </si>
  <si>
    <t>1713460(6,5); 211360(3,5)</t>
  </si>
  <si>
    <t>Chen, 2012</t>
  </si>
  <si>
    <t>The control group participants were instructed to follow
their usual daily activities, and they were invited to participate
in the SY exercises after the study was completed.</t>
  </si>
  <si>
    <t>Yoga</t>
  </si>
  <si>
    <t>The Silver Yoga Exercise Program
The silver yoga (SY) exercise program is a safe and manageable
yoga program developed by Chen, Tseng, Ting, and Huang
(2007) to accommodate the reduced body flexibility experienced by many elders. The program includes four phases: (a)
warm-up (20 minutes), eight postures to loosen up the body
structure; (b) hatha yoga (20 minutes), seven gentle, stretching
postures to increase range of motion and progressive muscle
relaxation of elders, with special consideration for their
physical abilities and tolerance; (c) relaxation (10 minutes),
three activities to rest the body; and (d) guided-imagery
meditation (15 minutes), two imagery-guiding directions to
facilitate a state of relaxation. Abdominal breathing is
emphasized in each phase of the program; the postures in
the program are considered to be less strenuous than those
used in traditional yoga (Chen, Tseng, et al., 2007).</t>
  </si>
  <si>
    <t>The Silver Yoga Exercise Program
The silver yoga (SY) exercise program is a safe and manageable
yoga program developed by Chen, Tseng, Ting, and Huang
(2007) to accommodate the reduced body flexibility experi_x0002_enced by many elders. The program includes four phases: (a)
warm-up (20 minutes), eight postures to loosen up the body
structure; (b) hatha yoga (20 minutes), seven gentle, stretching
postures to increase range of motion and progressive muscle
relaxation of elders, with special consideration for their
physical abilities and tolerance; (c) relaxation (10 minutes),
three activities to rest the body; and (d) guided-imagery
meditation (15 minutes), two imagery-guiding directions to
facilitate a state of relaxation. Abdominal breathing is
emphasized in each phase of the program; the postures in
the program are considered to be less strenuous than those
used in traditional yoga (Chen, Tseng, et al., 2007).</t>
  </si>
  <si>
    <t>Chen, 2015</t>
  </si>
  <si>
    <t>The control group participants were instructed
to follow their usual daily activities, which excluded any
types of elastic band exercises</t>
  </si>
  <si>
    <t>wheelchairs</t>
  </si>
  <si>
    <t>The WSEB program has two levels: the basic and the
advanced. The basic WSEB program has three phases
(warm-up, aerobic motion, and harmonic stretching), and
each phase has four elastic band exercises. Two relatively
challenging exercises were added in each phase of the
basic WSEB program to form the advanced WSEB program.
Thus, the advanced WSEB program also has three phases
but each phase has six elastic band exercises (Chen et al.,
2013). Both the basic and the advanced WSEB program
have a 5-min break right after the aerobic motion phase and take 40 min to complete. The basic level was taught
and practiced for the first three months followed by the
advanced level for another three months (Chen et al.,
2013). The experimental group participants received the
WSEB exercises led by two certified instructors who
completed a nine-hour training program, three times per
week, 40 min per practice for six months</t>
  </si>
  <si>
    <t>Chin-A-Paw, 2006a</t>
  </si>
  <si>
    <t>Netherlands</t>
  </si>
  <si>
    <t>2.3.4. Control program
The control program was designed to provide attention,
social interaction and meant to be a ‘placebo’ intervention.
Participants were told they were assigned to an ‘educational’
program (group discussions about topics of interest to older
people such as history of the 20th century, music, relaxation,
etc.). Sessions were organised 2 days of the week during 6
months for 45–60 min in groups of 7–15 participants,
supervised by a professional creative therapist</t>
  </si>
  <si>
    <t>The strength training program was performed twice
weekly during 6 months in groups of five to seven
participants directed by a trained physical therapist and
an assistant. In the first 2 weeks, resistance increased until
two sets of 8–12 repetitions were possible (60–80% of the
individual 1RM). Resistance was to be increased after the
participant could complete 2 sets of 12 repetitions for two
consecutive sessions. As a warm-up, each exercise was first
performed 10–20 repetitions with minimal resistance.
Progression was incorporated with exercise logs filled out
by the supervising physical therapist and assistant.  The five exercises were leg press,
lattisimus pulldown, biceps curl and triceps press on
TechnoGym equipment and heel raises with dumbbells
(1–5 kg each), ankle and/or wrist weights (1 and 2 kg per
pair). For the heel raises the number of repetitions were
increased if the subjects could lift the maximum weight (2
5 kg dumbbells + 2 2 kg ankle weights). Sessions lasted
45–60 min and closed with stretching exercises.</t>
  </si>
  <si>
    <t>2.3.2. Functional-skills training
The functional-skills training program was performed
twice weekly during 6 months in groups of 7–15
participants, directed by a trained physical therapist and
an assistant. All classes started with 5–10 min of warm-up
activities: walking whenever possible, exercise-to-music
routines, becoming familiarised with the equipment. This
was followed by 30–35 min of skills training in game-like
and co-operative activities, such as throwing and catching a
ball while standing up and sitting down on a chair, musical
chairs and team pursuit races. The cool-down period (5–
10 min) consisted of stretching and relaxation activities (e.g.
finger and wrist rolls, shoulder rolls, reaching, leg stretches).
All exercises were adjustable to the individual mobility
level. The intensity was gradually increased: the number of
repetitions increased, exercises were performed more often
standing up straight and the use of wrist and ankle weights (1
and 2 kg per pair) was stimulated. the program was esigned to improve muscle strength, speed, endurance,
coordination and flexibility to improve functional performance of common daily activities. An emphasis was placed
on skills training meaning that the specific activities required
for independence in daily activities were practised. The
design and theoretical background of the functional-skills
training program are described in detail elsewhereesigned to improve muscle strength, speed, endurance,
coordination and flexibility to improve functional performance of common daily activities. An emphasis was placed
on skills training meaning that the specific activities required
for independence in daily activities were practised. The
design and theoretical background of the functional-skills
training program are described in detail elsewhere</t>
  </si>
  <si>
    <t>Subjects in the combination group performed once
weekly the strength training and once weekly the functional_x0002_skills training protocol.</t>
  </si>
  <si>
    <t>205460(4,3); 205160(3)</t>
  </si>
  <si>
    <t>The strength training program was performed twice
weekly during 6 months in groups of five to seven
participants directed by a trained physical therapist and
an assistant. In the first 2 weeks, resistance increased until
two sets of 8–12 repetitions were possible (60–80% of the
individual 1RM). Resistance was to be increased after the
participant could complete 2 sets of 12 repetitions for two
consecutive sessions. As a warm-up, each exercise was first
performed 10–20 repetitions with minimal resistance.
Progression was incorporated with exercise logs filled out
by the supervising physical therapist and assistant.  The five exercises were leg press,
lattisimus pulldown, biceps curl and triceps press on
TechnoGym equipment and heel raises with dumbbells
(1–5 kg each), ankle and/or wrist weights (1 and 2 kg per
pair). For the heel raises the number of repetitions were
increased if the subjects could lift the maximum weight (2_x0001_
5 kg dumbbells + 2_x0001_ 2 kg ankle weights). Sessions lasted
45–60 min and closed with stretching exercises.</t>
  </si>
  <si>
    <t>2.3.2. Functional-skills training
The functional-skills training program was performed
twice weekly during 6 months in groups of 7–15
participants, directed by a trained physical therapist and
an assistant. All classes started with 5–10 min of warm-up
activities: walking whenever possible, exercise-to-music
routines, becoming familiarised with the equipment. This
was followed by 30–35 min of skills training in game-like
and co-operative activities, such as throwing and catching a
ball while standing up and sitting down on a chair, musical
chairs and team pursuit races. The cool-down period (5–
10 min) consisted of stretching and relaxation activities (e.g.
finger and wrist rolls, shoulder rolls, reaching, leg stretches).
All exercises were adjustable to the individual mobility
level. The intensity was gradually increased: the number of
repetitions increased, exercises were performed more often
standing up straight and the use of wrist and ankle weights (1
and 2 kg per pair) was stimulated. the program was esigned to improve muscle strength, speed, endurance,
coordination and flexibility to improve functional perfor_x0002_mance of common daily activities. An emphasis was placed
on skills training meaning that the specific activities required
for independence in daily activities were practised. The
design and theoretical background of the functional-skills
training program are described in detail elsewhereesigned to improve muscle strength, speed, endurance,
coordination and flexibility to improve functional perfor_x0002_mance of common daily activities. An emphasis was placed
on skills training meaning that the specific activities required
for independence in daily activities were practised. The
design and theoretical background of the functional-skills
training program are described in detail elsewhere</t>
  </si>
  <si>
    <t xml:space="preserve">Total_activity </t>
  </si>
  <si>
    <t>DQoL</t>
  </si>
  <si>
    <t>Chou, 2022</t>
  </si>
  <si>
    <t xml:space="preserve">In the control group, the participants 
maintained their regular daily activities. </t>
  </si>
  <si>
    <t>Acupunch</t>
  </si>
  <si>
    <t xml:space="preserve">Five fist styles, including Phoenix Fist (palm side of the fist), Tiger 
Fist (thumb side of the fist), Dragon Fist (little finger side of the fist), 
Trunk Fist (dorsal side of the fist), and Palm Beat (cupped palm), are 
applied in the VA exercise. By swinging arms to locate differet sides of 
the fists on the targeted acupoints, meridians are stimulated. The VA 
exercise program includes three phases with a 5-minute rest halfway 
through: (1) activating qi and blood (5 movements, 8 min), (2) acu_x0002_punch exercise (14 movements, 19 min), and (3) relaxing the body and 
mind (5 movements, 8 min) (example motions see Fig. 1). At the first 
phase, participants warm up the body to activate qi and blood 
throughout the whole body, adjust breathing, and loosen joints. At the 
second phase, participants perform 14 movements to activate qi and 
blood circulation, improve energy, and strengthen cardiorespiratoryndurance and lung function. Finally, participants relax their tense 
muscles, calm breathing, and relax the whole body and mind. 
The VA exercise program was led by a trained instructor with two to 
three assistants; all of whom completed a 9-hour VA instructor training 
program and received a certificate upon completion. Participants in the 
intervention group received a 40-minute VA exercise session, three 
times a week for 24 weeks. The initial 4 weeks of the VA exercise program were motion teaching 
period. At each session, 2–3 new motions were taught and the previously 
learnt motions were repracticed </t>
  </si>
  <si>
    <t>Dechamps, 2010</t>
  </si>
  <si>
    <t>The participants assigned to the control group received usual
care with no additional attention or exercise or cognitive_x0002_behavioral training. This group had no restriction in nursing,
medical care, counseling, physical activity, physiotherapy, or
any health care support.</t>
  </si>
  <si>
    <t xml:space="preserve"> La media post-intervención se calculó sumando el cambio respecto a la línea basal (CFB) a la media pre-intervención. A partir del intervalo de confianza del 95% del cambio, se estimó el error estándar (SE) mediante la fórmula (límite superior − límite inferior) / (2×1,96), y posteriormente se obtuvo la desviación estándar del cambio (SDΔ) multiplicando el SE por la raíz cuadrada del tamaño muestral (√n). Finalmente, la desviación estándar post-intervención se estimó despejando de la ecuación SD_Δ^2=SD_pre^2+SD_post^2-2r⋅SD_pre⋅SD_post, asumiendo un coeficiente de correlación pre-post de r = 0,59.</t>
  </si>
  <si>
    <t>The AT classes were taught by an experi_x0002_enced instructor who followed an adapted variation of the Yang
style for elderly persons,17 which emphasizes body sensation,
awareness of multidirectional weight shifting, body align_x0002_ment, and multisegmental movement coordination. Deep breath_x0002_ing and muscular reinforcement exercises were integrated into
the AT routine. Therefore, after the population characteristics
were taken into consideration, AT was defined as 4 sessions of
30 minutes a week over the course of 6 months.</t>
  </si>
  <si>
    <t>GDS-15</t>
  </si>
  <si>
    <t>SLS _do(s)</t>
  </si>
  <si>
    <t>Dhargave, 2020</t>
  </si>
  <si>
    <t xml:space="preserve"> The control group received an 
educational program at the beginning of the study 
regarding awareness and prevention of falls, which 
included identifying the risk factors of falls, identifying 
and avoiding environmental hazards, maintain 
the habit of walking daily at least for 15 minutes, 
identifying orthostatic hypotension due to sudden 
changes in position, and understanding the need of 
consultation with a doctor to alter the medications. </t>
  </si>
  <si>
    <t>Experimental group received home based exercise 
program at their geriatric homes for three months.Exercises were taught on the first day, and patients 
received supervised exercise program for the first 
week. Later on, the therapist visited the participant 
once in every 15 days for 3 months. Each session 
last for 30 minutes, once per day. Participants in 
the experimental group were also advised to walk 
outside the home for 30 minutes in a day. A 12-week structured multicomponent exercise program was implemented in geriatric homes, consisting of daily 30-minute sessions including ROM, stretching, progressive strengthening (20–80% 1RM), balance training, and functional gait tasks. Exercises were initially supervised and later performed independently with periodic therapist follow-up.
Bilateral ROM Exercises Shoulder, elbow, wrist, fingers, hip, knee, ankle, 
and trunk (rotation and side bending) (active) 10 reps, once daily Nil
Bilateral Stretching Exercises Upper thoracic muscles, triceps, quadriceps, 
glutei, hamstrings, and gastrox (active) 5 sec hold, 3 reps, once daily Nil
Bilateral Strengthening Exercises Hip extensors and abductors, knee flexors and 
extensors, ankle plantar and dorsiflexors
20% of 1RM, 10 reps x 3 sets, 
once daily
Gradually progress up to of 
80% 1RM
Balance Exercises
Tandem standing, tandem walking, toe &amp; heel 
walking, walking backwards &amp; sideways 2 min each, once daily Increase 1 min every 2 weeks
Obstacle clearance, picking up objects from floor, 
Sit to stand, and half squats 10 reps, once daily Increase 5 reps every 2 weeks
Climbing stairs 1 flight, 3 reps Increase 1 flight every 1 month</t>
  </si>
  <si>
    <t>1715360(3,8); 205460(4,3)</t>
  </si>
  <si>
    <t>Ferreira, 2018</t>
  </si>
  <si>
    <t>the CG were instructed to maintain their
usual activities of everyday life and to not change their
physical activity habits during the study period</t>
  </si>
  <si>
    <t xml:space="preserve"> completion of
a physical exercise program that lasted for 12 weeks.
'e elderly in the EG participated in a training program
performed 3 times a week, with sessions lasting 40 minutes,
2.11. Physical Exercise Program. 'e multiple component
exercise program lasted 12 weeks, being performed 3 time per week with each session lasting 40 minutes. Exercises
were focused on improving mobility, 3exibility, strength,
and aerobic resistance (Table 1). Physical @tness and exer_x0002_cises for the training program were chosen after an initial
assessment of the volunteers to gather variables to improve
the independence of elderly people.
To implement the program, the EG was divided into 3
subgroups of approximately 5 elderly people in each group
so that exercises were conducted in a personalized and
individualized way. 'e subgroup was followed at all times
by 2 physical educators and 3 monitors who did not know
which elders were in each of the groups. 'e intensity and
complexity of exercises were de@ned based on the initial
assessment and adjusted weekly considering the subjective
perception of e2ort (SPE) reported by each participant.
Owing to the clinical condition of participants, characterized
by a high level of functional impairment, medical clearance was
granted to perform up to moderate intensities of exercise, what
resulted in exercises between 5 and 7 of SPE being selected
according to an adapted Omni scale [28]. 'e intensity was
collected during the exercise sessions during the 12 weeks. </t>
  </si>
  <si>
    <t>Donat, 2007</t>
  </si>
  <si>
    <t>UNSUPERVISED
Both groups performed the same exercise programme three times a week for a period of eight
weeks. Each exercise session lasted 45-50 min. The
exercise programme was based on balance training, strengthening and stretching of the lower
limbs, increasing flexibility, posture exercises and
functional activities (Table 1). Body weight was
used for strengthening of the lower limbs. Balance
exercises progressed from being done with open
eyes to being done with closed eyes and from being
done with a support to being done without a
support. The subjects did their exercises next to a
chair so that if they lost their balance they could
hold it for support. For each exercise, the duration
and number of repetitions increased as the subjects’ tolerance increased and as time progressed.
Each group was asked to walk daily for 10 min
during the course of the eight weeks, and the
walking sessions were followed by marking weekly
charts which were given to the subjects in both
groups.
The physiotherapist demonstrated the exercises
to all of the subjects in the unsupervised home
exercise group, and then observed them practising
the exercises once to make sure that the they
understood how to do them properly. These
subjects were required to do the exercises on their
own and in their own rooms. In addition, they were
all given a written exercise programme with a
weekly chart to help them keep a record of what
they had accomplished. On this chart the subjects
marked the exercises they completed on the
various days.
ime
(min)
Warm-up Walking at moderate speed for 12 min, trunk flexibility while standing
(35 times trunk rotation, lateral flexion and forward flexion)
5
Posture exercises In sitting position 3 times bilateral shoulder flexion with the combination of
breathing and, cervical rotation, lateral flexion and flexion/extension for 8 times
and 35 times bilateral scapular adduction
3540
Balance and lower limb co-ordination exercises
5810 times reciprocal hipknee flexion, knee extension and dorsi/plantar
flexion while sitting, in standing position 24 times anteriorly-posteriorly and
laterally weight shifting, marching in place for 30 s, pacing anterior-posterior
and laterally with weight shifting twice to each direction with right and left foot,
1030 s tandem standing (23 times and for each foot at the front), 1030 s
one-leg standing (23 times on each foot, 510 s standing on heels and
fingertips (510 times)
Functional activities 35 times sit to stand (one foot in front of the other one to side by side under
chair), while standing reaching out 35 times for each direction (upward, forward
and laterally with single and both hands)
Walking training Tandem walking, heel and fingertip walking, walking backwards (2 min overall)
Stretching Gastrosoleus stretching towards the wall, hamstring stretching in sitting position
(with a duration of 510 s and 35 times for each foot)
Strengthening Abduction and extension of hip while standing 510 times, mini-squat against
the wall for 510 times with 510 s duration, stepping 510 times
Cool-down Walking slowly for 12 min, trunk flexibility while standing (35 times trunk
rotation, lateral flexion and forward flexion)
5
Total 4550</t>
  </si>
  <si>
    <t>0219060(2,5); 0211360(3,5)</t>
  </si>
  <si>
    <t>unsupervised</t>
  </si>
  <si>
    <t>SUPERVISED
ime
(min)
Warm-up Walking at moderate speed for 1_x0002_2 min, trunk flexibility while standing
(3_x0002_5 times trunk rotation, lateral flexion and forward flexion)
5
Posture exercises In sitting position 3 times bilateral shoulder flexion with the combination of
breathing and, cervical rotation, lateral flexion and flexion/extension for 8 times
and 3_x0002_5 times bilateral scapular adduction
35_x0002_40
Balance and lower limb co-ordi_x0002_nation exercises
5_x0002_8_x0002_10 times reciprocal hip_x0002_knee flexion, knee extension and dorsi/plantar
flexion while sitting, in standing position 2_x0002_4 times anteriorly-posteriorly and
laterally weight shifting, marching in place for 30 s, pacing anterior-posterior
and laterally with weight shifting twice to each direction with right and left foot,
10_x0002_30 s tandem standing (2_x0002_3 times and for each foot at the front), 10_x0002_30 s
one-leg standing (2_x0002_3 times on each foot, 5_x0002_10 s standing on heels and
fingertips (5_x0002_10 times)
Functional activities 3_x0002_5 times sit to stand (one foot in front of the other one to side by side under
chair), while standing reaching out 3_x0002_5 times for each direction (upward, forward
and laterally with single and both hands)
Walking training Tandem walking, heel and fingertip walking, walking backwards (2 min overall)
Stretching Gastrosoleus stretching towards the wall, hamstring stretching in sitting position
(with a duration of 5_x0002_10 s and 3_x0002_5 times for each foot)
Strengthening Abduction and extension of hip while standing 5_x0002_10 times, mini-squat against
the wall for 5_x0002_10 times with 5_x0002_10 s duration, stepping 5_x0002_10 times
Cool-down Walking slowly for 1_x0002_2 min, trunk flexibility while standing (3_x0002_5 times trunk
rotation, lateral flexion and forward flexion)
5
Total 45_x0002_50</t>
  </si>
  <si>
    <t>UNSUPERVISED
Both groups performed the same exercise pro_x0002_gramme three times a week for a period of eight
weeks. Each exercise session lasted 45_x0002_50 min. The
exercise programme was based on balance train_x0002_ing, strengthening and stretching of the lower
limbs, increasing flexibility, posture exercises and
functional activities (Table 1). Body weight was
used for strengthening of the lower limbs. Balance
exercises progressed from being done with open
eyes to being done with closed eyes and from being
done with a support to being done without a
support. The subjects did their exercises next to a
chair so that if they lost their balance they could
hold it for support. For each exercise, the duration
and number of repetitions increased as the sub_x0002_jects’ tolerance increased and as time progressed.
Each group was asked to walk daily for 10 min
during the course of the eight weeks, and the
walking sessions were followed by marking weekly
charts which were given to the subjects in both
groups.
The physiotherapist demonstrated the exercises
to all of the subjects in the unsupervised home
exercise group, and then observed them practising
the exercises once to make sure that the they
understood how to do them properly. These
subjects were required to do the exercises on their
own and in their own rooms. In addition, they were
all given a written exercise programme with a
weekly chart to help them keep a record of what
they had accomplished. On this chart the subjects
marked the exercises they completed on the
various days.
ime
(min)
Warm-up Walking at moderate speed for 1_x0002_2 min, trunk flexibility while standing
(3_x0002_5 times trunk rotation, lateral flexion and forward flexion)
5
Posture exercises In sitting position 3 times bilateral shoulder flexion with the combination of
breathing and, cervical rotation, lateral flexion and flexion/extension for 8 times
and 3_x0002_5 times bilateral scapular adduction
35_x0002_40
Balance and lower limb co-ordi_x0002_nation exercises
5_x0002_8_x0002_10 times reciprocal hip_x0002_knee flexion, knee extension and dorsi/plantar
flexion while sitting, in standing position 2_x0002_4 times anteriorly-posteriorly and
laterally weight shifting, marching in place for 30 s, pacing anterior-posterior
and laterally with weight shifting twice to each direction with right and left foot,
10_x0002_30 s tandem standing (2_x0002_3 times and for each foot at the front), 10_x0002_30 s
one-leg standing (2_x0002_3 times on each foot, 5_x0002_10 s standing on heels and
fingertips (5_x0002_10 times)
Functional activities 3_x0002_5 times sit to stand (one foot in front of the other one to side by side under
chair), while standing reaching out 3_x0002_5 times for each direction (upward, forward
and laterally with single and both hands)
Walking training Tandem walking, heel and fingertip walking, walking backwards (2 min overall)
Stretching Gastrosoleus stretching towards the wall, hamstring stretching in sitting position
(with a duration of 5_x0002_10 s and 3_x0002_5 times for each foot)
Strengthening Abduction and extension of hip while standing 5_x0002_10 times, mini-squat against
the wall for 5_x0002_10 times with 5_x0002_10 s duration, stepping 5_x0002_10 times
Cool-down Walking slowly for 1_x0002_2 min, trunk flexibility while standing (3_x0002_5 times trunk
rotation, lateral flexion and forward flexion)
5
Total 45_x0002_50</t>
  </si>
  <si>
    <t>Freire, 2024</t>
  </si>
  <si>
    <t>The
control group first performed a warm-up corresponding to a 6-min
safe walk (Zheng et al., 2013). After that, the protocol was focused on
muscle strengthening in which the following exercises were
performed (3 sets of 10 repetitions, 2 min rest between sets): 1)
patient in dorsal decubitus position with support in the
thoracocervical region on the surface The estimated initial load, in the elderly participant,
was 40% RM with gradual increments until the final load estimated
at 80%RM (Rebelo-Marques et al., 2018). Obtaining and modulating
the %RM, the Holten Diagram was used, in which, through
mathematical calculations, the desired values in %RM were
discovered (40%RM, for example), by observing the relationship
between the number of repetitions performed by the participant and
the percentage that this load represented. Shin guards with multiple
values of 0.5 kg were used for this progress (from 40%RM to 80%
RM) during the 12-week intervention period.</t>
  </si>
  <si>
    <t>In the intervention group, all participants performed the same
protocol as the control group, with the addition of sensorimotor
exercises. The sensorimotor exercises comprised 4 exercises with
4 levels of difficulty: The participant in this intervention group performed the four
types of sensorimotor exercises and the progression was according
to their level of safety and confidence when performing them.
Estimated time for each modality: 6 min. Rest time between
modalities: 2 min. Time to perform sensorimotor exercises:
30 min. Total time of the physiotherapeutic session in the
intervention group: 90 min</t>
  </si>
  <si>
    <t>205460(4,3);0211360(2,5)</t>
  </si>
  <si>
    <t>205460(4,3);02111360(2,5)</t>
  </si>
  <si>
    <t>Fu, 2015</t>
  </si>
  <si>
    <t>The conventional
balance exercise regime used was that developed by Campbell
et al22 specifically for fall prevention in elderly women. It has
been shown to be effective in reducing fall incidence in an elderly
population. The exercise regime included lower limb musclestrengthening exercises, tandem standing exercises in parallel
bars, tandem walking exercises in parallel bars, sideways and
turnaround walking exercises in parallel bars, stepping exercise,
sitting to standing exercise, and half-squats. Participants were
rested for 1 to 2 minutes between sets. Training was organized in
1-hour sessions, which were held for 3 days a week for 6 weeks. A
physiotherapist conducted the whole training regime for all participants in the conventional and Wii Fit balance training groups
during this 6-week period</t>
  </si>
  <si>
    <t>Participants who were randomized to the Wii Fit balance
training group received balance training using a Wii Fit balance
board.a Three balance training gamesdnamely, Soccer Heading,
Table Tilt, and Balance Bubbledwere selected. In the Soccer
Heading game, participants mimicked soccer player These activities exercised various components of the balance
control system, including musculoskeletal components, sensory
systems, neuromuscular strategies, and anticipatory control. Wii
Fit training was also for 1 hour per session, 3 sessions a week for 6
weeks. Because all the participants had history of falls, they were
accompanied by a rehabilitation assistant who provided immediate
manual support when necessary during both the Wii Fit and the
conventional balance training programs</t>
  </si>
  <si>
    <t>Genç, 2023</t>
  </si>
  <si>
    <t>2.5.2 | Control group
Participants in the control group were expected to continue their
usual/routine activities for 12 weeks after baseline assessment and
randomization. Health services were provided as usual/routine activi_x0002_ties in the institution, including doctor visits, health screenings and
continuous daily activities. Control group participants were asked not
to participate in any new or intervention training programme during
the 12-week study period. The control group was also measured at
the baseline, in the 8th and 12th weeks. The researcher did not
directly intervene in this group.</t>
  </si>
  <si>
    <r>
      <rPr>
        <sz val="11"/>
        <color rgb="FFFF0000"/>
        <rFont val="Calibri"/>
        <family val="2"/>
      </rPr>
      <t>OTAGO EXERCISE</t>
    </r>
    <r>
      <rPr>
        <sz val="11"/>
        <color rgb="FF000000"/>
        <rFont val="Calibri"/>
        <family val="2"/>
      </rPr>
      <t xml:space="preserve"> 2.5.1 | Intervention group
The programme consists of warming up, strengthening, balance exercises and a walking plan. Older individuals are asked to do this set of
exercises three times a week and walk for 30 min twice a week. To
get the full intervention, it is necessary to attend the OEP 3 days a
week and walk 2 days a week (Campbell &amp; Robertson, 2003). Ankle
cuff weights, weighing about 0.5 kg, were used in lower extremity
strengthening exercises. The exercise programme designed
specifically for the individual was created taking into account the OEP
protocol (https://www.livestronger.org.nz/assets/Uploads/acc1162-
otago-exercise-manual.pdf).
The researcher gave the OEP training to the participants three
times per week in the first 4 weeks and applied the exercises together
with the individuals (Figure S1; Tables S1 and S2). Older individual who
provided written consent in the preliminary application allowed the
researcher to film him during the training process, and this footage was
used during the first week of training. While doing this, the programme
was planned for group delivery, with six or eight people in each group.
These groups were formed considering that similar people in terms of
age and gender should be in the same group. In addition, the group
leader was chosen with the approval of the participants of each group.
In the next 8 weeks, the researcher visited the institution and was contacted by phone. In total, 12 institutional visits and 12 phone calls were
conducted (Table S3). The researcher made institutional visits to
increase the motivation of individuals and to provide consultancy to
them. He also practiced with individuals during institutional visits. The
purpose of the phone calls was to remind individuals to exercise. Since
it was difficult to reach all individuals via telephone, cooperation was
ensured with the group leader determined in the groups, assistance
was received from the institution's health station, and all participants
were reached. Each individual was given an exercise booklet, exercise
chart, exercise diary and sneakers. The participation of individuals in
the exercise was followed up by taking an attendance roll in the first
month and checking the exercise diary and schedule in the following
months by making institutional visits and phone calls. One person from
the experimental group left voluntarily in the 8th week of the study</t>
    </r>
  </si>
  <si>
    <t>1715360(3,8); 0211360(3,5)</t>
  </si>
  <si>
    <r>
      <rPr>
        <sz val="11"/>
        <color rgb="FFFF0000"/>
        <rFont val="Calibri"/>
        <family val="2"/>
      </rPr>
      <t>OTAGO EXERCISE</t>
    </r>
    <r>
      <rPr>
        <sz val="11"/>
        <color theme="1"/>
        <rFont val="Calibri"/>
        <family val="2"/>
      </rPr>
      <t xml:space="preserve"> 2.5.1 | Intervention group
The programme consists of warming up, strengthening, balance exer_x0002_cises and a walking plan. Older individuals are asked to do this set of
exercises three times a week and walk for 30 min twice a week. To
get the full intervention, it is necessary to attend the OEP 3 days a
week and walk 2 days a week (Campbell &amp; Robertson, 2003). Ankle
cuff weights, weighing about 0.5 kg, were used in lower extremity
strengthening exercises. The exercise programme designed
specifically for the individual was created taking into account the OEP
protocol (https://www.livestronger.org.nz/assets/Uploads/acc1162-
otago-exercise-manual.pdf).
The researcher gave the OEP training to the participants three
times per week in the first 4 weeks and applied the exercises together
with the individuals (Figure S1; Tables S1 and S2). Older individual who
provided written consent in the preliminary application allowed the
researcher to film him during the training process, and this footage was
used during the first week of training. While doing this, the programme
was planned for group delivery, with six or eight people in each group.
These groups were formed considering that similar people in terms of
age and gender should be in the same group. In addition, the group
leader was chosen with the approval of the participants of each group.
In the next 8 weeks, the researcher visited the institution and was con_x0002_tacted by phone. In total, 12 institutional visits and 12 phone calls were
conducted (Table S3). The researcher made institutional visits to
increase the motivation of individuals and to provide consultancy to
them. He also practiced with individuals during institutional visits. The
purpose of the phone calls was to remind individuals to exercise. Since
it was difficult to reach all individuals via telephone, cooperation was
ensured with the group leader determined in the groups, assistance
was received from the institution's health station, and all participants
were reached. Each individual was given an exercise booklet, exercise
chart, exercise diary and sneakers. The participation of individuals in
the exercise was followed up by taking an attendance roll in the first
month and checking the exercise diary and schedule in the following
months by making institutional visits and phone calls. One person from
the experimental group left voluntarily in the 8th week of the study</t>
    </r>
  </si>
  <si>
    <t>Hassan, 2016</t>
  </si>
  <si>
    <t>ndividuals in the control facilities continued with their usual care routine</t>
  </si>
  <si>
    <t>sarcopenia</t>
  </si>
  <si>
    <t>The EX facilities were provided with twice weekly progressive
resistance and balance training up to 50 h over a six month period,
while individuals in the control facilities continued with their usual
care routine. Resistance training was by air-pneumatic equipment
(HUR Health and Fitness Equipment, Australia) specifically
designed for rehabilitation and commonly used in very old adults
with disability and care needs. Lower- and upper-body, and the
trunk exercises included: elbow and shoulder extension (dip), leg
press, knee extension and flexion, hip abduction and adduction,
abdominal curl and back extension. Following a reduced sets and
repetitions two week conditioning period, participants were prescribed 2e3 sets per exercise at a resistance they could complete
10e15 times22 with a perceived rate of exertion of 12e14 on the
Borg Scale.23 Balance exercises included: heel and toe raises, varied
directional quick stepping, reaching, single leg standing, static
balance, heel to toe walking and complex cross over stepping
activities.24 Exercise intensity was progressed for the resistance
training exercises by increasing the load when participants could
comfortably complete 3 sets of 10 repetitions or by increasing
repetitions with the same load to 3 sets of 15 repetitions.
 For the
B.H. Hassan et al. / Geriatric Nursing 37 (2016) 116e121 117
balance exercises, progressions involved reducing hand support,
narrowing the base of support, increasing the speed of the activity
and/or introducing a cognitive dual-task challenge.14,24 Sessions
lasted approximately 1 h and were prescribed by a trained allied
health professional, who also monitored group safety and offered
verbal motivation. Exercise was conducted in groups of up to 10
individuals</t>
  </si>
  <si>
    <t>211360(3,5);205460(4,3)</t>
  </si>
  <si>
    <t>The EX facilities were provided with twice weekly progressive
resistance and balance training up to 50 h over a six month period,
while individuals in the control facilities continued with their usual
care routine. Resistance training was by air-pneumatic equipment
(HUR Health and Fitness Equipment, Australia) specifically
designed for rehabilitation and commonly used in very old adults
with disability and care needs. Lower- and upper-body, and the
trunk exercises included: elbow and shoulder extension (dip), leg
press, knee extension and flexion, hip abduction and adduction,
abdominal curl and back extension. Following a reduced sets and
repetitions two week conditioning period, participants were pre_x0002_scribed 2e3 sets per exercise at a resistance they could complete
10e15 times22 with a perceived rate of exertion of 12e14 on the
Borg Scale.23 Balance exercises included: heel and toe raises, varied
directional quick stepping, reaching, single leg standing, static
balance, heel to toe walking and complex cross over stepping
activities.24 Exercise intensity was progressed for the resistance
training exercises by increasing the load when participants could
comfortably complete 3 sets of 10 repetitions or by increasing
repetitions with the same load to 3 sets of 15 repetitions.
 For the
B.H. Hassan et al. / Geriatric Nursing 37 (2016) 116e121 117
balance exercises, progressions involved reducing hand support,
narrowing the base of support, increasing the speed of the activity
and/or introducing a cognitive dual-task challenge.14,24 Sessions
lasted approximately 1 h and were prescribed by a trained allied
health professional, who also monitored group safety and offered
verbal motivation. Exercise was conducted in groups of up to 10
individuals</t>
  </si>
  <si>
    <t>Kajbafvala, 2025</t>
  </si>
  <si>
    <t>Aerobic exercise group
Participants in the aerobic exercise group engaged in 
supervised outdoor walking sessions led by a therapist, 
each lasting 40 min [26]. The initial walking distance for 
each participant was established based on their capacity to ambulate before exhibiting signs of fatigue, shortness of breath, pain, or expressing a need to sit or rest. 
Throughout the 4-week walking program, the advised 
walking intensity was set at a cadence of 100–115 steps 
per minute, which is considered optimal for achieving moderate-intensity walking. Accupedo Pedometer 
software was utilized to monitor the participants’ step 
counts during the walking sessions. Participants were 
encouraged to increase their step counts by 10–15% in 
each subsequent session compared to the previous one 
[26–28]. Achieving a daily step count of 3,000 steps corresponded to approximately 30 min of moderate physical 
activity
Warm-up and cool-down exercises
Active warm-up exercises for both groups included 
lunge, whole body stretch, upper trapezius, wrist extensors, and wrist flexors muscle stretch (Fig.  2). All these 
warm-up exercises were done 3 times with a hold time 
duration of 15 Sect. [24]. Cool-down exercises for both roups included (A) knee to chest in the supine position (2 repetitions, 20–30 s hold time) [25] (B) shavasana 
relaxation; subjects were asked to lie in the supine position with eyes closed and relax the body for 5 min [24] 
(Fig. 3).</t>
  </si>
  <si>
    <t>1715360; 219060</t>
  </si>
  <si>
    <t>Las  SD se han calculado a traves del p valor del cambio teniendo en cuenta las meandifference pre-post</t>
  </si>
  <si>
    <t>stretching</t>
  </si>
  <si>
    <t>PNF techniques group
Participants in the PNF techniques group received PNF 
techniques including rhythmic stabilization (RS) and sta_x0002_bilizing reversal (SR) that were conducted on the lower 
trunk (flexor and extensor muscles) (Figs.  4 and 5). At 
first, the RS technique was performed on the lower trunk, 
and after 2 min rest the SR technique was executed [29]. 
Each technique consisted of 3 sets [21, 23] and 10 rep_x0002_etitions with a duration time of 10 s in each set [21, 23, 
29]. Among the sets, 1  min was given for rest and 30  s 
between repetitions. The RS technique comprised of iso_x0002_metric contraction of antagonist muscles with emphasis 
on co-contraction of agonists and antagonist muscles.
Warm-up and cool-down exercises
Active warm-up exercises for both groups included 
lunge, whole body stretch, upper trapezius, wrist exten_x0002_sors, and wrist flexors muscle stretch (Fig.  2). All these 
warm-up exercises were done 3 times with a hold time 
duration of 15 Sect. [24]. Cool-down exercises for both roups included (A) knee to chest in the supine posi_x0002_tion (2 repetitions, 20–30 s hold time) [25] (B) shavasana 
relaxation; subjects were asked to lie in the supine posi_x0002_tion with eyes closed and relax the body for 5 min [24] 
(Fig. 3).</t>
  </si>
  <si>
    <t>211360; 219060</t>
  </si>
  <si>
    <t>Aerobic exercise group
Participants in the aerobic exercise group engaged in 
supervised outdoor walking sessions led by a therapist, 
each lasting 40 min [26]. The initial walking distance for 
each participant was established based on their capac_x0002_ity to ambulate before exhibiting signs of fatigue, short_x0002_ness of breath, pain, or expressing a need to sit or rest. 
Throughout the 4-week walking program, the advised 
walking intensity was set at a cadence of 100–115 steps 
per minute, which is considered optimal for achiev_x0002_ing moderate-intensity walking. Accupedo Pedometer 
software was utilized to monitor the participants’ step 
counts during the walking sessions. Participants were 
encouraged to increase their step counts by 10–15% in 
each subsequent session compared to the previous one 
[26–28]. Achieving a daily step count of 3,000 steps cor_x0002_responded to approximately 30 min of moderate physical 
activity
Warm-up and cool-down exercises
Active warm-up exercises for both groups included 
lunge, whole body stretch, upper trapezius, wrist exten_x0002_sors, and wrist flexors muscle stretch (Fig.  2). All these 
warm-up exercises were done 3 times with a hold time 
duration of 15 Sect. [24]. Cool-down exercises for both roups included (A) knee to chest in the supine posi_x0002_tion (2 repetitions, 20–30 s hold time) [25] (B) shavasana 
relaxation; subjects were asked to lie in the supine posi_x0002_tion with eyes closed and relax the body for 5 min [24] 
(Fig. 3).</t>
  </si>
  <si>
    <t xml:space="preserve">WHOQL_OLD </t>
  </si>
  <si>
    <t>Roswiyani, 2020</t>
  </si>
  <si>
    <t>In the control group, the participants were engaged in
their regular daily activities and did not receive any thera_x0002_peutic intervention. The researchers observed these daily
activities for 90 minutes.</t>
  </si>
  <si>
    <t>Qigong</t>
  </si>
  <si>
    <t>Qigong exercise
The program of Qigong exercise was adapted from the
work of Dr. Chok Hiew, i.e. Wisdom Heart Qigong (WHQ),
which is a mind-body therapeutic technique using a gentle
set of meditative movements that has benefits for physical
and mental health. The Qigong exercise for older adults
consists of nine movements with three main features—
body postures and movement, meditation, and breathing
(Tsang, Mok, Au Yeung, &amp; Chan, 2003; Wang et al., 2013).
The exercise is intended to achieve body balance and
strength, better fluids circulation in the body, and physical
and mental relaxation (Johnson, Stewart, &amp; Howell, 2000;
Wang et al., 2013). Each of the movements has specific
benefits, for example, to enhance blood flow from the pelvic area to the brain by moving the hips, or to increase
memory and brain functioning by moving the head up and
down and to the left and right.</t>
  </si>
  <si>
    <t>BDI</t>
  </si>
  <si>
    <t>Sadaqa, 2024</t>
  </si>
  <si>
    <t>2.5. Control Group Activities
Participants allocated to the CG received usual care and participated in routine low_x0002_intensity activities usually offered to the residents at the nursing home.</t>
  </si>
  <si>
    <t>The group-based multicomponent exercise intervention at moderate intensity consisted of strength, balance, and aerobic exercises for older adults living in LTCFs; the
exercise programme was designed based on the recommendations of the IAGG-GARN
and the IAGG European Region Clinical Section on exercises for older adults living in
LTCFs [46]. The programme followed 12 weeks of supervised sessions at the nursing
home, conducted twice a week, on non-consecutive days for 45–60 min per session by
physiotherapists working at the facility, as proposed by the IAGG-GARN.
The exercise session comprised five min of warm-up (e.g., range of motion exercises
of upper and lower extremities, followed by light walking), 10 min progressive static
and dynamic balance exercises (e.g., semi-tandem, tandem, single-leg stand, reaching
forward, walking in a line, tandem walking in a line, walking with changing directions,
and walking forward, backward, and sideways along straight line), 15–20 min strength
exercises performed through weight-bearing exercises and using free weights (e.g., one or
two sets of 13–15 repetitions maximum of chair rises, knee extension and flexion, and heel
raises); however, during the first week, low-intensity exercises with repetitions maximum
up to 20 were performed with progression in intensity (i.e., increase speed of movement,
change to a lower chair, and hold weight in hands), 15–20 min aerobic exercises (e.g., five
3 min bouts of walking between two strengthening exercises and/or between two balance
exercises), and five min of cool down exercises of light walking and stretching exercises.
Exercise intensity is intended to be moderate. When an individual improves the execution
of an exercise, a progression was proposed by increasing exercise difficulty, duration of
exercise, the number of repetitions to be performed, or exercise load</t>
  </si>
  <si>
    <t>219060;205460;211360;1715360</t>
  </si>
  <si>
    <t>The group-based multicomponent exercise intervention at moderate intensity con_x0002_sisted of strength, balance, and aerobic exercises for older adults living in LTCFs; the
exercise programme was designed based on the recommendations of the IAGG-GARN
and the IAGG European Region Clinical Section on exercises for older adults living in
LTCFs [46]. The programme followed 12 weeks of supervised sessions at the nursing
home, conducted twice a week, on non-consecutive days for 45–60 min per session by
physiotherapists working at the facility, as proposed by the IAGG-GARN.
The exercise session comprised five min of warm-up (e.g., range of motion exercises
of upper and lower extremities, followed by light walking), 10 min progressive static
and dynamic balance exercises (e.g., semi-tandem, tandem, single-leg stand, reaching
forward, walking in a line, tandem walking in a line, walking with changing directions,
and walking forward, backward, and sideways along straight line), 15–20 min strength
exercises performed through weight-bearing exercises and using free weights (e.g., one or
two sets of 13–15 repetitions maximum of chair rises, knee extension and flexion, and heel
raises); however, during the first week, low-intensity exercises with repetitions maximum
up to 20 were performed with progression in intensity (i.e., increase speed of movement,
change to a lower chair, and hold weight in hands), 15–20 min aerobic exercises (e.g., five
3 min bouts of walking between two strengthening exercises and/or between two balance
exercises), and five min of cool down exercises of light walking and stretching exercises.
Exercise intensity is intended to be moderate. When an individual improves the execution
of an exercise, a progression was proposed by increasing exercise difficulty, duration of
exercise, the number of repetitions to be performed, or exercise load</t>
  </si>
  <si>
    <t>SLS _Nodo(s)</t>
  </si>
  <si>
    <t>Sahin, 2018</t>
  </si>
  <si>
    <t>n. The control group underwent
no exercise regimen but were told to continue their usual
daily routine</t>
  </si>
  <si>
    <t>The same physiotherapist who conducted the assessments
supervised the training. The training protocol consisted of
resistance training of the large muscles 3 days a week for
8 weeks. The LI and HI groups received the same amount of
training: one set of 6–10 repetitions with 6–8 s for each
repetition. Free weights were used as they were economical
and easy for the elderly to use. The adjustable ankle cuff
system was used for lower limb strengthening and dumbbells
for upper limb strengthening exercises. Participants in the LI
group trained at 40%
Each training session lasted for 40 min, including
10 min of warm-up exercises, 20 min of strengthening and
balance exercises and 10 min of cool-down exercises.</t>
  </si>
  <si>
    <t>219060;205460</t>
  </si>
  <si>
    <t>The same physiotherapist who conducted the assessments
supervised the training. The training protocol consisted of
resistance training of the large muscles 3 days a week for
8 weeks. The LI and HI groups received the same amount of
training: one set of 6–10 repetitions with 6–8 s for each
repetition. Free weights were used as they were economical
and easy for the elderly to use. The adjustable ankle cuff
system was used for lower limb strengthening and dumbbells
for upper limb strengthening exercises. Participants in  in the HI group at 70% of the onerepetition maximum (one RM) with the same adjustable
ankle cuff system and dumbbells that was used for strength
testing.
Each training session lasted for 40 min, including
10 min of warm-up exercises, 20 min of strengthening and
balance exercises and 10 min of cool-down exercises.</t>
  </si>
  <si>
    <t>The same physiotherapist who conducted the assessments
supervised the training. The training protocol consisted of
resistance training of the large muscles 3 days a week for
8 weeks. The LI and HI groups received the same amount of
training: one set of 6–10 repetitions with 6–8 s for each
repetition. Free weights were used as they were economical
and easy for the elderly to use. The adjustable ankle cuff
system was used for lower limb strengthening and dumbbells
for upper limb strengthening exercises. Participants in  in the HI group at 70% of the one_x0002_repetition maximum (one RM) with the same adjustable
ankle cuff system and dumbbells that was used for strength
testing.
Each training session lasted for 40 min, including
10 min of warm-up exercises, 20 min of strengthening and
balance exercises and 10 min of cool-down exercises.</t>
  </si>
  <si>
    <t>When only median and range were reported, means were approximated by the median and standard deviations were estimated as (maximum − minimum)/4, assuming an approximately symmetric distribution (Wan et al. (2014))</t>
  </si>
  <si>
    <t>Saravanakumar, 2014</t>
  </si>
  <si>
    <t>Usual care
Whilst the control group was not offered any 
other programme during the RCT the RCF 
encouraged all residents to access the Staying 
Active programme with weekly half-hour seated 
exercise sessions; Physical culture, games and 
group activities like bingo, group reading, story_x0002_telling, etc.; a gym with bikes, pulleys and mas_x0002_sage by trained staff; assisted and independent 
activities such as walking, gardening, etc. The 
participants of the RCT were not prevented from 
accessing their usual care programmes including 
the Staying Active programme. Two participants 
(Tai Chi = 1; Yoga = 1) attended Physical culture
during the intervention period.</t>
  </si>
  <si>
    <t>Tai chi
The tai chi intervention consisted of a 14-week 
programme of twice a week half-hour tai chi 
classes. Every session of the modified tai chi programme began with warm-up exercises of different joints and progressed through 18 individual 
tai chi and qigong movement patterns, with repetitions for each pattern, using imagery, breathing 
and posture control. The sessions concluded with 
the lotus (Australian Academy of Tai Chi [AATC], 
2010) that consisted of flowing relaxed movements that tell a story and a flow pattern of walking. The movements were slow, controlled and 
circular using functional patterns and engaging 
the mind. The modifications incorporated performance according to individual capability and safe 
level of comfort. Every participant had a sturdy 
chair behind them to rest when necessary and a 
solid four-foot frame (a rollator with breaks on) in 
front to hold on for support. Imagery from nature 
was used to describe and enhance the movement 
(e.g., a flying dove spreading wings). A calm and 
soothing oriental music was used throughout 
the class. Throughout the programme a holistic 
approach was used emphasising good posture, 
natural breathing patterns, relaxation and balance.</t>
  </si>
  <si>
    <t>Yoga
The yoga intervention consisted of a 14-week pro_x0002_gramme of twice a week half-hour sessions. Every 
session commenced with awareness of breathing, 
slowing the breathing rate and limbering prepa_x0002_ratory movements. This was followed by modi_x0002_fied traditional yoga exercises, (asanas), breathing 
(pranayama), synchronising movements with 
breathing and yoga nidra, a type of relaxation. In 
order to be suitable for the frail participants, more 
sitting activities and limbering and preparatory movements were included. The yoga asanas; 
tadasana, urdhva hastasana, nitambasana, utka_x0002_tasana, vrksasana, natarajasana, garudasana and 
virabhadrasana were performed while standing 
with two sturdy chairs, one behind the person (to 
rest whenever needed) and one in front to hold on 
at all times. The following asanas were performed 
seated: dandasana, marjariasana and matsyen_x0002_drasana. The sessions concluded with pranayama
and yoga nidra performed while the participants 
were seated comfortably, with the instructor guid_x0002_ing relaxation and mindful awareness of the body. 
A soothing music was played throughout the relax_x0002_ation phase. The modified yoga programme was 
intended to improve mobility, fluidity of move_x0002_ment, strength of muscles especially to stabilise the 
joints of the ankle and knee, integration of left and 
right hemispheres of the brain and body awareness.</t>
  </si>
  <si>
    <t>Tai chi
The tai chi intervention consisted of a 14-week 
programme of twice a week half-hour tai chi 
classes. Every session of the modified tai chi pro_x0002_gramme began with warm-up exercises of differ_x0002_ent joints and progressed through 18 individual 
tai chi and qigong movement patterns, with rep_x0002_etitions for each pattern, using imagery, breathing 
and posture control. The sessions concluded with 
the lotus (Australian Academy of Tai Chi [AATC], 
2010) that consisted of flowing relaxed move_x0002_ments that tell a story and a flow pattern of walk_x0002_ing. The movements were slow, controlled and 
circular using functional patterns and engaging 
the mind. The modifications incorporated perfor_x0002_mance according to individual capability and safe 
level of comfort. Every participant had a sturdy 
chair behind them to rest when necessary and a 
solid four-foot frame (a rollator with breaks on) in 
front to hold on for support. Imagery from nature 
was used to describe and enhance the movement 
(e.g., a flying dove spreading wings). A calm and 
soothing oriental music was used throughout 
the class. Throughout the programme a holistic 
approach was used emphasising good posture, 
natural breathing patterns, relaxation and balance.</t>
  </si>
  <si>
    <t>DQoL_long</t>
  </si>
  <si>
    <t>Southard, 2006</t>
  </si>
  <si>
    <t>the control group received an identical exercise program
TABLE 3. Balance Exercise Protocol
12 minisquats done slowly (∼5 inch knee bend)
12 Toe raises, encourage forward translation of weight
10 hip circles in each direction
Hip extension, no arching of the lumbar spine, knee as straight as possible.
Turn sideways: 10 each
a. bilateral hip ABD alternating
b. step position-minisquats
c. lunges, complete with forward leg
weight bearing
Obstacle course: 3 obstacles placed 4 feet apart, walk in and out at comfortable pace 1,
followed by as quickly as possible. 4
Deep breathing 2
Sitting combination of movement (hip flexion  knee flexion followed by hip extension
with knee extension)10
Looking over the shoulders sitting→standing if able. 5 each side
Side stepping 30’  3
Marching 30 seconds
Arm circles forward and back fingertips on shoulders. 10
Self recognition of posture in standing (asked what is your posture like now)
Deep breathing 2</t>
  </si>
  <si>
    <t>The intervention groups received balance-retraining exercises and
efficacy training afterwards.
TABLE 2. Efficacy Group Activities
Session Description
1 Pre-test measurement. Introduction to self-efficacy. What is it?
2 Discussion of group fears. Discussion of three commonly fearful
activities. What is balance retraining?
3 Poster of what to do if you were to fall on the floor. Systematic method
to regain seated/upright position. Practice
4 Videotape of older adult that has fallen and recovered. Practice
5 Opportunity of all group members to practice any skill that is difficult or
avoided secondary to fear. Discussion of other problems related to
balance.
6 Continued opportunity to practice all fear provoking skills. Introduction to
home safety. Expected sharing of experiences between group members.
7 Home safety checklists are handed out to each subject. They were
expected to return with these, completed, by the next session. Practice
was encouraged.
8 Review of lists. Sharing of different approaches to resolving problems
identified. Final practice of any skill identified by each subject. Post-test
measurement.
TABLE 3. Balance Exercise Protocol
12 minisquats done slowly (∼5 inch knee bend)
12 Toe raises, encourage forward translation of weight
10 hip circles in each direction
Hip extension, no arching of the lumbar spine, knee as straight as possible.
Turn sideways: 10 each
a. bilateral hip ABD alternating
b. step position-minisquats
c. lunges, complete with forward leg
weight bearing
Obstacle course: 3 obstacles placed 4 feet apart, walk in and out at comfortable pace 1,
followed by as quickly as possible. 4
Deep breathing 2
Sitting combination of movement (hip flexion  knee flexion followed by hip extension
with knee extension)10
Looking over the shoulders sitting→standing if able. 5 each side
Side stepping 30’  3
Marching 30 seconds
Arm circles forward and back fingertips on shoulders. 10
Self recognition of posture in standing (asked what is your posture like now)
Deep breathing 2</t>
  </si>
  <si>
    <t>Wisniowska-Szurlej, 2020</t>
  </si>
  <si>
    <t>mixed</t>
  </si>
  <si>
    <t>BE: Basic exercises: the program included exercises performed in a sitting position. The exercises
contained elements of aerobic fitness, stretching and equivalent exercises.</t>
  </si>
  <si>
    <t>FET: Functional exercise training: the program was divided into two sessions. Session I contained
strengthening and stretching, with exercises performed in a sitting position using a Thera-Band and
gymnastic sticks. Lower-limb strengthening exercises included tasks such as dorsi flexion and plantar
flexion of the ankle joints, flexion and extension of the knee joints, flexion, extension and abduction in
the hip joints, standing up and sitting down on a chair, and lifting objects from the floor. Upper-body
exercises included stretching and strengthening of the shoulder girdle. Session II contained equivalent
and functional training, using exercises performed in a seated or standing position, using chairs as
stabilizing aids. Functional exercises included complex motor tasks, such as head rotation when sitting
and standing, changing the body position, and lifting objects from the floor and keeping them. Balance
exercises included exercises performed with and without visual control; static and dynamic balance of
the elderly people was practiced (physical support was provided by a physiotherapist and auxiliary
aids). The progression of the balance exercises was achieved by reducing the support plane, or by
eliminating the visual control. Exercises were oriented towards achieving the goals of functional
activity established by the elderly people</t>
  </si>
  <si>
    <t>205160;211360</t>
  </si>
  <si>
    <t>Yokoi, 2015b</t>
  </si>
  <si>
    <t>Japan</t>
  </si>
  <si>
    <t>Usual care
Daily housekeeping, hobbies and work were continued as usual in
both the control and intervention groups throughout the study
period. In the control group, 10-minute group stretching exercises
had always been conducted as usual care every morning. No other
alternative exercises were conducted in the study.</t>
  </si>
  <si>
    <t>Intervention program
Subjects in the intervention group practiced the SSEs twice per
week for six months with strictly recorded attendance, under the
instruction of the same staff member at each site. To ensure the uniformity of instruction, staff members were provided with a
poster and an explanatory leaflet to show them the SSE procedure
before the initiation of this study. The stick used in the exercise
was a Japanese newspaper rolled in a stick shape with red
adhesive tape around the center and at both of the ends (21.5
inches in length, 1.0 inch in diameter, 200 g in weight). The
exercises consisted of the following six steps: (1) warming up,
(2) throwing the stick with one hand, (3) throwing the stick with
both hands, (4) balancing the stick, (5) spinning the stick and
(6) dropping the stick (Figure 1). The exercises were conducted in
the sitting position and took approximately 25 min in total.</t>
  </si>
  <si>
    <t>SF-8_Phy</t>
  </si>
  <si>
    <t>SF-8_Men</t>
  </si>
  <si>
    <t>Borges, 2012</t>
  </si>
  <si>
    <t>The control group maintained their normal daily activities
during the entire study period. This group committed to not
performing any systematized physical activity during the eight
months of the experiment</t>
  </si>
  <si>
    <t>Datos sacados de figuras en medianas e IQR, Given that the data were reported as median and interquartile range (IQR), mean and standard deviation were estimated assuming an approximately normal distribution, using the formula SD ≈ IQR/1.35. estos datos están en segundos y tienen que ir a metros por segundos.  Para convertir de segundos a  metros por segundos, al no ser un cambio lineal, hay que usar la Aproximacion de Expansion de taylor (delta method), por ejemplo, para el test de 10 m, la media se calcularía: (10 / mean_t) + (10 * sd_t^2) / mean_t^3 y la SD del tiempo: (10 * sd_t) / mean_t^2</t>
  </si>
  <si>
    <t>The Ballroom Dance Program lasted for 50 min and took place
three times a week. There were various rhythms, such as the
foxtrot, the waltz, the rumba, swing, samba and bolero. The basic
structure of the class was the same for all of the participants;
however, each dancer displayed a different level of development
(progression), depending on his or her physical ability, energy
level, level of motivation and cognitive ability. All of the classes
were preceded by a warm-up and stretching period and ended
with a cool-down. The intensity level ofthe exercise was controlled
by the Subjective Scale of Perceived Exertion (the Borg Scale).</t>
  </si>
  <si>
    <t>Datos sacados de figuras en medianas e IQR, Given that the data were reported as median and interquartile range (IQR), mean and standard deviation were estimated assuming an approximately normal distribution, using the formula SD ≈ IQR/1.35. estos datos están en segundos y tienen que ir a metros por segundos.  Para convertir de segundos a  metros por segundos, al no ser un cambio lineal, hay que usar la Aproximacion de Expansion de taylor (delta method), por ejemplo, para el test de 10 m, la media se calcularía: (10 / mean_t) + (10 * sd_t^2) / mean_t^3 y la SD del tiempo: (10 * sd_t) / mean_t^3</t>
  </si>
  <si>
    <t>Rica, 2020</t>
  </si>
  <si>
    <t>Both the C
and the VG groups maintained their activities of daily living,
Women allocated to the control group played board games
and were encouraged to continue their normal daily activities.</t>
  </si>
  <si>
    <t>Datos sacados de figuras en medias y sd.</t>
  </si>
  <si>
    <t>Kinect-based exercise protocol
For Kinect-based exercise protocol, we used the X-BOX 360 Console
(with Kinect Accessory Model LPF-00004/1414; Microsoft Corporation, Redmond, WA USA). The activities that were included correspond to balance games, with the user being instructed to change
their mass center laterally; games involving strength tasks, with
the user instructed to carry out sustained squats or single extensions; and light aerobic tasks, such as walking in place and dance
steps. These activities were designed using the following games:
Kinect Sports Ultimate Collection (Rare; Microsoft Studios,
Twycross, Leicestershire, UK), Your Shape Fitness Evolved
(Ubisoft Montreal, Montreal, Canada), Dance Central (Harmonix,
MTV, Cambridge, Massachusetts, USA) and Nike + Kinect Training (Digital Sumo, Microsoft Studios, Sheffield, UK).
The activities were divided into individual 60-min sessions,
three times a week, for 3 months, with intensity corresponding to
75% of maximal heart rate, and were monitored using a Polar
Markometer (S150, S~ao Paulo, Brazil). The three initial sessions
were devoted to familiarizing participants with the tasks they
would have to carry out.
The tasks were carried out in the non-orthostatic position and
with adequate space for movements, without obstacles that could
accidentally injure the participants. The safety of the participants
was monitored throughout the protocol for potential adverse
effects, with the presence of a professional at every session</t>
  </si>
  <si>
    <t>Kinect-based exercise protocol
For Kinect-based exercise protocol, we used the X-BOX 360 Console
(with Kinect Accessory Model LPF-00004/1414; Microsoft Corpora_x0002_tion, Redmond, WA USA). The activities that were included corre_x0002_spond to balance games, with the user being instructed to change
their mass center laterally; games involving strength tasks, with
the user instructed to carry out sustained squats or single exten_x0002_sions; and light aerobic tasks, such as walking in place and dance
steps. These activities were designed using the following games:
Kinect Sports Ultimate Collection (Rare; Microsoft Studios,
Twycross, Leicestershire, UK), Your Shape Fitness Evolved
(Ubisoft Montreal, Montreal, Canada), Dance Central (Harmonix,
MTV, Cambridge, Massachusetts, USA) and Nike + Kinect Train_x0002_ing (Digital Sumo, Microsoft Studios, Sheffield, UK).
The activities were divided into individual 60-min sessions,
three times a week, for 3 months, with intensity corresponding to
75% of maximal heart rate, and were monitored using a Polar
Markometer (S150, S~ao Paulo, Brazil). The three initial sessions
were devoted to familiarizing participants with the tasks they
would have to carry out.
The tasks were carried out in the non-orthostatic position and
with adequate space for movements, without obstacles that could
accidentally injure the participants. The safety of the participants
was monitored throughout the protocol for potential adverse
effects, with the presence of a professional at every session</t>
  </si>
  <si>
    <t>Serra-Rexach, 2011</t>
  </si>
  <si>
    <t>Usual Care Group (Control)
During the intervention period, participants in the usual
care group were instructed on the positive effects of regular
exercise. They performed mobility exercises for 40 to 45
minutes per day, 5 days per week (Monday to Friday). Such
mobility exercises are routinely encouraged in most Spanish
nursing homes and consist of small active and passive
movements applied as a series of gentle stretches in a
smooth, rhythmic fashion to the individual joints</t>
  </si>
  <si>
    <t>Intervention Group (Training)
In addition to performing the same mobility exercise sessions as the usual care group 2 days per week (Tuesday and
Thursday), the participants allocated to the intervention
group enrolled in three weekly nonconsecutive training
sessions (Monday, Wednesday, Friday) for 8 weeks (24 sessions). Each session lasted approximately 45 to 50 minutes
and started and ended with a low-intensity warm-up and
cool-down period ( 5–7 minutes each) consisting mainly of stretching exercises involving all major muscle groups.
After the 5- to 7-minute warm-up period, participants performed aerobic training on a cycle ergometer (Bike Excite
Forma, Technogym, Barcelona, Spain). Aerobic training
lasted 5 minutes (at the start of the program) to 10 to 15
minutes. Intensity (expressed as rating of perceived exertion, RPE) ranged from 12 to 13 on the Borg conventional
(6–20 points) scale.20 These RPE values (12–13) correspond
to a subjective perceived exertion of light and somewhat
hard, respectively.
The core portion of the training session followed aerobic training and consisted of strength training engaging the
major lower limb muscles (leg press exercise performed
with variable resistance weight machines, Technogym, Barcelona, Spain). The participants performed two to three sets
of eight to 10 repetitions with resting periods of 1 to 2
minutes between exercises. The eccentric phase of the
quadriceps muscle contraction was approximately two
times as long as the concentric phase. The load was gradually increased as the strength of each person improved
(from 30% of 1 repetition maximum (1RM) at the start of
the program to 70% of 1RM at the end), with a weekly load
increase of approximately 5% of 1RM.
Resistance training also included one set of eight to 10
repetitions of biceps curls, arm extensions, arm side lifts,
shoulder elevations, seated bench presses, and calf raises
using dumbbells (1–3 kg per exercise) or low- to mediumresistance bands. Stretching exercises involved in the previous exercises were performed during the rest periods</t>
  </si>
  <si>
    <t>219060;205460;1715360</t>
  </si>
  <si>
    <t>Datos sacados de figuras en medias y Standard Error. Por lo tanto The values reported are likely standard errors (SE) rather than standard deviations (SD), to estimate the SD, I used the relationship between SE and SD, assuming a classical calculation: 𝑆𝐷 = 𝑆𝐸 × √𝑛 ​</t>
  </si>
  <si>
    <t>Intervention Group (Training)
In addition to performing the same mobility exercise ses_x0002_sions as the usual care group 2 days per week (Tuesday and
Thursday), the participants allocated to the intervention
group enrolled in three weekly nonconsecutive training
sessions (Monday, Wednesday, Friday) for 8 weeks (24 ses_x0002_sions). Each session lasted approximately 45 to 50 minutes
and started and ended with a low-intensity warm-up and
cool-down period (_x0003_ 5–7 minutes each) consisting mainly of stretching exercises involving all major muscle groups.
After the 5- to 7-minute warm-up period, participants per_x0002_formed aerobic training on a cycle ergometer (Bike Excite
Forma, Technogym, Barcelona, Spain). Aerobic training
lasted 5 minutes (at the start of the program) to 10 to 15
minutes. Intensity (expressed as rating of perceived exer_x0002_tion, RPE) ranged from 12 to 13 on the Borg conventional
(6–20 points) scale.20 These RPE values (12–13) correspond
to a subjective perceived exertion of light and somewhat
hard, respectively.
The core portion of the training session followed aer_x0002_obic training and consisted of strength training engaging the
major lower limb muscles (leg press exercise performed
with variable resistance weight machines, Technogym, Bar_x0002_celona, Spain). The participants performed two to three sets
of eight to 10 repetitions with resting periods of 1 to 2
minutes between exercises. The eccentric phase of the
quadriceps muscle contraction was approximately two
times as long as the concentric phase. The load was grad_x0002_ually increased as the strength of each person improved
(from 30% of 1 repetition maximum (1RM) at the start of
the program to 70% of 1RM at the end), with a weekly load
increase of approximately 5% of 1RM.
Resistance training also included one set of eight to 10
repetitions of biceps curls, arm extensions, arm side lifts,
shoulder elevations, seated bench presses, and calf raises
using dumbbells (1–3 kg per exercise) or low- to medium_x0002_resistance bands. Stretching exercises involved in the pre_x0002_vious exercises were performed during the rest periods</t>
  </si>
  <si>
    <t>Barros, 2024</t>
  </si>
  <si>
    <t>Portugal</t>
  </si>
  <si>
    <t>he usual care intervention included standard medical and reha_x0002_bilitation care as needed.</t>
  </si>
  <si>
    <t>The exercise intervention, conducted at the nursing homes and in a
group, consisted of 12 weeks of supervised concurrent exercise
training, held 3 times weekly on nonconsecutive days to prevent
overtraining and fatigue. Each session, lasting 50 to 60 minutes,
included a warm-up, resistance and aerobic training, and a 5-minute
cool-down. The warm-up involved 1 set of 10 repetitions of later
resistance exercises performed without load. The resistance training
comprised 2 to 3 sets of 10 to 15 repetitions with an external load
equivalent to 40% to 70% of the 1-repetition maximum (1RM) for
upper (ie, bicep curl) and lower body exercises (ie, seated knee
extension). The sit-to-stand exercise was performed as fast as possible
according to each participant’s capacity without external load. The
recovery between sets lasted 1 to 2 minutes. The aerobic training
included walking exercises with changes in pace and direction, which
progressed from 5- to 10-minute duration in the first weeks to 10 to
15 minutes. Intensity was monitored through observer-rated
perceived exertion (eg, sweating, difficulty talking while walking,
and respiratory rate) due to participants often presenting cognitive
impairment. The sessions ended with stretching exercises. The same
exercise professional led all sessions and was not involved in any
assessment. A detailed description of the exercise protocol is provided
in Supplementary Table 2
Loads were tailored to individual strength and assessed every 3
weeks from the second week using a 10-repetition maximum (10RM)
test for bicep curl and seated knee extension exercises. Participants
warmed up with light loads before attempting the 10 RM test up to 3
times, with a 3-minute rest between the attempts. Resistance was
increased if participants could exceed 10 repetitions with the proper
technique.11 The test concluded when participants could not perform
more than 10 repetitions. Subsequently, the 1RM was calculated based
on the Brzycki23 formula.</t>
  </si>
  <si>
    <t xml:space="preserve"> Therefore, knowing the CI limits and the sample size (n), the equation can be algebraically rearranged to estimate the standard deviation (SD). The value 1.96 was used assuming a 95% CI based on the normal distribution.
𝑆𝐷 = [(Upper - Lower) × √𝑛 ​]/ 2 x 1,96</t>
  </si>
  <si>
    <t xml:space="preserve"> Therefore, knowing the CI limits and the sample size (n), the equation can be algebraically rearranged to estimate the standard deviation (SD). The value 1.96 was used assuming a 95% CI based on the normal distribution.
𝑆𝐷 = [(Upper - Lower) × √𝑛 ​]/ 2 x 1,97</t>
  </si>
  <si>
    <t xml:space="preserve"> Therefore, knowing the CI limits and the sample size (n), the equation can be algebraically rearranged to estimate the standard deviation (SD). The value 1.96 was used assuming a 95% CI based on the normal distribution.
𝑆𝐷 = [(Upper - Lower) × √𝑛 ​]/ 2 x 1,98</t>
  </si>
  <si>
    <t xml:space="preserve"> Therefore, knowing the CI limits and the sample size (n), the equation can be algebraically rearranged to estimate the standard deviation (SD). The value 1.96 was used assuming a 95% CI based on the normal distribution.
𝑆𝐷 = [(Upper - Lower) × √𝑛 ​]/ 2 x 1,99</t>
  </si>
  <si>
    <t>Bruyere, 2005</t>
  </si>
  <si>
    <t xml:space="preserve"> Belgium.</t>
  </si>
  <si>
    <t>Physical Therapy
Both groups of patients received PT as maintenance therapy
consisting of a standard exercise program (gait and balance
exercises, training in transfer skill, strengthening exercises with
resistive mobilization of the lower limbs). The PT was admin_x0002_istered for 10 minutes, 3 times weekly during the 6-week study
period. To ensure consistency, only 1 physical therapist pro_x0002_vided the exercise program.</t>
  </si>
  <si>
    <t>Controlled Whole Body Vibration Intervention
The treatment intervention consisted of 6 weeks of con_x0002_trolled whole body vibration training. Subjects participated in
training sessions 3 times a week; at each session, they stood on
a vertical vibrating platforma for 4 series of 1 minute of
vibration alternating with 90 seconds of rest. Vibration was set
at 10Hz for the first and third series, with a peak-to-peak
amplitude of 3mm. For the second and fourth series, vibration
was set at 26Hz with a peak-to-peak amplitude of 7mm. Blood
pressure and pulse were taken before the first series, immedi_x0002_ately after the second and fourth series, and 2 minutes after the
fourth series in each session.</t>
  </si>
  <si>
    <t>Canli, 2025</t>
  </si>
  <si>
    <t>2.3.2. Control group
At the outset of the study, participants were invited 
to attend a meeting on exercise education. The 
meeting covered various topics such as the benefits 
of multicomponent exercise for older adults, barriers 
to exercise, and strategies to overcome them. The 
investigators were responsible for organizing the 
meeting. Additionally, participants were instructed 
to refrain from engaging in any physical exercise 
programs during the study and to continue with their 
usual activities. Participants in the control group did 
not engage in any exercise program and received 
standard care from nursing staf</t>
  </si>
  <si>
    <t>2.3.1. Exercise group
Before commencing the exercise program, 
the corresponding author underwent exercise 
training from an authorized company and became 
acquainted with the exercise procedures. During 
the exercise program, participants engaged in both 
individual and group exercises three times per week 
for six months. The sessions were closely supervised 
by an experienced physiotherapist and institutional 
physician until the end of the study. The exercise 
intensity was increased every four weeks in the 
applied exercise protocol, based on the participants' 
readiness level and the principles of increasing 
load according to the feature being studied (motormental). At the beginning of the study, a warmup protocol was applied with stretching and 
stretching movements for five minutes. The exercises 
performed during the main phase of the study 
lasted for 15 minutes and were made progressively 
more challenging from 1 to 4 in each application 
phase, based on the difficulty index. Following the 
exercise program, a 5-minute stretching and cooling 
protocol was added, bringing the total duration to 
25 minutes. A sample exercise program is shown in 
Table 1.31,32</t>
  </si>
  <si>
    <t>Kalu, 2021</t>
  </si>
  <si>
    <t>control group
The control group participants 
received care-as-usual (e.g., usual non-physically demanding 
recreational activities such as bingo, intergenerational visits 
and dog visits) administered by the LTC staff caring for the 
individual, including recreational therapists, personal support 
workers and nursing staff (15).</t>
  </si>
  <si>
    <t>walking group
. Participants in the walking group received 
an individualized, progressive, 1:1, daily supervised walking 
program for 16 weeks, lasting for up to half an hour, five 
days per week (Monday to Friday), facilitated by RAs and 
supervised by a physiotherapist</t>
  </si>
  <si>
    <t>219006;211360</t>
  </si>
  <si>
    <t>Lam, 2018</t>
  </si>
  <si>
    <t>The control group engaged in social and recreational 
activities that only involved the upper limbs. The 
detailed training protocol for each group is provided 
in Supplemental Table 1. All sessions were super_x0002_vised by a physiotherapist and a nursing home worker.</t>
  </si>
  <si>
    <t>the  exercise group participated in a comprehensive exercise program that consisted of a warmup 
phase, followed by a combination of mobility, 
strengthening and balance training exercises, and a 
cool-down phase. Each training session was typically 1-hour long.
or the WBV + exercise group, the following exercises were performed while receiving WBV: dynamic 
semi-squats; heel raise; and single-leg standing, on 
both right and left lower limbs. The purpose of these 
exercises was to provide multidirectional vibration 
input to the lower limbs in order to augment activation of the major lower limb muscle groups.5,18
Vertical WBV was delivered using the Fitvibe 
medical WBV system (GymnaUniphy NV, Bilzen, 
Belgium). Exposure to vibration was provided in 
1-minute bouts, with a 1- to 2-minute rest period 
between bouts, for a total exposure to WBV of about 
4 minutes per training session. Prior to each vibration 
bout, the duration had been preset using the automated function of the vibration device. The vibration 
would stop automatically when the predefined time 
was reached. The total duration of exposure (4 minutes per session) was selected based on previous 
studies which demonstrated that a brief period of 
WBV (1–15 minutes) was sufficient to induce positive effects on balance and mobility function17,19 and 
exercise tolerance of older adults. A frequency of 30 
Hz (weeks 1–4) and 40 Hz (weeks 5–8), with a vertical displacement of 0.9 mm, was used. These parameters of WBV have commonly been used in previous 
research which evaluated the therapeutic benefits of 
WBV in older adults.19 Previous studies also reported 
that these WBV parameters significantly increased 
lower limb muscle activity in both younger and older 
adults.8,20–22 As measured by calibrated accelerometers (Dytran 7523A5; Dytran Instruments, Inc., 
Chatsworth, CA), the actual WBV delivered by the 
platform was at a peak acceleration of 3.40 units of 
Earth’s gravity (g) in the 30-Hz condition and at 4.7g 
in the 40-Hz condition.
The exercise group performed the identical exercise program both in terms of the type of exercise and 
number of repetitions, but no WBV was imposed.</t>
  </si>
  <si>
    <t>the  exercise group participated in a comprehen_x0002_sive exercise program that consisted of a warmup 
phase, followed by a combination of mobility, 
strengthening and balance training exercises, and a 
cool-down phase. Each training session was typi_x0002_cally 1-hour long.
or the WBV + exercise group, the following exer_x0002_cises were performed while receiving WBV: dynamic 
semi-squats; heel raise; and single-leg standing, on 
both right and left lower limbs. The purpose of these 
exercises was to provide multidirectional vibration 
input to the lower limbs in order to augment activa_x0002_tion of the major lower limb muscle groups.5,18
Vertical WBV was delivered using the Fitvibe 
medical WBV system (GymnaUniphy NV, Bilzen, 
Belgium). Exposure to vibration was provided in 
1-minute bouts, with a 1- to 2-minute rest period 
between bouts, for a total exposure to WBV of about 
4 minutes per training session. Prior to each vibration 
bout, the duration had been preset using the auto_x0002_mated function of the vibration device. The vibration 
would stop automatically when the predefined time 
was reached. The total duration of exposure (4 min_x0002_utes per session) was selected based on previous 
studies which demonstrated that a brief period of 
WBV (1–15 minutes) was sufficient to induce posi_x0002_tive effects on balance and mobility function17,19 and 
exercise tolerance of older adults. A frequency of 30 
Hz (weeks 1–4) and 40 Hz (weeks 5–8), with a verti_x0002_cal displacement of 0.9 mm, was used. These param_x0002_eters of WBV have commonly been used in previous 
research which evaluated the therapeutic benefits of 
WBV in older adults.19 Previous studies also reported 
that these WBV parameters significantly increased 
lower limb muscle activity in both younger and older 
adults.8,20–22 As measured by calibrated accelerome_x0002_ters (Dytran 7523A5; Dytran Instruments, Inc., 
Chatsworth, CA), the actual WBV delivered by the 
platform was at a peak acceleration of 3.40 units of 
Earth’s gravity (g) in the 30-Hz condition and at 4.7g 
in the 40-Hz condition.
The exercise group performed the identical exer_x0002_cise program both in terms of the type of exercise and 
number of repetitions, but no WBV was imposed.</t>
  </si>
  <si>
    <t>mix aerobic</t>
  </si>
  <si>
    <t>Magtouf, 2024</t>
  </si>
  <si>
    <t>STG
2.4. Resistance Training Programs
Resistance training programs consisted of three sessions per week over a 12-week
period, totaling 36 sessions. While both groups performed identical PF resistance exercises, the execution parameters differed significantly in cadence and stimuli (Table 1). The exercises included seated calf raises performed on a calf raise machine and toe presses conducted on a leg press machine. 
In contrast, the STG performed three to four sets of six to
seven repetitions at 80–85% of 1-RM, with both concentric and eccentric phases executed at
a steady 3 s cadence
🔹 Strength Resistance Training
Micro-Cycle 1 (Weeks 1–2)
Conditioning phase
Micro-Cycle 2 (Weeks 3–4)
3 sets × 8 reps @ 80% 1-RM (17.6 kg)
Micro-Cycle 3 (Weeks 5–6)
3 sets × 9 reps @ 80% 1-RM (17.6 kg)
Micro-Cycle 4 (Weeks 7–8)
4 sets × 7 reps @ 85% 1-RM (18.7 kg)
Micro-Cycle 5 (Weeks 9–10)
4 sets × 8 reps @ 85% 1-RM (18.7 kg)
Micro-Cycle 6 (Weeks 11–12)
4 sets × 9 reps @ 85% 1-RM (18.7 kg)</t>
  </si>
  <si>
    <t>Datos sacados de figuras en mean and SD</t>
  </si>
  <si>
    <t>EXG
2.4. Resistance Training Programs
Resistance training programs consisted of three sessions per week over a 12-week
period, totaling 36 sessions. While both groups performed identical PF resistance exer_x0002_cises, the execution parameters differed significantly in cadence and stimuli (Table 1). The
exercises included seated calf raises performed on a calf raise machine and toe presses con_x0002_ducted on a leg press machine. 
The EXG completed three to five sets of 12 to 14 repetitions
at 40–45% of one-repetition maximum, emphasizing a rapid concentric phase followed by
a controlled 3 s eccentric phase
Explosive Resistance Training
Micro-Cycle 1 (Weeks 1–2)
Conditioning phase
Micro-Cycle 2 (Weeks 3–4)
4 sets × 12 reps @ 40% 1-RM (8.8 kg)
Micro-Cycle 3 (Weeks 5–6)
4 sets × 13 reps @ 40% 1-RM (8.8 kg)
Micro-Cycle 4 (Weeks 7–8)
4 sets × 14 reps @ 45% 1-RM (9.9 kg)
Micro-Cycle 5 (Weeks 9–10)
5 sets × 12 reps @ 45% 1-RM (9.9 kg)
Micro-Cycle 6 (Weeks 11–12)
5 sets × 14 reps @ 50% 1-RM (11.0 kg</t>
  </si>
  <si>
    <t>Sihvonen, 2004</t>
  </si>
  <si>
    <t>All women both in the EG and CG were told to continue their normal daily routines and not to change their level of physical activity.</t>
  </si>
  <si>
    <t>Training Protocol
The EG attended 20- to 30-min individualized dynamic balance exercise sessions on a force platform balance measurement and training device (Good Balance) three times a week for 4 weeks. Training was carried out by providing visual feedback of the movement of center of pressure. The exercise time was gradually increased from 20 to 30 min during the first 2 weeks of training. The goals of the training were to teach the participants to control the movement of the center of pressure during dynamic weight shifting, leaning, and stepping tasks and to manage these tasks in different stance positions (with diminishing the base of support) and with higher spatial and temporal demands (larger distances, more directions, higher movement speed). They were also challenged to adapt postural control according to the demands of the situation such as different support surfaces (foam plastic 5 or 12 cm thick) and performance of additional tasks such as head movements and verbal tasks. The idea was to vary task components according to each participant’s level of performance. The aim was to use the same structure of balance exercises, but to accommodate them according to each subject’s physical performance level in order to challenge the balance abilities maximally.</t>
  </si>
  <si>
    <t>Yousefi-Babadi, 2021</t>
  </si>
  <si>
    <t>Control
 the control group was 
asked to perform routine daily activities and not participate in specific 
exercises</t>
  </si>
  <si>
    <t>Virtual
The virtual reality training program included boxing, table tennis, 
and soccer from the sports Pack 1; as well as golf, skis, and American 
football; from Sports Pack 2. All sports games in both packages required 
the use of the upper and lower extremities while the participant was 
standing. And if the participant felt tired, had a respiratory disorder, or 
complained of pain, training immediately stopped and the participant 
rested (Park and Park, 2017). 
When looking for available exergames, the KWIC (Kinecting with 
clinicians) resource was also considered When selecting exergames for 
rehabilitation purposes, the KWIC takes into account characteristics 
such as stability, mobility, spatial accuracy, cognitive operations, 
augmented feedback, and scoring (Levac and Levac, 2015).</t>
  </si>
  <si>
    <t xml:space="preserve">Conventional
The Conventional training program for group 2; (Conventional balance training derived from the training program described by Hirase and 
Hirase (2015)), includes training with the reduced supporting surface, 
closed eyes, increased speed of movement, and adding proper movements. The intensity of each 40 min of balance training was constant for 
each individual during the intervention period. Participators during the 
sessions, depending on their physical capacity, rested for 10 min. 
Therefore, no clinical decision, such as changing the intensity of training 
for participants alone, did occur during the intervention period. The 
balance-training program included 10 pieces of training performed in a 
standing position: During the first three weeks of the training program, 
participants performed double-stance standing, heel and toe raising, and 
walking in place. During the next three weeks, neck hyperextension, 
free-leg swinging, and neck and, trunk rotation were performed in 
addition to the double-stance standing, heel and toe raising, and walking 
in place. Finally, for the last three weeks, touching the floor, sideways 
walking, walking, and one-leg standing were added to the training 
(Hirase and Hirase, 2015). </t>
  </si>
  <si>
    <t>FAB</t>
  </si>
  <si>
    <t xml:space="preserve">Conventional
The Conventional training program for group 2; (Conventional bal_x0002_ance training derived from the training program described by Hirase and 
Hirase (2015)), includes training with the reduced supporting surface, 
closed eyes, increased speed of movement, and adding proper move_x0002_ments. The intensity of each 40 min of balance training was constant for 
each individual during the intervention period. Participators during the 
sessions, depending on their physical capacity, rested for 10 min. 
Therefore, no clinical decision, such as changing the intensity of training 
for participants alone, did occur during the intervention period. The 
balance-training program included 10 pieces of training performed in a 
standing position: During the first three weeks of the training program, 
participants performed double-stance standing, heel and toe raising, and 
walking in place. During the next three weeks, neck hyperextension, 
free-leg swinging, and neck and, trunk rotation were performed in 
addition to the double-stance standing, heel and toe raising, and walking 
in place. Finally, for the last three weeks, touching the floor, sideways 
walking, walking, and one-leg standing were added to the training 
(Hirase and Hirase, 2015). </t>
  </si>
  <si>
    <t>River_mob</t>
  </si>
  <si>
    <t>TDQ</t>
  </si>
  <si>
    <t>Conradsson, 2010</t>
  </si>
  <si>
    <t>The control activity consisted of a programme
developed by occupational therapists (OTs) which
included activities performed while sitting, for exam_x0002_ple, watching films, singing, reading and conversation.
The programme was based on themes expected to be
interesting and stimulating for older people, including
those with severe cognitive impairment.</t>
  </si>
  <si>
    <t>Intervention programmes
The exercise programme was based on a high-intensity
functional weight-bearing exercise programme (the
HIFE Program), which was developed by PTs for the
FOPANU study (Littbrand et al., 2006). The purpose
of the program was to improve lower-limb strength,
balance and gait ability. The HIFE Program includes
41 exercises with examples of how to increase the
difficulty or the load in each exercise. A PT selected
and instructed appropriate exercises for each partici_x0002_pant, and also adjusted them to meet changes in health
and functional status. The exercises were based on
functional tasks that are common in everyday life and
were performed in weight-bearing positions. Examples
of these exercises are walking, walking over obstacles,
squats, and turning the trunk and head while standing.
It was recommended in each session that every
participant performed at least two lower-limb strength
and two balance exercises in two sets. The participants
were encouraged to perform the exercises at a high
intensity by progressively increasing the load in the
lower-limb strength exercises and the difficulty in the
balance exercises. Strength exercises were intended to
be performed at eight–12 repetition maximum (RM)
(DeLorme, 1945).The load was increased by adjusting
the performance of the exercise (e.g. by doing deeper
squats or step-ups onto a higher box) or by using a
weighted belt worn around the waist loaded with
increasing weight (maximum 12 kg). The balance
exercises were intended to fully challenge the partici_x0002_pant’s postural stability. The difficulty in each exercise
was increased, for example, by standing or walking on
a narrower base of support or on a more challenging
surface. At the end of the three month exercise period,
the PTs introduced physical tasks for the participants,
in cooperation with a staff member at the facility, for
the purpose of maintaining physical function. The
tasks were integrated into daily life activities. They
were individually recommended according to each
participant’s functional deficits and motivation regard_x0002_ing type (e.g., walking, squats, and standing without
balance support), number (one to four), and frequency
(weekly up to daily). The tasks were followed-up after
three months</t>
  </si>
  <si>
    <t>Vankova, 2014</t>
  </si>
  <si>
    <t>The control group participated in regular activities of the NH</t>
  </si>
  <si>
    <t>Intervention
Dance classes designed for ADL/IADL-dependent residents of NHs,
including those in wheelchairs and/or with cognitive impairment,
were given once a week for 1 hour for 3 months and consisted of a 10-
minute warm-up period, 40-minute main period, and 10-minute cooldown period. All parts were accompanied by suitable music supporting
a reminiscence effect. The main period covered techniques of ballroom
dance, including foxtrot, waltz, cha-cha, cancan, and so forth in a
combination. The warm-up period included various slow-paced leg
and arm movements mostly in a seated position, whereas the cooldown period used relaxation techniques, such as deep breathing and
stretching exercises. The dance instructor always helped to adapt the
exercise for participants dancing in wheelchairs according to individual
capacities. Throughout the intervention, all participants were motivated to take more and more challenging moves and to increase the
intensity to provide maximum benefits; however, the overall goal of
the dance instructor was to make each class enjoyable for all participants. The music was chosen to further stimulate and motivate participants. The control group participated in regular activities of the N</t>
  </si>
  <si>
    <t>Furtado, 2020</t>
  </si>
  <si>
    <t xml:space="preserve"> The
CGne did not participate in any physical exercise intervention but was
encouraged to maintain their normal routine, which included a
monthly agenda of artistic and cultural activities offered by the CHS.</t>
  </si>
  <si>
    <t>2.3.7. Chair-multimodal exercises
In order to establish a progressive resistance program aimed to
improve the walking and mobility competences, a specific CME program was performed with a determined number of exercises, repetitions, sets, rhythm of execution, rest between circuits (see Table 1 for
more details). Each session was conducted using a functional circuit
training protocol, that consisted in completing one set of each exercise
in a full range motion following active rest, such as two minutes of
walking around the gym-room (Giné-Garriga et al., 2010). During the
first 14-weeks of CME, the body weight exercises were executed in the
set and reach positions. In the last 14-weeks, the increase in exercise
intensity was induced by inclusion of more difficult and complex exercises and challenge sequences, increasing walking time and placing
obstacles within the walking route (cones, floor markers, arcs) to work
handedness, changes in direction, balance and coordination. A low to
moderate intensity effort, around 50–75% of HRmax values, was attained as recommended by the ACSM (Nelson et al., 2007). Additionally, intensity was measured through the modified BORG RPE,
that consists of an arbitrary scale ranging from 0 to 10 points, with
identical intervals and with reference to the quality of effort: (0)
nothing at all; (1) very weak; (2) weak; (3) moderate; (4) somewhat
strong; (5–6) strong; (7–9) very strong; (10) very, very strong (almost
maximal). Each exercise session lasted 45 min and was divided into
three parts: 5 min of warm-up and active stretching body mobilization
(RPE 1–3, HRmax = 50–55%); 35 min of body weight exercises aimed at
improving walking proficiency in a sitting and standing position (RPE
3–5, HRmax = 56–85%) and finally 5 min of passive stretching exercises
targeted to encourage cool down (RPE 1–2, HRmax = 45–50%). The
CGne did not participate in any physical exercise intervention but was
encouraged to maintain their normal routine, which included a
monthly agenda of artistic and cultural activities offered by the CHS.</t>
  </si>
  <si>
    <t>211360;219060</t>
  </si>
  <si>
    <t>2.3.8. Chair elastic-band muscle-strength exercises
To create progressive CSE program, specific exercises were per_x0002_formed with a determined number of exercises, sets, a cadence of re_x0002_petitions and others parameters (see Table 1 for more details). All ex_x0002_ercises followed a circuit exercise protocol, that consisted in completing
one set of all exercises consecutively performed in a full range motion,
followed by a rest period (60–120 s). From the 7 intensity levels in the
Thera Band's elastic band system, we used the first 3 levels during the
28-weeks of the CSE program. Level one (yellow colour) elastic-bands
were used during the first 14-weeks. In the remaining 14-weeks, the
increase in exercise intensity was introduced by changing to the elastic_x0002_bands level 2 and 3 (red and green colour). Perception of intensity was
measured through the OMINI RPE, that comprises a subjective effort
scale ranging from 0 to 10 points, with identical intervals and with
reference to the quality of effort: (0) extremely easy; (1–2) easy; (3–5)
somewhat easy, (6–7) somewhat-hard; (8) hard; (9–10) extremely-hard
(Robertson et al., 2003). The goal was to keep the intensity of the ex_x0002_ercise activities between 1 and 6 in RPE levels. It was expected that the
relationship with the real effort would be 55–80% of maximum heart_x0002_rate (Garber et al., 2011). The CSE session was divided into three parts:
5 min of warm-up exercises for general body mobilization (RPE 1 to 3,
HRmax = 45–55%), 35 min of strength exercises in RPE 4 to 6
(HRmax = 56–75%) and finally, 5 min of cool-down stage, through
easy-walking and static stretching exercises for ´breath´ control, RPE 1
to 2, totaling 45 min per session (HRmax = 45–50%).</t>
  </si>
  <si>
    <t>2.3.7. Chair-multimodal exercises
In order to establish a progressive resistance program aimed to
improve the walking and mobility competences, a specific CME pro_x0002_gram was performed with a determined number of exercises, repeti_x0002_tions, sets, rhythm of execution, rest between circuits (see Table 1 for
more details). Each session was conducted using a functional circuit
training protocol, that consisted in completing one set of each exercise
in a full range motion following active rest, such as two minutes of
walking around the gym-room (Giné-Garriga et al., 2010). During the
first 14-weeks of CME, the body weight exercises were executed in the
set and reach positions. In the last 14-weeks, the increase in exercise
intensity was induced by inclusion of more difficult and complex ex_x0002_ercises and challenge sequences, increasing walking time and placing
obstacles within the walking route (cones, floor markers, arcs) to work
handedness, changes in direction, balance and coordination. A low to
moderate intensity effort, around 50–75% of HRmax values, was at_x0002_tained as recommended by the ACSM (Nelson et al., 2007). Ad_x0002_ditionally, intensity was measured through the modified BORG RPE,
that consists of an arbitrary scale ranging from 0 to 10 points, with
identical intervals and with reference to the quality of effort: (0)
nothing at all; (1) very weak; (2) weak; (3) moderate; (4) somewhat
strong; (5–6) strong; (7–9) very strong; (10) very, very strong (almost
maximal). Each exercise session lasted 45 min and was divided into
three parts: 5 min of warm-up and active stretching body mobilization
(RPE 1–3, HRmax = 50–55%); 35 min of body weight exercises aimed at
improving walking proficiency in a sitting and standing position (RPE
3–5, HRmax = 56–85%) and finally 5 min of passive stretching exercises
targeted to encourage cool down (RPE 1–2, HRmax = 45–50%). The
CGne did not participate in any physical exercise intervention but was
encouraged to maintain their normal routine, which included a
monthly agenda of artistic and cultural activities offered by the CHS.</t>
  </si>
  <si>
    <t>Birimoglu, 2017</t>
  </si>
  <si>
    <t>Participants
assigned to the control group did not receive any
specialized intervention and participated only
in usual care exercises over the study period.</t>
  </si>
  <si>
    <t>The values reported are likely standard errors (SE) rather than standard deviations (SD), to estimate the SD, I used the relationship between SE and SD, assuming a classical calculation: 𝑆𝐷 = 𝑆𝐸 × √𝑛 ​</t>
  </si>
  <si>
    <t>Participants assigned to the experimental group
completed a standardized 12-week program of
TCC. The exercises were performed by the first
researcher with TCC certification and also same
researcher carried out all sessions. TCC sessions
were conducted twice per week, using the Yang
Style of TCC. Each session included 5 min of warm-up
exercise, 30 min of TCC practice, and 5 min of
cool-down exercise. Each form of TCC emphasized
multidirectional weight shifting, awareness of
body alignment, and multisegmental movement
coordination</t>
  </si>
  <si>
    <t>Fully</t>
  </si>
  <si>
    <t xml:space="preserve">Researcher </t>
  </si>
  <si>
    <t>Buckinx, 2020</t>
  </si>
  <si>
    <t>84.5</t>
  </si>
  <si>
    <t>Participants in the control group were requested
neither to change their lifestyle during the study nor to get involved in
any new type of PA.</t>
  </si>
  <si>
    <t>A giant exercising board game, the GAMotion, was the central
component of the intervention (Fig. 1). It measures 4.20∗1.70 m and
comprising 16 squares (50×50 cm) of different colors according to the
component of physical fitness that was to be performed (i.e., 4 squares/
component): strength, flexibility, balance, and endurance. On each
square, an illustration explains the movement to be executed and any
adaptations for participants with a lower or higher level of physical
fitness. In addition to these squares, the board game includes a walking
lane in which circles are drawn in order to execute some walking exercises.
Ladders and snakes are used to link pairs of squares, so that
participants could move forward or backward faster in the game. Then,
a card game is provided with the board game. Each card indicates
different actions to perform (e.g. “Repeat the exercise with the most
advanced person on the game board”, “do the exercise all together”, “go
to the next pink box”). Finally, the game includes a foam die. The duration of the
game was about 30 min and the game requires a minimum of 2 participants.
In order to progressively incite nursing home residents to
participate independently in the GAMotion, the assistance provided by
the supervisor was decreased gradually during the 1-month intervention
period: 4 supervised exercising sessions were planned on the board
game during the first week and then 3, 2, and 1 sessions were planned
during the second, third, and fourth week of the intervention.
are simple and made available to the participants in a folder adjacent to
the mat. The participant progress on the mat according to the score
obtained with the successive rolls of dice, until reaching the last square</t>
  </si>
  <si>
    <t>Chao, 2014</t>
  </si>
  <si>
    <t>83.75</t>
  </si>
  <si>
    <t>USA</t>
  </si>
  <si>
    <t>The other 16 participants received a 30-min health educational
session once a week for a total of 4 weeks. Participants received an
exercise-related poster and a health education booklet, the same as the Wii
exergame group.</t>
  </si>
  <si>
    <t>86.63</t>
  </si>
  <si>
    <t>Wii Fit consists of four types of exercise that were used as an exercise
device. The program was conducted twice a week for a total of 4 weeks with
each session lasting approximately 60 minutes. Sixteen participants were
grouped in teams of two. During each session, the participants on each team
took turns participating in the gaming activities. Each participant exercised
about 30 minutes and spent the other 30 minutes observing and providing
encouragement to their partner. Six games from four types of exercise were
performed in combination, including aerobic exercise (basic run), a strength
exercise (lunge), two balance exercises (penguin slide and table tilt), and two
yoga exercises (chair and deep breathing). By the third week, participants
were encouraged to perform the “lunge” activity twice during each session,
because this strength exercise has been shown to offer the greatest benefit for
physical function. Exergames: Warm-up (5 min) →
basic run (5 min) → table tilt (4 min)
→ lunge (4 min) → chair (4 min) →
penguin slide (6 min) → deep breathing
(2 min).</t>
  </si>
  <si>
    <t>flexible</t>
  </si>
  <si>
    <t>Research</t>
  </si>
  <si>
    <t>Cheung, 2008</t>
  </si>
  <si>
    <t>The control group only participated in the routine group
physical activity: The standard programme included three sessions of 45–60 minutes of general
exercise (upper limb and lower limb mobilization exercises
using shoulder pulley and floor bike/static bike)
per week.</t>
  </si>
  <si>
    <t>The same intervention of control grupo +  The intervention exercise protocol to improve
functional balance as well as muscle strength of individuals,
with an aim to assist the subject to cope with daily
function under impaired vision. The protocol included:
(1) warm up—range of motion and stretching exercises
for the upper limbs in a sitting position, lower limb warm
up exercise including quadriceps and calf stretching, and
ankle circumduction in a standing position; (2) lower
limbs strengthening exercises—chair stand exercise (sets
of five repetitions progressing to 10 repetitions), quadriceps
strengthening in a sitting position, strengthening of
hip extensors and abductors in a standing position, with
cuff weights in three sets of 10 repetitions with progressive
weights (e.g. 10 repetitions with 3 pounds, then 5
pounds, followed by 7 pounds, based on the capacity of
the individual subject); (3) balance exercises—supervised
stool stepping exercise, tandem standing, and single leg
standing; and (4) cool down exercises—general stretching
and mobility exercise. Balance exercise was progressed
based on the subject’s needs and according to the ability
of the subject. The duration of the training programme was
three times a week for 12 weeks, and each session lasted
45 minutes.</t>
  </si>
  <si>
    <t xml:space="preserve">lineal </t>
  </si>
  <si>
    <t xml:space="preserve"> Tiempo total de sesión del G.Intervención= (52,5X3 + 45X3)/6</t>
  </si>
  <si>
    <t>Faber, 2006</t>
  </si>
  <si>
    <t>To check if the control group had not increased its physical
activity level as a result of “contamination” by the experimental groups, we required all participants to report their amount of
physical activity at the postintervention assessment in the same
way as at the preintervention assessment. In all groups there
appeared to be a reduction of about 5 minutes a day, and no
significant differences between the groups were observed in
this regard.</t>
  </si>
  <si>
    <t>The first program, referred to as functional walking (FW),
was derived from the tailored exercise program developed by
Robertson et al43 in New Zealand. FW consisted of 10 exercises forming the core program, which focus on balance, mobility, and transfer training. Each exercise was described in 3 or
4 variations to provide various levels of complexity, thus
creating the possibility for individual tailoring. The exercises
consisted of standing up from a chair, reaching and stepping
forward and sideward, heel and toe stands, walking and turning, stepping on and over an obstacle, staircase walking, tandem foot standing, and single-limb standing (see appendix 1
The frequency and duration of the sessions were the same for
both programs. Each program started with 1 session per week
for 4 weeks, followed by twice-weekly sessions for 16 weeks.
Each session lasted 90 minutes, including a 30-minute social
component of sitting together with a drink, intended to maintain and increase motivation.16,42 The first 4 sessions were
meant to familiarize the group with the aim of the program and
with the exercises</t>
  </si>
  <si>
    <t>The second program, referred to as in balance (IB), was
derived from principles of Tai Chi. Various trials in older
populations have demonstrated positive effects of Tai Chi on
balance, strength, falling, fear of falling, and general health
perception.44 However, in a population with limited mobility,
Tai Chi forms per se are less suitable because of their challenging nature for balance and coordination. Therefore, specific
adjustments were made. The IB program included the 7 therapeutic elements of Tai Chi that have been identified as most
beneficial for elderly persons.45 In the beginning of the program, attention was paid to somatosensory feedback signals
coming from ankle and hip motions that can be used as input
for balance control. Combined with exercises increasing ankle
range of motion, proprioception and sensation can be improved,46 and co-contractions that are often present to compensate for diminished sensory input may be removed.47 Later in
the program, Tai Chi forms were introduced with the emphasis
on slow and continuous motions, trunk rotation, and weight
shifting (see appendix 2 for a description of the exercises).
Again, the exercises were tailored to the individual abilities of
the participants, in that participants were allowed to perform
some exercises in a sitting instead of standing position because
of fatigue or poor balance control.
The frequency and duration of the sessions were the same for
both programs. Each program started with 1 session per week
for 4 weeks, followed by twice-weekly sessions for 16 weeks.
Each session lasted 90 minutes, including a 30-minute social
component of sitting together with a drink, intended to maintain and increase motivation.16,42 The first 4 sessions were
meant to familiarize the group with the aim of the program and
with the exercises</t>
  </si>
  <si>
    <t>Holmerova, 2010</t>
  </si>
  <si>
    <t xml:space="preserve">The control group continued to engage in regular RCF activities </t>
  </si>
  <si>
    <t>while the 
experimental group engaged in dance therapy. A single instructor (PV) admin_x0002_istered all intervention sessions. The EXDASE program consisted of 75-minute 
group sessions including 10 to 15 participants conducted once per week. The 
program was designed to improve physical functioning, which is known to be 
a major determinant of quality of life. The intervention was aimed specifically 
at improving mobility, one of the most important determinants of physical 
functioning. All sessions included a warm-up period, a main dance period, and 
a cool-down period. The warm-up exercise consisted of 10-minute arm and leg 
movements usually while seated. The main dance-based exercise involved 
basic figures and combinations of ballroom dance such polka, waltz, foxtrot, 
cha-cha-cha, or cancan. The intensity varied for each participant depending on 
individual actual fitness status. During the 3-month period, the instructor enco_x0002_uraged everybody to reach further, bend deeper, move faster, or perform more 
demanding figures. Dance sessions included different arrangements from line 
dancing through creations in small groups to dancing with the instructor.</t>
  </si>
  <si>
    <t>Mulasso, 2015</t>
  </si>
  <si>
    <t>while the CG received routine 
14 medical and nursing care for the same amount of time</t>
  </si>
  <si>
    <t>resistance+balance+stretching</t>
  </si>
  <si>
    <t>Intervention
19 The Multicomponent Exercise (MCE) program lasted 36 weeks, twice a week on non20 consecutive days, 75 minutes per session, alternating exercises in sitting and standing positions. In 
21 total, 68 sessions of MCE were carried ouAccording to recommendations of the American College of Sports Medicine and the 
4 American Heart Association (Nelson et al., 2007), every MCE session consisted of: (a) a warm-up 
5 phase (10 minutes), including low-intensity exercises for major muscle masses in combination with 
6 breathing exercises; (b) range-of-motion training (20 minutes), based on exercises for neck, 
7 shoulders, wrists, hips, ankles, to increase the movement range of joints and to improve motor 
8 coordination; (c) muscle-strengthening training (20 minutes), consisting of two exercises for upper 
9 limbs (arm curl, shoulder press) with increasing weights from 0.5 to 1.0 kg, and two weight-bearing 
10 exercised for lower limbs (leg extension, hip flexion). Frequencies ranged from one set of 5-8 
11 repetitions in the first training sessions to three sets of 10-12 at the end of program. The choice of 
12 the initial load of 0.5 kg for the upper limbs exercises was made in order to allow to all participants
13 to complete the whole set of repetitions; the weight progression was instead decided session by 
14 session on an individual level by the trainer. The muscle-strengthening exercises were selected 
15 mainly thanks to their similarity to basic everyday life activities (e.g., walking, climbing stairs, 
16 grasping objects), and their easy implementation; (d) balance training (15 minutes), featuring
17 exercises for static and dynamic balance; and (e) cool-down (10 minutes), based on flexibility 
18 exercises and physical games to foster socialization among participants</t>
  </si>
  <si>
    <t>219060;205160;211360;</t>
  </si>
  <si>
    <t>e_</t>
  </si>
  <si>
    <t>Nalbant, 2009</t>
  </si>
  <si>
    <t>The control group V and C) did not train and participated only in the mea_x0002_surement procedures.</t>
  </si>
  <si>
    <t>Training program
Subjects participated in a supervised walking program
three times per week between 08.30 and 10.00 h for six
months (March 17 to September 13). Each training ses_x0002_sion began with a 10-min warm-up and ended with a 15-
min cool-down, which both included slow walking followed
by slow static stretching. Each session was led by trained
fitness instructors and supervised by the main researcher.
Training was conducted on a running track in the first
three months and the exercise groups walked in a gym_x0002_nasium during the last three months
The target heart rate range was established for each
participant before and during the training program by the
Karvonen method (26). The ultimate goal was for training
intensity to be higher than 60% of heart rate reserve but
not to exceed 70% of heart rate reserve. We selected the
intensity, frequency and duration of each training session
to improve cardiovascular endurance and physical per_x0002_formance, as recommended for adults over age 65 years
by the American College of Sports Medicine (27). We lim_x0002_ited the intensity of training to not above 70% of heart
rate reserve and each session to 30 min, because it is
thought that exercise intensity above 70% of maximum
oxygen uptake or prolonged exercise may surpass the ca_x0002_pacity of the endogenous antioxidant system and conse_x0002_quently may promote oxidative stress (2</t>
  </si>
  <si>
    <t>219060;1515360</t>
  </si>
  <si>
    <t>Ochi, 2015</t>
  </si>
  <si>
    <t>Participants performed 5 min of limb stretching before training
as a warm-up. Following a five-minute break, WBV performed the
vibration exercise in a standing position. In each session, vibration
was provided by a commercially available device (Galileo 2000,
Novotec GmbH, Pforzheim, Germany). The participants stood with
their feet shoulder-width apart on the board, which produced side_x0002_alternating oscillations of the whole body. WBV received three_x0002_minute vibration stimuli. During the vibrations, the participant
performed a half squat, heel rise, and toe up on the WBV platform.
Weight shift training was also performed on the WBV platform,
including anterolateral and posterolateral weight shifting without
stepping while reaching forward and laterally. Frequency, ampli_x0002_tude, and maximum acceleration parameters were set at 10 Hz,
3 mm, and 11.8 m s_x0005_2 during the first week, and increased to
21 Hz, 7 mm, and 121.9 m s_x0005_2 in the 12th week, respectively. Load
progressions of the vibratory stimuli were increased by 1 Hz every week. STE performed the same exercises as WBV on the floor
without vibration stimuli</t>
  </si>
  <si>
    <t>caregiver</t>
  </si>
  <si>
    <t>The training protocol for both groups included an exercise
aimed to increase step length and other balance exercises. The
exercise to increase step length included large and small steps, fast
and slow steps, and single spontaneous steps in anterior–posterior
and medial-lateral directions. The participant was required to flex
the knees deeply at foot contact. Other balance training consisted
of standing on one leg, tandem standing, walking with very small
and large steps, and hopping or landing. All training was
supervised by the nursing home staff. All session time (minutes)
and training days were recorded by the participant.</t>
  </si>
  <si>
    <t>Sousa, 2013</t>
  </si>
  <si>
    <t xml:space="preserve"> a control group
(n = 10)</t>
  </si>
  <si>
    <t>Both training programs consisted of two weekly
sessions for 12 weeks. The RT protocol consisted of seven
exercises: bench press, leg press, latissimus pull-down, leg
extension, military press, leg curl, and arm curl (intensity
varied progressively between 60% and 85% of one-repeti_x0002_tion maximum, 2–3 sets of 6–12 repetitions).</t>
  </si>
  <si>
    <t>The MT
protocol included aerobic exercise (15–20 minutes of
walking and dancing), muscular endurance exercises
(using elastic bands and free weights, three sets, 15–20
repetitions), and balance and flexibility exercises (moder_x0002_ate intensity, perceived exertion of 12–13 points on the
Borg Scale).4</t>
  </si>
  <si>
    <t>205460;1715360</t>
  </si>
  <si>
    <t>Underwood, 2013</t>
  </si>
  <si>
    <t>England</t>
  </si>
  <si>
    <t>For the control home, we delivered one session of 
training in depression awareness to staff , ensuring that 
they were aware of present best care for the identifi cation 
and management of depression in this population, 
including encouraging discussion of depression, 
increasing activities (eg, playing games with group 
interaction), and referral to primary or secondary care 
when needed.</t>
  </si>
  <si>
    <t>The 
exercise classes were designed to provide a moderate 
intensity strength and aerobic training stimulus.8
 The 
twice-weekly physiotherapist-led 45 min sessions ran for 
up to 12 months (intended length 12 months, no 
minimum duration) in each home and provided a 
moderately intense exercise stimulus via progressive 
aerobic and resistance training activities to be done while 
sitting and standing, using simple, accessible exercise 
equipment supported by music tracks selected for their 
facilitatory eff ects.11 As part of the whole home approach 
the physiotherapists also engaged the care-home staff 
and managers in encouraging residents to be more 
physically active in their daily lives</t>
  </si>
  <si>
    <t>Bruunsgaard, 2004</t>
  </si>
  <si>
    <t>Denmark</t>
  </si>
  <si>
    <t xml:space="preserve"> control group that
participated in a program of social/occupational activities control group that
participated in a program of social/occupational activities</t>
  </si>
  <si>
    <t>Datos sacados de figuras en medianas e IQR, Given that the data were reported as median and interquartile range (IQR), mean and standard deviation were estimated assuming an approximately normal distribution, using the formula SD ≈ IQR/1.35.</t>
  </si>
  <si>
    <t>Resistance Training
The training protocol from a previous study of old-old
people was used.17 The training program included three
exercise sessions per week for 12 weeks. The principle of the
exercise program was low repetitions with a high weight
resistance. The duration of each exercise session was
approximately 45 minutes. Participants were seated upright
on a training chair (Quadriceps Exercise Table, Kebo Care
A/S, Hvidovre, Denmark). When knee extensors were
trained, the subject started from a position of 901 knee
flexion, and the leg was then extended against a well_x0002_padded lever arm to near-full extension. A second lever arm
(0.5 m) with attached adjustable weights was connected to
the rotary axis of the lever arm. The maximum amount of
weight that could be lifted (1-repetition maximum (1-RM))
was tested every week for each leg and at the completion of
the training program. Subjects had at least three trials to be
certain that true 1-RM was measured. Each training session
consisted of three sets of eight knee extensions with a load
equivalent to 50% to 80% of the actual 1-RM and 2
minutes of breaks between the three sets. Each extension
lasted 6 seconds and was followed by an interval of 2 to 3
seconds before the next extension in the series of eight
repetitions. The same principle was used for training of
knee flexors. Participants started from a position of full
knee extension, and the leg was flexed against a weight
resistance to a position of 901 knee flexion. A 1-RM of the
strongest leg was used in all statistical analyses as an
estimate of the muscle strength. A physiotherapist super_x0002_vised exercise sessions</t>
  </si>
  <si>
    <t>Knee_fle</t>
  </si>
  <si>
    <t>Choi, 2005</t>
  </si>
  <si>
    <t xml:space="preserve"> South Korea</t>
  </si>
  <si>
    <t>, the control
group maintained their routine activities without participa_x0002_ting in any regular exercise classes. All other daily activities in
both groups were not controlled</t>
  </si>
  <si>
    <t>While the experimental group participated in the
Tai Chi exercise programme three times a week, 
Tai Chi exercise programme
The Tai Chi exercise programme was provided to residents of
the facility assigned as the experimental group three times per
week for 12 weeks. The group came to the auditorium at the
facility each morning and performed the intervention programme. A certified Tai Chi exercise leader taught the 12
forms of Sun-style Tai Chi exercise to the group throughout
the exercise period The Tai Chi exercise programme consisted of 10 minutes
of warming-up exercise, 20 minutes of 12 Tai Chi movements, and 5 minutes of cooling-down exercise. The warming-up exercise comprised walking around with moving
hands and greeting each other in the group, followed by
exercises with two ranges of motion on each joint of the neck,
shoulders, trunk, hip, knees, and ankles. Lam (2000) developed forms of Tai Chi exercise specifically for patients with
arthritis that consisted of slow and continuous movements
with a great deal of moving forward and backward. The 12
forms of the Tai Chi exercise involved the bending of knees in
wide steps. The cycle of 12 movements was repeated for
20 minutes while listening to traditional instrumental music
in order to maintain slow and continuous movements, as well
as to provide a soothing effect. The exercise session was
always completed with a cooling-down exercise involving the
stretching of arm and leg muscles and breathing exercises</t>
  </si>
  <si>
    <t>221060;219060</t>
  </si>
  <si>
    <t>While the experimental group participated in the
Tai Chi exercise programme three times a week, 
Tai Chi exercise programme
The Tai Chi exercise programme was provided to residents of
the facility assigned as the experimental group three times per
week for 12 weeks. The group came to the auditorium at the
facility each morning and performed the intervention pro_x0002_gramme. A certified Tai Chi exercise leader taught the 12
forms of Sun-style Tai Chi exercise to the group throughout
the exercise period The Tai Chi exercise programme consisted of 10 minutes
of warming-up exercise, 20 minutes of 12 Tai Chi move_x0002_ments, and 5 minutes of cooling-down exercise. The warm_x0002_ing-up exercise comprised walking around with moving
hands and greeting each other in the group, followed by
exercises with two ranges of motion on each joint of the neck,
shoulders, trunk, hip, knees, and ankles. Lam (2000) devel_x0002_oped forms of Tai Chi exercise specifically for patients with
arthritis that consisted of slow and continuous movements
with a great deal of moving forward and backward. The 12
forms of the Tai Chi exercise involved the bending of knees in
wide steps. The cycle of 12 movements was repeated for
20 minutes while listening to traditional instrumental music
in order to maintain slow and continuous movements, as well
as to provide a soothing effect. The exercise session was
always completed with a cooling-down exercise involving the
stretching of arm and leg muscles and breathing exercises</t>
  </si>
  <si>
    <t>Bo, 2006</t>
  </si>
  <si>
    <t>the control group, which
did not receive specific intervention</t>
  </si>
  <si>
    <t>Patients randomised to the intervention group received daily (5 days/week) exercise
training on a treadmill and stationary bicycle for 4 weeks. The goal was to achieve 30 min of
training per session, with the target exercise level set at approximately 75% of maximum
heart rate. Ten-minute warm-up (mainly dedicated to stretching and low-intensity peripheral
muscletraining) and 2-min cool-down periods were allowed, but they were excluded from the
calculation of exercise duration. Participants were free to choose between treadmill and
bicycle training, also in the same session. Short rest periods duringtraining were allowed. The
goal of training was to keep the intensity of exercise relatively constant on an individual basis,
while gradually increasing the duration of exercise, which was recorded for each session</t>
  </si>
  <si>
    <t>219060;1715360</t>
  </si>
  <si>
    <t>Liu, 2025</t>
  </si>
  <si>
    <t xml:space="preserve"> Participants in the TRTG performed traditional
resistance training sessions with an approximate duration of
40 min twice-weekly for 12 weeks. The program included
a warm-up and resistance exercises targeting the upper
(handgrip, elbow flexion) and lower limbs (squats, singleleg
stands, knee extensions). These exercises were
intended to enhance muscle strength, endurance, and balance.
Resistance was progressively increased according to
the RPE and standardized progression criteria.</t>
  </si>
  <si>
    <t>When only the mean and the standard error (SE) are reported, but the sample size (n) is available, the standard deviation (SD) can be calculated using the following formula: SD = SE × √n
This formula is derived from the relationship between standard error and standard deviation.</t>
  </si>
  <si>
    <t>Participants in the EGRG engaged
in twice-weekly sessions combining exergaming and resistance
training with an approximate duration of 40 min for
12 weeks. The exergames were delivered via three Nintendo
Switch sports games, namely badminton, tennis, and soccer,
aiming to target both sarcopenia-related physical and cognitive
health outcomes. Resistance was added through the
use of cuff weights and was progressively increased based
on perceived exertion (RPE). This 39-minute resistance training protocol targets functional strength and stability by dividing the session into lower and upper limb segments, each initiated by a 5-minute warm-up on an ergometer. The lower body phase focuses on squats, single-leg balance, and knee extensions, while the upper body section utilizes hand grip exercises and seated elbow flexion. Throughout the workout, exercises are performed in 3 sets of 6–10 repetitions or timed holds, separated by 20–30 second rest intervals to optimize endurance and control.</t>
  </si>
  <si>
    <t>CFS-C</t>
  </si>
  <si>
    <t>Prayogo, 2022</t>
  </si>
  <si>
    <t xml:space="preserve">Indonesia </t>
  </si>
  <si>
    <t>2mWT(m)</t>
  </si>
  <si>
    <t>The groups performed mild-to-moderate aerobic exercise daily (40%–70% maximal heart rate) for 30 minutes per session. The aerobic exercise included movements to improve cardiorespiratory and muscle endurance and maintain joint flexibility.</t>
  </si>
  <si>
    <t>(Lower extremity pain) x2/      (Knee pain during assessment) x1</t>
  </si>
  <si>
    <t>Participants in the LTG group
participated in an additional Locomotion
Training session 3 times per week, 3
sets per session, gradually increasing
to 5 sets per session according to the
participant’s tolerance. The details of each
set of locomotion training exercises and
instructions were as follows:
1. One leg stands exercise with eyes open
(1 minute for each leg).
2. Half Squat exercise is performed by
bending knees 90° (6 repetitions).
3. Heel Raise exercise is conducted (10
repetitions).
4. Front Lunges exercise is carried out
by stepping one leg forward as far as
possible while maintaining an upright
posture (5 repetitions for each leg).
Locomotion Training 
The locomotion training included strengthening and balancing ex_x0002_ercises. The four exercises included one-leg stand, half-squat, heel 
raise, and forward lunge. All exercises were performed in six-mem_x0002_ber groups under the supervision of a physician, two physiothera_x0002_pists, and nursing home medical staff on pre-programmed days 
and hours in the Jambangan Nursing Home multipurpose room. A 
physiotherapist provided examples of the movements to ensure 
the correctness of the movements during locomotion training. 
The participants were also provided with a booklet and video de_x0002_scribing the locomotion training. The details of each set of loco_x0002_motion training exercises and instructions were as follows: sin_x0002_gle-leg standing with eyes open (1 minute for each leg), squats (six 
repetitions), heel raises (10 repetitions), and forward lunges (five 
repetitions for each leg). Further details are available from the Jap_x0002_anese Orthopedic Association (https://locomo-joa.jp/assets/
pdf/index_english.pdf).</t>
  </si>
  <si>
    <t>206260 (5); 0205460 (4,3)</t>
  </si>
  <si>
    <t>Prayogo, 2023</t>
  </si>
  <si>
    <t>Participants in the LTG group
participated in an additional Locomotion
Training session 3 times per week, 3
sets per session, gradually increasing
to 5 sets per session according to the
participant’s tolerance. The details of each
set of locomotion training exercises and
instructions were as follows:
1. One leg stands exercise with eyes open
(1 minute for each leg).
2. Half Squat exercise is performed by
bending knees 90° (6 repetitions).
3. Heel Raise exercise is conducted (10
repetitions).
4. Front Lunges exercise is carried out
by stepping one leg forward as far as
possible while maintaining an upright
posture (5 repetitions for each leg).</t>
  </si>
  <si>
    <t>2steplen(m)</t>
  </si>
  <si>
    <t xml:space="preserve"> Nawrat-Szołtysik, 2018</t>
  </si>
  <si>
    <t>G1 Group 1 
(n = 24) was a control, “drugs-only” group ©</t>
  </si>
  <si>
    <t>G3 Nordic walking
Nordic walking
Nordic walking is a brisk walk during which specially de_x0002_signed sticks engaging the shoulder girdle muscles are used. 
In the study, the NW group exercised, weather permitting, 
twice a week on flat terrain for a period of 12 months. 
Exercise intensity was set to 70% of the participants’ max 
heart rate, and walking speed was 2–3 km/h. During Nor_x0002_dic walking, pedometers were not used.
A single NW session consisted of:
– a 5–10 min warm-up including stretching and breath_x0002_ing exercises to enable the participants to exercise at higher 
intensity and to reduce the risk of injuries;
– a 30 min walk, the duration of which was increased 
by 5 min (16%) every 3 months, finally amounting to 45 min;
– a relaxation phase for restoring and stabilizing normal 
cardiorespiratory function in the participants.</t>
  </si>
  <si>
    <t>Su, 2024</t>
  </si>
  <si>
    <t>the control group continued to receive their regular daily life care.</t>
  </si>
  <si>
    <t>suma de los dominios del MMSE para la mean y La desviación estándar total se estimó asumiendo una correlación inter-subdominios de r = 0.73 y aplicando la fórmula de varianza para la suma de variables correlacionadas:
Var(Total)=∑SD_i^2+r[(∑SD_i )^2-∑SD_i^2]
La SD total se obtuvo como la raíz cuadrada de dicha varianza.</t>
  </si>
  <si>
    <t>This study involved whole-body vibration (WBV) training for older adults with
dynapenia in the experimental group. A vibrational platform (Bw760B, Taipei City, Taiwan)
was used for the vibration training. The research was based on the parameters identified
by Lin et al, which include a vibration frequency of 25–40 Hz and an amplitude
of 2.5–5 mm. Each training session consisted of 60 s of vibration followed by 30 s of
rest, repeated 10 times, and was conducted at least three times per week. This protocol
is designed to enhance muscle contraction, improve muscle strength, and boost muscle
function in older adults. Consequently, the experimental group followed this intervention
program for a duration of 3 months</t>
  </si>
  <si>
    <t>Data Header</t>
  </si>
  <si>
    <t>Description</t>
  </si>
  <si>
    <t>número de sujetos pre</t>
  </si>
  <si>
    <t>notes</t>
  </si>
  <si>
    <t>Datos sobre al menos el usual care. Del grupo intervención mejor datos de la intervención.</t>
  </si>
  <si>
    <t>authoryear</t>
  </si>
  <si>
    <t>autor, año</t>
  </si>
  <si>
    <t>media de la variable</t>
  </si>
  <si>
    <t>Número de semanas de la intervención</t>
  </si>
  <si>
    <t>Sample size (N)</t>
  </si>
  <si>
    <t>muestra total del estudio (solo incluir los grupos analizados)</t>
  </si>
  <si>
    <t>sd de la variable</t>
  </si>
  <si>
    <t>número sesiones/semana</t>
  </si>
  <si>
    <t>Age (median age)</t>
  </si>
  <si>
    <t>Edad media de los grupos analizados</t>
  </si>
  <si>
    <t>número de sujetos post</t>
  </si>
  <si>
    <t>tiempo de la sesión. Si hay tiempos diferentes de acuerdo el día, hacer la media</t>
  </si>
  <si>
    <t>Male participants (n)</t>
  </si>
  <si>
    <t>% de hombres en el pren</t>
  </si>
  <si>
    <t>media de la variable post</t>
  </si>
  <si>
    <t>pacompendium.com</t>
  </si>
  <si>
    <t>media de la sd post</t>
  </si>
  <si>
    <t>METs de la sesión teniendo en cuenta las partes de la misma</t>
  </si>
  <si>
    <t>weekly dose</t>
  </si>
  <si>
    <t xml:space="preserve">METS sesión x número de sesiones semanales </t>
  </si>
  <si>
    <t>dementia</t>
  </si>
  <si>
    <t>diferencia de medias del grupo</t>
  </si>
  <si>
    <t>low/moderate/high</t>
  </si>
  <si>
    <t>Hacerlo de acuerdo a los METS de compendium</t>
  </si>
  <si>
    <t>alzheimer</t>
  </si>
  <si>
    <t>error estándar del cambio</t>
  </si>
  <si>
    <t>vascular</t>
  </si>
  <si>
    <t>diferencia de medias entre grupos</t>
  </si>
  <si>
    <t>varianza combinada</t>
  </si>
  <si>
    <r>
      <t xml:space="preserve">progression_type </t>
    </r>
    <r>
      <rPr>
        <sz val="11"/>
        <color theme="1"/>
        <rFont val="Calibri"/>
        <family val="2"/>
        <scheme val="minor"/>
      </rPr>
      <t>tipo de progresión (mirar artículo de progresiones y sus tipos)</t>
    </r>
  </si>
  <si>
    <t>llineal</t>
  </si>
  <si>
    <t>parkinson dementia</t>
  </si>
  <si>
    <t>en el grupo de usual care se copia la se para que funcione la fórmula y calcule error estándar de la diferencia de medias</t>
  </si>
  <si>
    <t>estable</t>
  </si>
  <si>
    <t>lower is better</t>
  </si>
  <si>
    <t>Mirar pestaña de lower y better del excel</t>
  </si>
  <si>
    <t>MCI</t>
  </si>
  <si>
    <t>Country</t>
  </si>
  <si>
    <t>lugar donde se realiza la intervención</t>
  </si>
  <si>
    <t>median number of chronic conditions/NA</t>
  </si>
  <si>
    <t>yes/no more than 5 medications at least 50% study population</t>
  </si>
  <si>
    <t>Disease</t>
  </si>
  <si>
    <t>Indicar si la población tiene o no enfermedad según estudio</t>
  </si>
  <si>
    <t>dropout rate</t>
  </si>
  <si>
    <t>npost/npre*100</t>
  </si>
  <si>
    <t>1º se pone grupos control</t>
  </si>
  <si>
    <t>duda sobre las dimensiones de la cognición</t>
  </si>
  <si>
    <t xml:space="preserve">usual care </t>
  </si>
  <si>
    <t>sppb</t>
  </si>
  <si>
    <t>MMSE</t>
  </si>
  <si>
    <t>barthel</t>
  </si>
  <si>
    <t>LPA (min/day)</t>
  </si>
  <si>
    <t>number</t>
  </si>
  <si>
    <t>gait speed</t>
  </si>
  <si>
    <t>MoCA</t>
  </si>
  <si>
    <t>sf36</t>
  </si>
  <si>
    <t>berg</t>
  </si>
  <si>
    <t>MVPA (min/day)</t>
  </si>
  <si>
    <t>strength</t>
  </si>
  <si>
    <t>Steps (n of steps/day)</t>
  </si>
  <si>
    <t>TUG (s)</t>
  </si>
  <si>
    <t>eq-5d_utility (siempre se mira este)</t>
  </si>
  <si>
    <t>barthel entre 0 y 100 la puntuacion</t>
  </si>
  <si>
    <t>Berg entre 0 y 56</t>
  </si>
  <si>
    <t>ACT (n of repetitions)(arm curl test)</t>
  </si>
  <si>
    <t>sppb_total</t>
  </si>
  <si>
    <t>EQ-5D _utility (puntuacion siempre inferior a 1 y es lo mismo que utility la puntuacion esta entre 1 y menos 1</t>
  </si>
  <si>
    <t>gait speed siempre en m/s, sino me da los metros por segundo lo convierto</t>
  </si>
  <si>
    <t>6mWT (m) = 6-min walk test</t>
  </si>
  <si>
    <t>barthel se pone aunque no tenga post, simpre que aparezca el dato en pre</t>
  </si>
  <si>
    <t>Variables borradas o reubicadas:</t>
  </si>
  <si>
    <t>Hand grip Dominant (kg)</t>
  </si>
  <si>
    <t>Hand grip No Dominant (kg)</t>
  </si>
  <si>
    <t>baseline ADL (barthel)</t>
  </si>
  <si>
    <t>Se ha movido a los outcomes</t>
  </si>
  <si>
    <t>aerobic + resistance</t>
  </si>
  <si>
    <t>aerobic + resistance + stretching</t>
  </si>
  <si>
    <t>resistance + balance</t>
  </si>
  <si>
    <t>hiit</t>
  </si>
  <si>
    <t xml:space="preserve"> Qigong </t>
  </si>
  <si>
    <t>CODIGOS MÁS USADOS</t>
  </si>
  <si>
    <t xml:space="preserve">Calentamiento y vuelta </t>
  </si>
  <si>
    <t>Yoga general</t>
  </si>
  <si>
    <t>fuerza peso corpotal o wbv</t>
  </si>
  <si>
    <t>Fuerza con RM y repeticiones</t>
  </si>
  <si>
    <t>BALANCE</t>
  </si>
  <si>
    <t>Therapeutic exercise</t>
  </si>
  <si>
    <t>Caminata</t>
  </si>
  <si>
    <t>Muchos ejercicios combinados y funcionales</t>
  </si>
  <si>
    <t>OUTCOME_GROUP</t>
  </si>
  <si>
    <t>VARIABLES</t>
  </si>
  <si>
    <t>LOWER_IS_BETTER</t>
  </si>
  <si>
    <t>Observaciones</t>
  </si>
  <si>
    <t>body composition</t>
  </si>
  <si>
    <t>BMI</t>
  </si>
  <si>
    <t>Yes</t>
  </si>
  <si>
    <t>Glycemic parameters</t>
  </si>
  <si>
    <t>HbA1c</t>
  </si>
  <si>
    <t>Waist circumference</t>
  </si>
  <si>
    <t>Fasting glycemia</t>
  </si>
  <si>
    <t>Lean mass</t>
  </si>
  <si>
    <t>No</t>
  </si>
  <si>
    <t>Glucose</t>
  </si>
  <si>
    <t>Fat mass (%)</t>
  </si>
  <si>
    <t>Insulin</t>
  </si>
  <si>
    <t>Fat mass (kg)</t>
  </si>
  <si>
    <t>Insulin plasma</t>
  </si>
  <si>
    <t>Quadriceps muscle thickness</t>
  </si>
  <si>
    <t>Adiponetic</t>
  </si>
  <si>
    <t>Weight or Body weight</t>
  </si>
  <si>
    <t>HOMA-IR</t>
  </si>
  <si>
    <t>Thigh skinfolds</t>
  </si>
  <si>
    <t xml:space="preserve">GLUT4 </t>
  </si>
  <si>
    <t>Thigh circumference</t>
  </si>
  <si>
    <t>Postprandial glucose</t>
  </si>
  <si>
    <t>Type I muscle fiber area</t>
  </si>
  <si>
    <t>Type II muscle fiber area</t>
  </si>
  <si>
    <t>Total Lean Issue Mass (kg)</t>
  </si>
  <si>
    <t>Leg Lean Issue Mass (kg)</t>
  </si>
  <si>
    <t>Skeletal muscle mass (kg)</t>
  </si>
  <si>
    <t>Waist/Hip ratio</t>
  </si>
  <si>
    <t>Percentage body fat (skinfold or bioimpedance)</t>
  </si>
  <si>
    <t>Visceral fat (%)</t>
  </si>
  <si>
    <t>Quality of life</t>
  </si>
  <si>
    <t>Physical score (SF-36)</t>
  </si>
  <si>
    <t>Muscular percentage (%)</t>
  </si>
  <si>
    <t>Bodily pain score (SF-36)</t>
  </si>
  <si>
    <t>General Health score (SF-36)</t>
  </si>
  <si>
    <t>Vitality score (SF-36)</t>
  </si>
  <si>
    <t>Social functioning score (SF-36)</t>
  </si>
  <si>
    <t>Physical function</t>
  </si>
  <si>
    <t>Timed-up-and-go test</t>
  </si>
  <si>
    <t>Emotional score (SF-36)</t>
  </si>
  <si>
    <t>Stair climbing test</t>
  </si>
  <si>
    <t>Mental Health score (SF-36)</t>
  </si>
  <si>
    <t xml:space="preserve">Walk 50 feet </t>
  </si>
  <si>
    <t>Beck Depression Inventory (BDI)</t>
  </si>
  <si>
    <t xml:space="preserve">Upstair </t>
  </si>
  <si>
    <t>Physical and mental component score (SF-36)</t>
  </si>
  <si>
    <t>Downstairs</t>
  </si>
  <si>
    <t>Task self-efficacy</t>
  </si>
  <si>
    <t>Cycle ergometer performance (w)</t>
  </si>
  <si>
    <t>Schedule self-efficacy</t>
  </si>
  <si>
    <t xml:space="preserve">Chair-standard-test </t>
  </si>
  <si>
    <t>Barrier self-efficacy</t>
  </si>
  <si>
    <t xml:space="preserve">Berg Balance Scale </t>
  </si>
  <si>
    <t>Physical composite score (SF-12)</t>
  </si>
  <si>
    <t>Physical function score WOMAC</t>
  </si>
  <si>
    <t>Mental composite score (SF-12)</t>
  </si>
  <si>
    <t>Physical functioning score (SF-36)</t>
  </si>
  <si>
    <t>Well-Being Questionnaire 12-Item version (WBQ-12)</t>
  </si>
  <si>
    <t>Sit and Reach test (cm)</t>
  </si>
  <si>
    <t>Pain score (WOMAC)</t>
  </si>
  <si>
    <t>Standing leg raise (s)</t>
  </si>
  <si>
    <t>Stifness score (WOMAC)</t>
  </si>
  <si>
    <t>Sit-up test (reps)</t>
  </si>
  <si>
    <t>Lateral flexion test (cm)</t>
  </si>
  <si>
    <t>Static balance (De Morton mobility index)</t>
  </si>
  <si>
    <t>Dynamic balance (De Morton mobility index)</t>
  </si>
  <si>
    <t>VO2 peak</t>
  </si>
  <si>
    <t>Heart rate peak</t>
  </si>
  <si>
    <t>6-Minutes Walking Test (m)</t>
  </si>
  <si>
    <t>1-RM chest press</t>
  </si>
  <si>
    <t>1-RM leg press</t>
  </si>
  <si>
    <t>Hand grip</t>
  </si>
  <si>
    <t>Rate of Torque Development (RTD)</t>
  </si>
  <si>
    <t>Maximum knee extension</t>
  </si>
  <si>
    <t>Specific tension</t>
  </si>
  <si>
    <t>Hip flexors</t>
  </si>
  <si>
    <t>Hip extensors</t>
  </si>
  <si>
    <t>Knee extensors</t>
  </si>
  <si>
    <t>Knee flexors</t>
  </si>
  <si>
    <t>Plantar flexors</t>
  </si>
  <si>
    <t>1-RM row pull</t>
  </si>
  <si>
    <t xml:space="preserve">Peak and mean extension force </t>
  </si>
  <si>
    <t xml:space="preserve">Peak and mean flexion force </t>
  </si>
  <si>
    <t>Leyenda</t>
  </si>
  <si>
    <t>Outcome</t>
  </si>
  <si>
    <t>Scale</t>
  </si>
  <si>
    <t>Scale Description</t>
  </si>
  <si>
    <t>Unidad de Medida</t>
  </si>
  <si>
    <t>Nombre en base de datos</t>
  </si>
  <si>
    <t>10MWT</t>
  </si>
  <si>
    <t>10-m walking test</t>
  </si>
  <si>
    <t>10MWT (m/s)</t>
  </si>
  <si>
    <t>11-step stair-climbing
test</t>
  </si>
  <si>
    <t>11-step stair-climbing
test (s)</t>
  </si>
  <si>
    <t>2 MSP</t>
  </si>
  <si>
    <t>2-minute Step Test</t>
  </si>
  <si>
    <t>2 MSP (n)</t>
  </si>
  <si>
    <t>2 step test</t>
  </si>
  <si>
    <t>2 step test length of two steps</t>
  </si>
  <si>
    <t>2 step test (m)</t>
  </si>
  <si>
    <t>2MinuteWalk</t>
  </si>
  <si>
    <t>Two minute walk (was modified from Cooper’s)</t>
  </si>
  <si>
    <t>2mW (m)</t>
  </si>
  <si>
    <t>30CSTS</t>
  </si>
  <si>
    <t>30-second Chair Stand Test</t>
  </si>
  <si>
    <t>30-s CSTS (number of times)</t>
  </si>
  <si>
    <t>30-s CSTS power (W)</t>
  </si>
  <si>
    <t>6-m Walk</t>
  </si>
  <si>
    <t>6-meters walk test</t>
  </si>
  <si>
    <t>6-m walk (m/s) (esta es la valida la de abajo hay que cambiarla)</t>
  </si>
  <si>
    <t>6MWT</t>
  </si>
  <si>
    <t>6-minute Walk Test</t>
  </si>
  <si>
    <t>6mWT (m)</t>
  </si>
  <si>
    <t xml:space="preserve">ACT </t>
  </si>
  <si>
    <t>Arm Curl Test</t>
  </si>
  <si>
    <t>ACT_times (n)</t>
  </si>
  <si>
    <t>ACT_right_times (n)</t>
  </si>
  <si>
    <t>ACT_left_times (n)</t>
  </si>
  <si>
    <t>Arm curl 1RM</t>
  </si>
  <si>
    <t>1RM arm curl (kg)</t>
  </si>
  <si>
    <t>BOOMER</t>
  </si>
  <si>
    <t>The</t>
  </si>
  <si>
    <t>Step test (R)(number of steps)</t>
  </si>
  <si>
    <t>Boomer_R</t>
  </si>
  <si>
    <t>Step test (L)(number of steps)</t>
  </si>
  <si>
    <t>Boomer_L</t>
  </si>
  <si>
    <t xml:space="preserve">Brief BESTest </t>
  </si>
  <si>
    <t xml:space="preserve">Brief Balance Evaluation Systems Test </t>
  </si>
  <si>
    <t xml:space="preserve"> Brief BESTest (0–30)</t>
  </si>
  <si>
    <t>Brief_BESTest</t>
  </si>
  <si>
    <t>CSRT</t>
  </si>
  <si>
    <t>Chair Sit-and-Reach Test</t>
  </si>
  <si>
    <t>Chair sit-and-reach for right leg (cm)</t>
  </si>
  <si>
    <t>Chair sit-and-reach for left leg (cm)</t>
  </si>
  <si>
    <t>Fullerton Advanced Balance Scale</t>
  </si>
  <si>
    <t>FAB (0-40)</t>
  </si>
  <si>
    <t>FICSIT-4</t>
  </si>
  <si>
    <t>Frailty and injuries cooperative studies of intervention techniques-subtest 4</t>
  </si>
  <si>
    <t>FICSIT-4 (score)</t>
  </si>
  <si>
    <t>Five times sit to stand test</t>
  </si>
  <si>
    <t>FTSTS (s)</t>
  </si>
  <si>
    <t>Functional Reach Test</t>
  </si>
  <si>
    <t>Functional Reach Test (cm)</t>
  </si>
  <si>
    <t>Gait speed test</t>
  </si>
  <si>
    <t>Gait speed</t>
  </si>
  <si>
    <t>Gait Speed 4m (m/s)</t>
  </si>
  <si>
    <t>Preferred walking speed</t>
  </si>
  <si>
    <t>Gait Speed preferred (m/s)</t>
  </si>
  <si>
    <t>Groningen meander walking test</t>
  </si>
  <si>
    <t>Groningen Meander Walking Test (s)</t>
  </si>
  <si>
    <t>Groningen(s)</t>
  </si>
  <si>
    <t>Groningen Meander Walking Test (overstep)</t>
  </si>
  <si>
    <t>Groningen(overstep)</t>
  </si>
  <si>
    <t>Handgrip</t>
  </si>
  <si>
    <t>Hand grip Average R and L</t>
  </si>
  <si>
    <t>Hand grip Average (kg)</t>
  </si>
  <si>
    <t>Right-hand grip strength</t>
  </si>
  <si>
    <t>Right-hand grip strength (kg)</t>
  </si>
  <si>
    <t>Left-hand grip strength</t>
  </si>
  <si>
    <t>Left-hand grip strength (kg)</t>
  </si>
  <si>
    <t xml:space="preserve">Hand grip Dominant </t>
  </si>
  <si>
    <t xml:space="preserve">Hand grip No Dominant </t>
  </si>
  <si>
    <t xml:space="preserve">Hip flexion strength </t>
  </si>
  <si>
    <t>Hip flexion strength (N)</t>
  </si>
  <si>
    <t>Isokinetic knee extension contractions  average power (AP)</t>
  </si>
  <si>
    <t>knee_eccentric_power (W)</t>
  </si>
  <si>
    <t>knee_concentric_power (W)</t>
  </si>
  <si>
    <t>Knee extension strength</t>
  </si>
  <si>
    <t xml:space="preserve">Knee extension strength </t>
  </si>
  <si>
    <t>Knee extension strength (N)</t>
  </si>
  <si>
    <t>Knee flexion strength</t>
  </si>
  <si>
    <t>Knee flexion strength (N)</t>
  </si>
  <si>
    <t>Leg extension</t>
  </si>
  <si>
    <t>Leg extension 40 cm/sec</t>
  </si>
  <si>
    <t>Leg extension 40 cm/sec Max. power (W)</t>
  </si>
  <si>
    <t>Leg extension 60 cm/sec</t>
  </si>
  <si>
    <t>Leg extension 60 cm/sec Max. power (W)</t>
  </si>
  <si>
    <t>Leg press 1RM</t>
  </si>
  <si>
    <t>Leg press 1RM(Kg)</t>
  </si>
  <si>
    <t>Leg Strenght</t>
  </si>
  <si>
    <t>Leg Strength (N)</t>
  </si>
  <si>
    <t>Leg_(N)</t>
  </si>
  <si>
    <t>Right Leg Strength (kg)</t>
  </si>
  <si>
    <t>Leg_R</t>
  </si>
  <si>
    <t>Left Leg Strenght (kg)</t>
  </si>
  <si>
    <t>Leg_L</t>
  </si>
  <si>
    <t>OLS</t>
  </si>
  <si>
    <t xml:space="preserve"> One leg stance Test</t>
  </si>
  <si>
    <t>OLS_D (s)</t>
  </si>
  <si>
    <t>OLS_I (s)</t>
  </si>
  <si>
    <t>One leg stance-eyes open-right (s)</t>
  </si>
  <si>
    <t>One leg stance-eyes open-left (s)</t>
  </si>
  <si>
    <t xml:space="preserve"> One leg stance-eyes closed-right (s)</t>
  </si>
  <si>
    <t xml:space="preserve"> One leg stance-eyes closed-left (s)</t>
  </si>
  <si>
    <t xml:space="preserve"> Single Leg Stance dominant (s)</t>
  </si>
  <si>
    <t xml:space="preserve"> Single Leg Stance non dominant (s)</t>
  </si>
  <si>
    <t>Single leg stance test</t>
  </si>
  <si>
    <t>SLST (0-30 s)</t>
  </si>
  <si>
    <t>Sppb</t>
  </si>
  <si>
    <t>Short Physical Performance Battery</t>
  </si>
  <si>
    <t>Sppb Score (0-12)</t>
  </si>
  <si>
    <t>SRT</t>
  </si>
  <si>
    <t>Sit-and-Reach Test</t>
  </si>
  <si>
    <t>SRT (cm)</t>
  </si>
  <si>
    <t>SRTT</t>
  </si>
  <si>
    <t>Step reaction time test</t>
  </si>
  <si>
    <t>SRTT (ms)</t>
  </si>
  <si>
    <t>The figgure of eight test</t>
  </si>
  <si>
    <t>Figure of 8 test</t>
  </si>
  <si>
    <t>Figure of 8 (m/s)</t>
  </si>
  <si>
    <t>Fig8(m/s)</t>
  </si>
  <si>
    <t>Figure of 8 (overstep)</t>
  </si>
  <si>
    <t>Fig8(overstep)</t>
  </si>
  <si>
    <t>TS</t>
  </si>
  <si>
    <t>Tandem stance</t>
  </si>
  <si>
    <t>Tandem stance-eyes open (s)</t>
  </si>
  <si>
    <t>Tandem stance-eyes closed (s)</t>
  </si>
  <si>
    <t xml:space="preserve">Static standing test </t>
  </si>
  <si>
    <t>Static standing test (s)</t>
  </si>
  <si>
    <t>sta_stan_test</t>
  </si>
  <si>
    <t>TUG</t>
  </si>
  <si>
    <t>Timed Up and Go test</t>
  </si>
  <si>
    <t>Cognition</t>
  </si>
  <si>
    <t>Mini-Mental State Examination</t>
  </si>
  <si>
    <t>MMSE_Score (0-30)</t>
  </si>
  <si>
    <t>MMSE_Score_Short (0-15)</t>
  </si>
  <si>
    <t>Montreal Cognitive Assessment</t>
  </si>
  <si>
    <t>MOCA_Score (0-30)</t>
  </si>
  <si>
    <t>MEC-35 test</t>
  </si>
  <si>
    <t>Adapted and validated version of  Mini Mental State Examination (MMSE) in Spanish</t>
  </si>
  <si>
    <t>MEC-35 test (0-35)</t>
  </si>
  <si>
    <t>RAVLT</t>
  </si>
  <si>
    <t>Rey Auditory-Verbal Learning Test</t>
  </si>
  <si>
    <t>RAVLT (total rep.) (0–75)</t>
  </si>
  <si>
    <t>RAVLT (total rep.) (0–15)</t>
  </si>
  <si>
    <t>RAVLT_15</t>
  </si>
  <si>
    <t>TMT-A</t>
  </si>
  <si>
    <t>Trail Making Test A</t>
  </si>
  <si>
    <t>TMT-A (s)</t>
  </si>
  <si>
    <t>TMT-B</t>
  </si>
  <si>
    <t>Trail Making Test B</t>
  </si>
  <si>
    <t>TMT-B (s)</t>
  </si>
  <si>
    <t>TMT-B-A</t>
  </si>
  <si>
    <t>Trail Making Test B-A</t>
  </si>
  <si>
    <t>TMT-B-A (s)</t>
  </si>
  <si>
    <t>WAIS-IV</t>
  </si>
  <si>
    <t>Wechsler Adult Intelligence Scale, Fourth Edition</t>
  </si>
  <si>
    <t>Coding (WAIS-IV)(1-19)</t>
  </si>
  <si>
    <t>Symbol search (WAIS-IV)</t>
  </si>
  <si>
    <t>Verbal fluency test</t>
  </si>
  <si>
    <t>Verbal fluency test (n)</t>
  </si>
  <si>
    <t>Semantic fluency test</t>
  </si>
  <si>
    <t>Semantic fluency test (animals) (n)</t>
  </si>
  <si>
    <t>Fluency phonemic fluency test</t>
  </si>
  <si>
    <t>Fluency phonemic fluency test (n)</t>
  </si>
  <si>
    <t>Phonemic_test</t>
  </si>
  <si>
    <t>ACE-R</t>
  </si>
  <si>
    <t>Addenbrooke’s Cognitive EvaluationeRevised</t>
  </si>
  <si>
    <t>ACE-R (0-100)</t>
  </si>
  <si>
    <t>The Fuld Object Memory Evaluation</t>
  </si>
  <si>
    <t>FOME (0-60)</t>
  </si>
  <si>
    <t>Symbol Digit Modalities Test</t>
  </si>
  <si>
    <t>SDMT ( correct answers)</t>
  </si>
  <si>
    <t>ADAS-Cog 11</t>
  </si>
  <si>
    <t>Alzheimer’s Disease Assessment</t>
  </si>
  <si>
    <t>ADAS-Cog 11 (0-70)</t>
  </si>
  <si>
    <t>Wechsler Memory Scale Revised [WMS-R]</t>
  </si>
  <si>
    <t xml:space="preserve">Digit span forward </t>
  </si>
  <si>
    <t>Digit span forward test</t>
  </si>
  <si>
    <t>Digit_forward</t>
  </si>
  <si>
    <t xml:space="preserve">Visual memory span forward </t>
  </si>
  <si>
    <t>Visual memory span forward test</t>
  </si>
  <si>
    <t xml:space="preserve">Vispan_forward </t>
  </si>
  <si>
    <t>Visual memory span backward</t>
  </si>
  <si>
    <t>Visual_backward</t>
  </si>
  <si>
    <t>digit span backward test</t>
  </si>
  <si>
    <t xml:space="preserve">Digit_backward </t>
  </si>
  <si>
    <t xml:space="preserve">8-Words test–direct recall </t>
  </si>
  <si>
    <t>8-Words test–direct recall test</t>
  </si>
  <si>
    <t xml:space="preserve">8word_recall </t>
  </si>
  <si>
    <t>8-Words test–recognition</t>
  </si>
  <si>
    <t>8-Words test–recognition test</t>
  </si>
  <si>
    <t>8word_recog</t>
  </si>
  <si>
    <t>Rivermead Behavioral Memory Test [RBMT])</t>
  </si>
  <si>
    <t>Faces recognition test</t>
  </si>
  <si>
    <t>Faces_recog</t>
  </si>
  <si>
    <t>Picture recognition test</t>
  </si>
  <si>
    <t>Pic_recog</t>
  </si>
  <si>
    <t>Face recognition test</t>
  </si>
  <si>
    <t>Face_recog</t>
  </si>
  <si>
    <t>Brief Cognitive Screening Battery (BCSB tests)</t>
  </si>
  <si>
    <t>Identification/nomination</t>
  </si>
  <si>
    <t>BCSB_iden</t>
  </si>
  <si>
    <t>Incidental memory</t>
  </si>
  <si>
    <t>BCSB_inci</t>
  </si>
  <si>
    <t>Immediate memory</t>
  </si>
  <si>
    <t>BCSB_imme</t>
  </si>
  <si>
    <t>Learning memory</t>
  </si>
  <si>
    <t>BCSB_ler</t>
  </si>
  <si>
    <t>Delayed memory</t>
  </si>
  <si>
    <t>BCSB_del</t>
  </si>
  <si>
    <t>Recognition</t>
  </si>
  <si>
    <t>BCSB_recog</t>
  </si>
  <si>
    <t>Clock Drawing Test</t>
  </si>
  <si>
    <t>Clock_test</t>
  </si>
  <si>
    <t>Short Portable Mental Status Questionnaire (SPMSQ; Pfeiffer, 1975)</t>
  </si>
  <si>
    <t>Pfeiffer_Score (0-10)</t>
  </si>
  <si>
    <t>Pfeiffer_Sco</t>
  </si>
  <si>
    <t>BNT</t>
  </si>
  <si>
    <t>Boston Naming Test</t>
  </si>
  <si>
    <t>Auditory Verbal Learning Test (AVLT)</t>
  </si>
  <si>
    <t>long-delay free recall test</t>
  </si>
  <si>
    <t>LTM</t>
  </si>
  <si>
    <t>the immediate recall test</t>
  </si>
  <si>
    <t>STM</t>
  </si>
  <si>
    <t>Severe Impairment Battery – Short Form</t>
  </si>
  <si>
    <t>SIB-S (0-50)</t>
  </si>
  <si>
    <t xml:space="preserve">SIB-S </t>
  </si>
  <si>
    <t>ERFC</t>
  </si>
  <si>
    <t>Rapid Evaluation of Cognitive Function</t>
  </si>
  <si>
    <t>ERFC (0-50)</t>
  </si>
  <si>
    <t>EuroQol 5 Dimensions</t>
  </si>
  <si>
    <t>Eq-5d-utility ( entre -1 y 1)</t>
  </si>
  <si>
    <t>36-Item Short Form Health Survey</t>
  </si>
  <si>
    <t>sf36_Physical (0-100)</t>
  </si>
  <si>
    <t>sf36_Mental (0-100)</t>
  </si>
  <si>
    <t>sf36_total (0-100)</t>
  </si>
  <si>
    <t>QoL-AD</t>
  </si>
  <si>
    <t>Quality of life in Alzheimer’s disease</t>
  </si>
  <si>
    <t>QoL-AD (13-52)</t>
  </si>
  <si>
    <t>SF-12</t>
  </si>
  <si>
    <t>12-Item Short Form Survey.</t>
  </si>
  <si>
    <t>SF-12_Physical Score (0-100)</t>
  </si>
  <si>
    <t>SF-12_Mental Score (0-100)</t>
  </si>
  <si>
    <t xml:space="preserve">COPM </t>
  </si>
  <si>
    <t>Canadian Occupational Performance Measure</t>
  </si>
  <si>
    <t>COPM_performance (1-10)</t>
  </si>
  <si>
    <t>Quality of Life| The World Health Organization</t>
  </si>
  <si>
    <t>WHOQOL (0-100)</t>
  </si>
  <si>
    <t xml:space="preserve"> The World Health Organization Quality of Life of Life-Older </t>
  </si>
  <si>
    <t>WHOQL-OLD (0-120)</t>
  </si>
  <si>
    <t xml:space="preserve"> Dementia Quality of Life Instrument</t>
  </si>
  <si>
    <t xml:space="preserve"> Dementia Quality of Life Instrument (0-5)</t>
  </si>
  <si>
    <t xml:space="preserve"> Dementia Quality of Life Instrument (29-145)</t>
  </si>
  <si>
    <t>QUALID</t>
  </si>
  <si>
    <t>The quality of life in late-stage dementia scale</t>
  </si>
  <si>
    <t>QUALID (11-55)</t>
  </si>
  <si>
    <t>Qualidem</t>
  </si>
  <si>
    <t>Dementia-specific Quality of Life Instrument</t>
  </si>
  <si>
    <t>Qualidem-Overall</t>
  </si>
  <si>
    <t>Qualidem_ove</t>
  </si>
  <si>
    <t>SF-8</t>
  </si>
  <si>
    <t>SF-8 Healthy Survey</t>
  </si>
  <si>
    <t xml:space="preserve">SF-8_Physical Score </t>
  </si>
  <si>
    <t xml:space="preserve">SF-8_Mental Score </t>
  </si>
  <si>
    <t>Dependence</t>
  </si>
  <si>
    <t>Barthel Index</t>
  </si>
  <si>
    <t>Barthel (0-100)</t>
  </si>
  <si>
    <t>Adl_Barthel (0-20)</t>
  </si>
  <si>
    <t>Berg Balance Scale</t>
  </si>
  <si>
    <t>Berg (0-56)</t>
  </si>
  <si>
    <t>Kihon Checklist</t>
  </si>
  <si>
    <t>Kihon (0-25)</t>
  </si>
  <si>
    <t>motor Functional
Independence Measure</t>
  </si>
  <si>
    <t>mFIM (13-91)</t>
  </si>
  <si>
    <t>Chinese version of Clinical Frailty Scale</t>
  </si>
  <si>
    <t>CFS-C (1-9)</t>
  </si>
  <si>
    <t>E-ADL</t>
  </si>
  <si>
    <t>Erlangen Test of Activities of Daily Living</t>
  </si>
  <si>
    <t>E-ADL (0-30)</t>
  </si>
  <si>
    <t>PPT-7</t>
  </si>
  <si>
    <t>7-item Physical Performance Test</t>
  </si>
  <si>
    <t>PPT-7 (0-28)</t>
  </si>
  <si>
    <t>Katz Index</t>
  </si>
  <si>
    <t>Katz Index clasic (0-6)</t>
  </si>
  <si>
    <t>Katz Index long (6-24)</t>
  </si>
  <si>
    <t>Katz_long</t>
  </si>
  <si>
    <t>Functional Independence Measure</t>
  </si>
  <si>
    <t>FIM (13-91)</t>
  </si>
  <si>
    <t>FIM</t>
  </si>
  <si>
    <t xml:space="preserve">Lawton Index </t>
  </si>
  <si>
    <t>Lawton Index (0-8)</t>
  </si>
  <si>
    <t>Rivermead Mobility Index</t>
  </si>
  <si>
    <t>Physical activity</t>
  </si>
  <si>
    <t>Total_activity</t>
  </si>
  <si>
    <t>Total Physical Activity</t>
  </si>
  <si>
    <t>Total_activity (min/day)</t>
  </si>
  <si>
    <t>Light Physical Activity</t>
  </si>
  <si>
    <t>Moderate-to-Vigorous Physical Activity</t>
  </si>
  <si>
    <t>Daily step count</t>
  </si>
  <si>
    <t>Fall</t>
  </si>
  <si>
    <t>Number of falls</t>
  </si>
  <si>
    <t>fall (n)</t>
  </si>
  <si>
    <t>TINETTI</t>
  </si>
  <si>
    <t>Tinetti test</t>
  </si>
  <si>
    <t>Balance (0 -16)</t>
  </si>
  <si>
    <t>Gait (0 -12)</t>
  </si>
  <si>
    <t>Total (0-28)</t>
  </si>
  <si>
    <t>Fear fall</t>
  </si>
  <si>
    <t>Falls Efficacy Scale – International</t>
  </si>
  <si>
    <t>FES-I (16 - 64)</t>
  </si>
  <si>
    <t xml:space="preserve">Falls Efficacy Scale </t>
  </si>
  <si>
    <t>FES-I (0-100)</t>
  </si>
  <si>
    <t>Short FES-I</t>
  </si>
  <si>
    <t>Short Falls Efficacy Scale International</t>
  </si>
  <si>
    <t>Short FES-I (7-28)</t>
  </si>
  <si>
    <t>Short_FES-I</t>
  </si>
  <si>
    <t>RAFS II</t>
  </si>
  <si>
    <t>Fall Risk Assessment</t>
  </si>
  <si>
    <t>RAFS II (1-39)</t>
  </si>
  <si>
    <t xml:space="preserve">Depression </t>
  </si>
  <si>
    <t>BDI (puede encontrarse como BDI-IA o BDI-II)</t>
  </si>
  <si>
    <t>Beck Depression Scale/Inventori</t>
  </si>
  <si>
    <t>BDI (0-63)</t>
  </si>
  <si>
    <t>GDS</t>
  </si>
  <si>
    <t>Geriatric Depression Scale</t>
  </si>
  <si>
    <t>GDS-15 (0-15)</t>
  </si>
  <si>
    <t>GDS-30 (0-30)</t>
  </si>
  <si>
    <t>Center for Epidemiological Studies Depression Scale</t>
  </si>
  <si>
    <t>CES-D (0-22)</t>
  </si>
  <si>
    <t>HADS</t>
  </si>
  <si>
    <t xml:space="preserve">Hospital Anxiety and Depression Scale </t>
  </si>
  <si>
    <t>HADS-Subscale-Depression (0-7)</t>
  </si>
  <si>
    <t>GADS</t>
  </si>
  <si>
    <t xml:space="preserve">Anxiety and Depression Scale Goldberg </t>
  </si>
  <si>
    <t>Goldberg-Subscale-Depression (0-9)</t>
  </si>
  <si>
    <t>Taiwanese Depression Questionnaire</t>
  </si>
  <si>
    <t>TDQ (0-54)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</si>
</sst>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b/>
      <sz val="11"/>
      <color rgb="FF000000"/>
      <name val="Calibri"/>
      <family val="2"/>
    </font>
    <font>
      <sz val="11"/>
      <color theme="1"/>
      <name val="Calibri"/>
      <family val="2"/>
    </font>
    <font>
      <sz val="11"/>
      <color rgb="FF000000"/>
      <name val="Calibri"/>
      <family val="2"/>
    </font>
    <font>
      <sz val="11"/>
      <color theme="1"/>
      <name val="Arial"/>
      <family val="2"/>
    </font>
    <font>
      <sz val="11"/>
      <color rgb="FF000000"/>
      <name val="Roboto"/>
    </font>
    <font>
      <sz val="11"/>
      <color rgb="FF000000"/>
      <name val="Arial"/>
      <family val="2"/>
    </font>
    <font>
      <sz val="11"/>
      <color rgb="FFFF0000"/>
      <name val="Calibri"/>
      <family val="2"/>
    </font>
    <font>
      <b/>
      <sz val="11"/>
      <color theme="1"/>
      <name val="Arial"/>
      <family val="2"/>
    </font>
    <font>
      <b/>
      <sz val="11"/>
      <color theme="1"/>
      <name val="Calibri"/>
      <family val="2"/>
      <scheme val="minor"/>
    </font>
    <font>
      <sz val="8"/>
      <name val="Calibri"/>
      <family val="2"/>
      <scheme val="minor"/>
    </font>
    <font>
      <sz val="14"/>
      <color rgb="FFFF0000"/>
      <name val="Calibri"/>
      <family val="2"/>
    </font>
    <font>
      <sz val="11"/>
      <name val="Calibri"/>
      <family val="2"/>
    </font>
    <font>
      <sz val="16"/>
      <color rgb="FFFF0000"/>
      <name val="Calibri"/>
      <family val="2"/>
    </font>
    <font>
      <sz val="8"/>
      <name val="Calibri"/>
      <family val="2"/>
      <scheme val="minor"/>
    </font>
    <font>
      <sz val="11"/>
      <color theme="3"/>
      <name val="Calibri"/>
      <family val="2"/>
    </font>
    <font>
      <sz val="11"/>
      <name val="Arial"/>
      <family val="2"/>
    </font>
    <font>
      <sz val="11"/>
      <name val="Calibri"/>
      <family val="2"/>
      <scheme val="minor"/>
    </font>
    <font>
      <sz val="14"/>
      <color rgb="FF000000"/>
      <name val="Calibri"/>
      <family val="2"/>
    </font>
    <font>
      <sz val="15"/>
      <color rgb="FF3C2323"/>
      <name val="Rubik"/>
      <charset val="1"/>
    </font>
  </fonts>
  <fills count="25">
    <fill>
      <patternFill patternType="none"/>
    </fill>
    <fill>
      <patternFill patternType="gray125"/>
    </fill>
    <fill>
      <patternFill patternType="solid">
        <fgColor rgb="FF00FF00"/>
        <bgColor rgb="FF00FF00"/>
      </patternFill>
    </fill>
    <fill>
      <patternFill patternType="solid">
        <fgColor rgb="FFFFD666"/>
        <bgColor rgb="FFFFD666"/>
      </patternFill>
    </fill>
    <fill>
      <patternFill patternType="solid">
        <fgColor rgb="FFFFFF00"/>
        <bgColor rgb="FFFFFF00"/>
      </patternFill>
    </fill>
    <fill>
      <patternFill patternType="solid">
        <fgColor rgb="FFFFFFFF"/>
        <bgColor rgb="FFFFFFFF"/>
      </patternFill>
    </fill>
    <fill>
      <patternFill patternType="solid">
        <fgColor theme="5" tint="0.79998168889431442"/>
        <bgColor rgb="FFFBE4D5"/>
      </patternFill>
    </fill>
    <fill>
      <patternFill patternType="solid">
        <fgColor theme="5" tint="0.79998168889431442"/>
        <bgColor theme="0"/>
      </patternFill>
    </fill>
    <fill>
      <patternFill patternType="solid">
        <fgColor theme="5" tint="0.79998168889431442"/>
        <bgColor indexed="64"/>
      </patternFill>
    </fill>
    <fill>
      <patternFill patternType="solid">
        <fgColor theme="4" tint="0.79998168889431442"/>
        <bgColor rgb="FF00FFFF"/>
      </patternFill>
    </fill>
    <fill>
      <patternFill patternType="solid">
        <fgColor theme="4" tint="0.79998168889431442"/>
        <bgColor rgb="FFFF0000"/>
      </patternFill>
    </fill>
    <fill>
      <patternFill patternType="solid">
        <fgColor theme="4" tint="0.79998168889431442"/>
        <bgColor indexed="64"/>
      </patternFill>
    </fill>
    <fill>
      <patternFill patternType="solid">
        <fgColor theme="6" tint="0.79998168889431442"/>
        <bgColor indexed="64"/>
      </patternFill>
    </fill>
    <fill>
      <patternFill patternType="solid">
        <fgColor theme="6" tint="0.79998168889431442"/>
        <bgColor rgb="FFFF0000"/>
      </patternFill>
    </fill>
    <fill>
      <patternFill patternType="solid">
        <fgColor theme="9" tint="0.79998168889431442"/>
        <bgColor indexed="64"/>
      </patternFill>
    </fill>
    <fill>
      <patternFill patternType="solid">
        <fgColor theme="9" tint="0.79998168889431442"/>
        <bgColor rgb="FFFF0000"/>
      </patternFill>
    </fill>
    <fill>
      <patternFill patternType="solid">
        <fgColor theme="5" tint="0.59999389629810485"/>
        <bgColor rgb="FF00FF00"/>
      </patternFill>
    </fill>
    <fill>
      <patternFill patternType="solid">
        <fgColor theme="6" tint="0.59999389629810485"/>
        <bgColor indexed="64"/>
      </patternFill>
    </fill>
    <fill>
      <patternFill patternType="solid">
        <fgColor theme="0" tint="-0.14999847407452621"/>
        <bgColor indexed="64"/>
      </patternFill>
    </fill>
    <fill>
      <patternFill patternType="solid">
        <fgColor rgb="FF28EB07"/>
        <bgColor rgb="FF00FF00"/>
      </patternFill>
    </fill>
    <fill>
      <patternFill patternType="solid">
        <fgColor theme="2" tint="-0.14999847407452621"/>
        <bgColor indexed="64"/>
      </patternFill>
    </fill>
    <fill>
      <patternFill patternType="solid">
        <fgColor theme="2" tint="-0.14999847407452621"/>
        <bgColor theme="0"/>
      </patternFill>
    </fill>
    <fill>
      <patternFill patternType="solid">
        <fgColor rgb="FFFCE4D6"/>
        <bgColor rgb="FF000000"/>
      </patternFill>
    </fill>
    <fill>
      <patternFill patternType="solid">
        <fgColor rgb="FFDDEBF7"/>
        <bgColor rgb="FF000000"/>
      </patternFill>
    </fill>
    <fill>
      <patternFill patternType="solid">
        <fgColor rgb="FFFFFF00"/>
        <bgColor indexed="64"/>
      </patternFill>
    </fill>
  </fills>
  <borders count="30">
    <border>
      <left/>
      <right/>
      <top/>
      <bottom/>
      <diagonal/>
    </border>
    <border>
      <left/>
      <right/>
      <top/>
      <bottom style="thin">
        <color rgb="FF000000"/>
      </bottom>
      <diagonal/>
    </border>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thin">
        <color rgb="FF000000"/>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rgb="FF000000"/>
      </bottom>
      <diagonal/>
    </border>
    <border>
      <left/>
      <right/>
      <top style="thin">
        <color rgb="FF000000"/>
      </top>
      <bottom/>
      <diagonal/>
    </border>
    <border>
      <left style="thin">
        <color indexed="64"/>
      </left>
      <right/>
      <top style="thin">
        <color rgb="FF000000"/>
      </top>
      <bottom/>
      <diagonal/>
    </border>
  </borders>
  <cellStyleXfs count="1">
    <xf numFmtId="0" fontId="0" fillId="0" borderId="0"/>
  </cellStyleXfs>
  <cellXfs count="351">
    <xf numFmtId="0" fontId="0" fillId="0" borderId="0" xfId="0"/>
    <xf numFmtId="0" fontId="6" fillId="0" borderId="0" xfId="0" applyFont="1" applyAlignment="1">
      <alignment wrapText="1"/>
    </xf>
    <xf numFmtId="0" fontId="6" fillId="0" borderId="0" xfId="0" applyFont="1"/>
    <xf numFmtId="0" fontId="9" fillId="5" borderId="2" xfId="0" applyFont="1" applyFill="1" applyBorder="1"/>
    <xf numFmtId="0" fontId="4" fillId="0" borderId="0" xfId="0" applyFont="1"/>
    <xf numFmtId="0" fontId="8" fillId="0" borderId="0" xfId="0" applyFont="1"/>
    <xf numFmtId="0" fontId="12" fillId="0" borderId="0" xfId="0" applyFont="1" applyAlignment="1">
      <alignment horizontal="center"/>
    </xf>
    <xf numFmtId="0" fontId="12" fillId="0" borderId="0" xfId="0" applyFont="1"/>
    <xf numFmtId="0" fontId="8" fillId="5" borderId="2" xfId="0" applyFont="1" applyFill="1" applyBorder="1"/>
    <xf numFmtId="0" fontId="8" fillId="0" borderId="0" xfId="0" applyFont="1" applyAlignment="1">
      <alignment wrapText="1"/>
    </xf>
    <xf numFmtId="0" fontId="0" fillId="0" borderId="0" xfId="0" applyAlignment="1">
      <alignment wrapText="1"/>
    </xf>
    <xf numFmtId="0" fontId="7" fillId="2" borderId="2" xfId="0" applyFont="1" applyFill="1" applyBorder="1" applyAlignment="1">
      <alignment horizontal="center" vertical="center" wrapText="1"/>
    </xf>
    <xf numFmtId="0" fontId="7" fillId="9" borderId="2" xfId="0" applyFont="1" applyFill="1" applyBorder="1" applyAlignment="1">
      <alignment horizontal="center" vertical="center" wrapText="1"/>
    </xf>
    <xf numFmtId="0" fontId="7" fillId="14" borderId="2" xfId="0" applyFont="1" applyFill="1" applyBorder="1" applyAlignment="1">
      <alignment horizontal="center" vertical="center" wrapText="1"/>
    </xf>
    <xf numFmtId="0" fontId="0" fillId="0" borderId="0" xfId="0" applyAlignment="1">
      <alignment horizontal="center" vertical="center"/>
    </xf>
    <xf numFmtId="2" fontId="8" fillId="3" borderId="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13" fillId="15" borderId="2" xfId="0" applyFont="1" applyFill="1" applyBorder="1" applyAlignment="1">
      <alignment horizontal="center" textRotation="45"/>
    </xf>
    <xf numFmtId="0" fontId="6" fillId="0" borderId="5" xfId="0" applyFont="1" applyBorder="1"/>
    <xf numFmtId="0" fontId="0" fillId="0" borderId="5" xfId="0" applyBorder="1"/>
    <xf numFmtId="0" fontId="6" fillId="0" borderId="2" xfId="0" applyFont="1" applyBorder="1"/>
    <xf numFmtId="0" fontId="4" fillId="0" borderId="2" xfId="0" applyFont="1" applyBorder="1" applyAlignment="1">
      <alignment wrapText="1"/>
    </xf>
    <xf numFmtId="0" fontId="0" fillId="0" borderId="2" xfId="0" applyBorder="1"/>
    <xf numFmtId="0" fontId="6" fillId="0" borderId="8" xfId="0" applyFont="1" applyBorder="1"/>
    <xf numFmtId="0" fontId="6" fillId="0" borderId="3" xfId="0" applyFont="1" applyBorder="1"/>
    <xf numFmtId="0" fontId="6" fillId="0" borderId="9" xfId="0" applyFont="1" applyBorder="1"/>
    <xf numFmtId="0" fontId="0" fillId="0" borderId="3" xfId="0" applyBorder="1"/>
    <xf numFmtId="0" fontId="4" fillId="11" borderId="5" xfId="0" applyFont="1" applyFill="1" applyBorder="1" applyAlignment="1">
      <alignment horizontal="center" vertical="center" wrapText="1"/>
    </xf>
    <xf numFmtId="0" fontId="4" fillId="11" borderId="5" xfId="0" applyFont="1" applyFill="1" applyBorder="1" applyAlignment="1">
      <alignment horizontal="center" vertical="center"/>
    </xf>
    <xf numFmtId="0" fontId="4" fillId="0" borderId="2" xfId="0" applyFont="1" applyBorder="1"/>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5" xfId="0" applyFont="1" applyBorder="1"/>
    <xf numFmtId="0" fontId="13" fillId="0" borderId="5" xfId="0" applyFont="1" applyBorder="1"/>
    <xf numFmtId="0" fontId="13" fillId="0" borderId="5" xfId="0" applyFont="1" applyBorder="1" applyAlignment="1">
      <alignment horizontal="center" vertical="center"/>
    </xf>
    <xf numFmtId="0" fontId="4" fillId="0" borderId="5" xfId="0" applyFont="1" applyBorder="1" applyAlignment="1">
      <alignment horizontal="center" vertical="center"/>
    </xf>
    <xf numFmtId="0" fontId="6" fillId="0" borderId="5" xfId="0" applyFont="1" applyBorder="1" applyAlignment="1">
      <alignment horizontal="left" vertical="center"/>
    </xf>
    <xf numFmtId="0" fontId="6" fillId="0" borderId="0" xfId="0" applyFont="1" applyAlignment="1">
      <alignment horizontal="center" vertical="center" wrapText="1"/>
    </xf>
    <xf numFmtId="0" fontId="0" fillId="0" borderId="0" xfId="0" applyAlignment="1">
      <alignment horizontal="center" vertical="center" wrapText="1"/>
    </xf>
    <xf numFmtId="2" fontId="5" fillId="16" borderId="1" xfId="0" applyNumberFormat="1" applyFont="1" applyFill="1" applyBorder="1" applyAlignment="1">
      <alignment horizontal="left"/>
    </xf>
    <xf numFmtId="2" fontId="5" fillId="16" borderId="1" xfId="0" applyNumberFormat="1" applyFont="1" applyFill="1" applyBorder="1" applyAlignment="1">
      <alignment horizontal="left" wrapText="1"/>
    </xf>
    <xf numFmtId="0" fontId="4" fillId="16" borderId="5" xfId="0" applyFont="1" applyFill="1" applyBorder="1" applyAlignment="1">
      <alignment horizontal="center" wrapText="1"/>
    </xf>
    <xf numFmtId="0" fontId="6" fillId="0" borderId="6" xfId="0" applyFont="1" applyBorder="1"/>
    <xf numFmtId="0" fontId="0" fillId="0" borderId="2" xfId="0" applyBorder="1" applyAlignment="1">
      <alignment horizontal="center" vertical="center"/>
    </xf>
    <xf numFmtId="0" fontId="6" fillId="0" borderId="2" xfId="0" applyFont="1" applyBorder="1" applyAlignment="1">
      <alignment horizontal="center" vertical="center"/>
    </xf>
    <xf numFmtId="0" fontId="6" fillId="14" borderId="2" xfId="0" applyFont="1" applyFill="1" applyBorder="1" applyAlignment="1">
      <alignment horizontal="center" vertical="center"/>
    </xf>
    <xf numFmtId="0" fontId="0" fillId="14" borderId="2" xfId="0" applyFill="1" applyBorder="1" applyAlignment="1">
      <alignment horizontal="center" vertical="center"/>
    </xf>
    <xf numFmtId="2" fontId="7" fillId="8" borderId="2" xfId="0" applyNumberFormat="1" applyFont="1" applyFill="1" applyBorder="1" applyAlignment="1">
      <alignment horizontal="center" vertical="center" wrapText="1"/>
    </xf>
    <xf numFmtId="2" fontId="6" fillId="8" borderId="2" xfId="0" applyNumberFormat="1" applyFont="1" applyFill="1" applyBorder="1" applyAlignment="1">
      <alignment horizontal="center" vertical="center"/>
    </xf>
    <xf numFmtId="0" fontId="7" fillId="14" borderId="2" xfId="0" applyFont="1" applyFill="1" applyBorder="1" applyAlignment="1">
      <alignment horizontal="center" vertical="center"/>
    </xf>
    <xf numFmtId="2" fontId="6" fillId="2" borderId="2" xfId="0" applyNumberFormat="1" applyFont="1" applyFill="1" applyBorder="1" applyAlignment="1">
      <alignment horizontal="center" vertical="center" wrapText="1"/>
    </xf>
    <xf numFmtId="0" fontId="6" fillId="12" borderId="2" xfId="0" applyFont="1" applyFill="1" applyBorder="1" applyAlignment="1">
      <alignment horizontal="center" vertical="center" wrapText="1"/>
    </xf>
    <xf numFmtId="0" fontId="6" fillId="8" borderId="2" xfId="0" applyFont="1" applyFill="1" applyBorder="1" applyAlignment="1">
      <alignment horizontal="center" vertical="center"/>
    </xf>
    <xf numFmtId="0" fontId="16" fillId="0" borderId="2" xfId="0" applyFont="1" applyBorder="1" applyAlignment="1">
      <alignment horizontal="center" vertical="center" wrapText="1"/>
    </xf>
    <xf numFmtId="0" fontId="16" fillId="9" borderId="2" xfId="0" applyFont="1" applyFill="1" applyBorder="1" applyAlignment="1">
      <alignment horizontal="center" vertical="center" wrapText="1"/>
    </xf>
    <xf numFmtId="0" fontId="16" fillId="2" borderId="2" xfId="0" applyFont="1" applyFill="1" applyBorder="1" applyAlignment="1">
      <alignment horizontal="center" vertical="center" wrapText="1"/>
    </xf>
    <xf numFmtId="2" fontId="16" fillId="8" borderId="2" xfId="0" applyNumberFormat="1" applyFont="1" applyFill="1" applyBorder="1" applyAlignment="1">
      <alignment horizontal="center" vertical="center" wrapText="1"/>
    </xf>
    <xf numFmtId="2" fontId="16" fillId="8" borderId="2" xfId="0" applyNumberFormat="1" applyFont="1" applyFill="1" applyBorder="1" applyAlignment="1">
      <alignment horizontal="center" vertical="center"/>
    </xf>
    <xf numFmtId="0" fontId="16" fillId="8" borderId="2" xfId="0" applyFont="1" applyFill="1" applyBorder="1" applyAlignment="1">
      <alignment horizontal="center" vertical="center"/>
    </xf>
    <xf numFmtId="0" fontId="20" fillId="3" borderId="2" xfId="0" applyFont="1" applyFill="1" applyBorder="1" applyAlignment="1">
      <alignment horizontal="center" vertical="center" wrapText="1"/>
    </xf>
    <xf numFmtId="0" fontId="16" fillId="14" borderId="2" xfId="0" applyFont="1" applyFill="1" applyBorder="1" applyAlignment="1">
      <alignment horizontal="center" vertical="center" wrapText="1"/>
    </xf>
    <xf numFmtId="0" fontId="16" fillId="14" borderId="2" xfId="0" applyFont="1" applyFill="1" applyBorder="1" applyAlignment="1">
      <alignment horizontal="center" vertical="center"/>
    </xf>
    <xf numFmtId="0" fontId="0" fillId="0" borderId="2" xfId="0" applyBorder="1" applyAlignment="1">
      <alignment horizontal="center"/>
    </xf>
    <xf numFmtId="0" fontId="0" fillId="8" borderId="2" xfId="0" applyFill="1" applyBorder="1" applyAlignment="1">
      <alignment horizontal="center" vertical="center"/>
    </xf>
    <xf numFmtId="2" fontId="7" fillId="2" borderId="2" xfId="0" applyNumberFormat="1" applyFont="1" applyFill="1" applyBorder="1" applyAlignment="1">
      <alignment horizontal="center" vertical="center" wrapText="1"/>
    </xf>
    <xf numFmtId="2" fontId="7" fillId="7" borderId="2" xfId="0" applyNumberFormat="1" applyFont="1" applyFill="1" applyBorder="1" applyAlignment="1">
      <alignment horizontal="center" vertical="center" wrapText="1"/>
    </xf>
    <xf numFmtId="0" fontId="8" fillId="4" borderId="2" xfId="0" applyFont="1" applyFill="1" applyBorder="1" applyAlignment="1">
      <alignment horizontal="center" vertical="center" wrapText="1"/>
    </xf>
    <xf numFmtId="0" fontId="6" fillId="13" borderId="2" xfId="0" applyFont="1" applyFill="1" applyBorder="1" applyAlignment="1">
      <alignment horizontal="center" vertical="center" wrapText="1"/>
    </xf>
    <xf numFmtId="4" fontId="7" fillId="7" borderId="2" xfId="0" applyNumberFormat="1" applyFont="1" applyFill="1" applyBorder="1" applyAlignment="1">
      <alignment horizontal="center" vertical="center" wrapText="1"/>
    </xf>
    <xf numFmtId="0" fontId="7" fillId="7" borderId="2" xfId="0" applyFont="1" applyFill="1" applyBorder="1" applyAlignment="1">
      <alignment horizontal="center" vertical="center" wrapText="1"/>
    </xf>
    <xf numFmtId="2" fontId="6" fillId="7" borderId="2" xfId="0" applyNumberFormat="1" applyFont="1" applyFill="1" applyBorder="1" applyAlignment="1">
      <alignment horizontal="center" vertical="center"/>
    </xf>
    <xf numFmtId="0" fontId="6" fillId="7" borderId="2" xfId="0" applyFont="1" applyFill="1" applyBorder="1" applyAlignment="1">
      <alignment horizontal="center" vertical="center"/>
    </xf>
    <xf numFmtId="2" fontId="6" fillId="2" borderId="2" xfId="0" applyNumberFormat="1" applyFont="1" applyFill="1" applyBorder="1" applyAlignment="1">
      <alignment horizontal="center" vertical="center"/>
    </xf>
    <xf numFmtId="2" fontId="7" fillId="7" borderId="2" xfId="0" applyNumberFormat="1" applyFont="1" applyFill="1" applyBorder="1" applyAlignment="1">
      <alignment horizontal="center" vertical="center"/>
    </xf>
    <xf numFmtId="0" fontId="7" fillId="7" borderId="2" xfId="0" applyFont="1" applyFill="1" applyBorder="1" applyAlignment="1">
      <alignment horizontal="center" vertical="center"/>
    </xf>
    <xf numFmtId="2" fontId="6" fillId="7" borderId="2" xfId="0" applyNumberFormat="1" applyFont="1" applyFill="1" applyBorder="1" applyAlignment="1">
      <alignment horizontal="center" vertical="center" wrapText="1"/>
    </xf>
    <xf numFmtId="0" fontId="11" fillId="0" borderId="2" xfId="0" applyFont="1" applyBorder="1" applyAlignment="1">
      <alignment horizontal="center" vertical="center"/>
    </xf>
    <xf numFmtId="0" fontId="7" fillId="19" borderId="2" xfId="0" applyFont="1" applyFill="1" applyBorder="1" applyAlignment="1">
      <alignment horizontal="center" vertical="center" wrapText="1"/>
    </xf>
    <xf numFmtId="2" fontId="6" fillId="19" borderId="2" xfId="0" applyNumberFormat="1" applyFont="1" applyFill="1" applyBorder="1" applyAlignment="1">
      <alignment horizontal="center" vertical="center" wrapText="1"/>
    </xf>
    <xf numFmtId="49" fontId="6" fillId="7" borderId="2" xfId="0" applyNumberFormat="1" applyFont="1" applyFill="1" applyBorder="1" applyAlignment="1">
      <alignment horizontal="center" vertical="center"/>
    </xf>
    <xf numFmtId="0" fontId="6" fillId="7" borderId="2" xfId="0" applyFont="1" applyFill="1" applyBorder="1" applyAlignment="1">
      <alignment horizontal="center" vertical="center" wrapText="1"/>
    </xf>
    <xf numFmtId="0" fontId="0" fillId="11" borderId="2" xfId="0" applyFill="1" applyBorder="1" applyAlignment="1">
      <alignment horizontal="center" vertical="center"/>
    </xf>
    <xf numFmtId="2" fontId="6" fillId="21" borderId="2" xfId="0" applyNumberFormat="1" applyFont="1" applyFill="1" applyBorder="1" applyAlignment="1">
      <alignment horizontal="center" vertical="center"/>
    </xf>
    <xf numFmtId="0" fontId="0" fillId="20" borderId="2" xfId="0" applyFill="1" applyBorder="1" applyAlignment="1">
      <alignment horizontal="center" vertical="center"/>
    </xf>
    <xf numFmtId="0" fontId="11" fillId="12" borderId="2" xfId="0" applyFont="1" applyFill="1" applyBorder="1" applyAlignment="1">
      <alignment horizontal="center" vertical="center" wrapText="1"/>
    </xf>
    <xf numFmtId="2" fontId="6" fillId="20" borderId="2" xfId="0" applyNumberFormat="1" applyFont="1" applyFill="1" applyBorder="1" applyAlignment="1">
      <alignment horizontal="center" vertical="center"/>
    </xf>
    <xf numFmtId="2" fontId="6" fillId="17" borderId="2" xfId="0" applyNumberFormat="1" applyFont="1" applyFill="1" applyBorder="1" applyAlignment="1">
      <alignment horizontal="center" vertical="center"/>
    </xf>
    <xf numFmtId="0" fontId="6" fillId="17" borderId="2" xfId="0" applyFont="1" applyFill="1" applyBorder="1" applyAlignment="1">
      <alignment horizontal="center" vertical="center"/>
    </xf>
    <xf numFmtId="2" fontId="7" fillId="17" borderId="2" xfId="0" applyNumberFormat="1" applyFont="1" applyFill="1" applyBorder="1" applyAlignment="1">
      <alignment horizontal="center" vertical="center" wrapText="1"/>
    </xf>
    <xf numFmtId="0" fontId="0" fillId="17" borderId="2" xfId="0" applyFill="1" applyBorder="1" applyAlignment="1">
      <alignment horizontal="center" vertical="center"/>
    </xf>
    <xf numFmtId="0" fontId="6" fillId="9" borderId="2" xfId="0" applyFont="1" applyFill="1" applyBorder="1" applyAlignment="1">
      <alignment horizontal="center" vertical="center" wrapText="1"/>
    </xf>
    <xf numFmtId="0" fontId="6" fillId="2" borderId="2" xfId="0" applyFont="1" applyFill="1" applyBorder="1" applyAlignment="1">
      <alignment horizontal="center" vertical="center" wrapText="1"/>
    </xf>
    <xf numFmtId="2" fontId="6" fillId="8" borderId="2" xfId="0" applyNumberFormat="1" applyFont="1" applyFill="1" applyBorder="1" applyAlignment="1">
      <alignment horizontal="center" vertical="center" wrapText="1"/>
    </xf>
    <xf numFmtId="0" fontId="6" fillId="14" borderId="2" xfId="0" applyFont="1" applyFill="1" applyBorder="1" applyAlignment="1">
      <alignment horizontal="center" vertical="center" wrapText="1"/>
    </xf>
    <xf numFmtId="2" fontId="16" fillId="2" borderId="2" xfId="0" applyNumberFormat="1" applyFont="1" applyFill="1" applyBorder="1" applyAlignment="1">
      <alignment horizontal="center" vertical="center" wrapText="1"/>
    </xf>
    <xf numFmtId="0" fontId="20" fillId="4" borderId="2" xfId="0" applyFont="1" applyFill="1" applyBorder="1" applyAlignment="1">
      <alignment horizontal="center" vertical="center" wrapText="1"/>
    </xf>
    <xf numFmtId="0" fontId="16" fillId="12" borderId="2" xfId="0" applyFont="1" applyFill="1" applyBorder="1" applyAlignment="1">
      <alignment horizontal="center" vertical="center" wrapText="1"/>
    </xf>
    <xf numFmtId="0" fontId="21" fillId="14" borderId="2" xfId="0" applyFont="1" applyFill="1" applyBorder="1" applyAlignment="1">
      <alignment horizontal="center" vertical="center"/>
    </xf>
    <xf numFmtId="0" fontId="16" fillId="0" borderId="2" xfId="0" applyFont="1" applyBorder="1" applyAlignment="1">
      <alignment horizontal="center" vertical="center"/>
    </xf>
    <xf numFmtId="2" fontId="16" fillId="18" borderId="2" xfId="0" applyNumberFormat="1" applyFont="1" applyFill="1" applyBorder="1" applyAlignment="1">
      <alignment horizontal="center" vertical="center"/>
    </xf>
    <xf numFmtId="2" fontId="16" fillId="20" borderId="2" xfId="0" applyNumberFormat="1" applyFont="1" applyFill="1" applyBorder="1" applyAlignment="1">
      <alignment horizontal="center" vertical="center"/>
    </xf>
    <xf numFmtId="0" fontId="21" fillId="0" borderId="2" xfId="0" applyFont="1" applyBorder="1" applyAlignment="1">
      <alignment horizontal="center" vertical="center"/>
    </xf>
    <xf numFmtId="0" fontId="16" fillId="20" borderId="2" xfId="0" applyFont="1" applyFill="1" applyBorder="1" applyAlignment="1">
      <alignment horizontal="center" vertical="center"/>
    </xf>
    <xf numFmtId="0" fontId="16" fillId="20" borderId="2" xfId="0" applyFont="1" applyFill="1" applyBorder="1" applyAlignment="1">
      <alignment horizontal="center" vertical="center" wrapText="1"/>
    </xf>
    <xf numFmtId="0" fontId="21" fillId="11" borderId="2" xfId="0" applyFont="1" applyFill="1" applyBorder="1" applyAlignment="1">
      <alignment horizontal="center" vertical="center"/>
    </xf>
    <xf numFmtId="0" fontId="21" fillId="8" borderId="2" xfId="0" applyFont="1" applyFill="1" applyBorder="1" applyAlignment="1">
      <alignment horizontal="center" vertical="center"/>
    </xf>
    <xf numFmtId="0" fontId="21" fillId="12" borderId="2" xfId="0" applyFont="1" applyFill="1" applyBorder="1" applyAlignment="1">
      <alignment horizontal="center" vertical="center"/>
    </xf>
    <xf numFmtId="0" fontId="0" fillId="12" borderId="2" xfId="0" applyFill="1" applyBorder="1" applyAlignment="1">
      <alignment horizontal="center" vertical="center"/>
    </xf>
    <xf numFmtId="2" fontId="7" fillId="21" borderId="2" xfId="0" applyNumberFormat="1" applyFont="1" applyFill="1" applyBorder="1" applyAlignment="1">
      <alignment horizontal="center" vertical="center" wrapText="1"/>
    </xf>
    <xf numFmtId="0" fontId="4" fillId="0" borderId="6" xfId="0" applyFont="1" applyBorder="1" applyAlignment="1">
      <alignment horizontal="center" textRotation="90" wrapText="1"/>
    </xf>
    <xf numFmtId="0" fontId="5" fillId="9" borderId="6" xfId="0" applyFont="1" applyFill="1" applyBorder="1" applyAlignment="1">
      <alignment horizontal="center" textRotation="90" wrapText="1"/>
    </xf>
    <xf numFmtId="0" fontId="5" fillId="10" borderId="6" xfId="0" applyFont="1" applyFill="1" applyBorder="1" applyAlignment="1">
      <alignment horizontal="center" textRotation="90" wrapText="1"/>
    </xf>
    <xf numFmtId="0" fontId="4" fillId="2" borderId="6" xfId="0" applyFont="1" applyFill="1" applyBorder="1" applyAlignment="1">
      <alignment horizontal="center" textRotation="90" wrapText="1"/>
    </xf>
    <xf numFmtId="2" fontId="5" fillId="2" borderId="6" xfId="0" applyNumberFormat="1" applyFont="1" applyFill="1" applyBorder="1" applyAlignment="1">
      <alignment horizontal="center" textRotation="90" wrapText="1"/>
    </xf>
    <xf numFmtId="2" fontId="4" fillId="6" borderId="6" xfId="0" applyNumberFormat="1" applyFont="1" applyFill="1" applyBorder="1" applyAlignment="1">
      <alignment horizontal="center" textRotation="90" wrapText="1"/>
    </xf>
    <xf numFmtId="2" fontId="5" fillId="6" borderId="6" xfId="0" applyNumberFormat="1" applyFont="1" applyFill="1" applyBorder="1" applyAlignment="1">
      <alignment horizontal="center" textRotation="90" wrapText="1"/>
    </xf>
    <xf numFmtId="2" fontId="4" fillId="3" borderId="6" xfId="0" applyNumberFormat="1" applyFont="1" applyFill="1" applyBorder="1" applyAlignment="1">
      <alignment horizontal="center" textRotation="90" wrapText="1"/>
    </xf>
    <xf numFmtId="2" fontId="4" fillId="4" borderId="6" xfId="0" applyNumberFormat="1" applyFont="1" applyFill="1" applyBorder="1" applyAlignment="1">
      <alignment horizontal="center" textRotation="90" wrapText="1"/>
    </xf>
    <xf numFmtId="0" fontId="4" fillId="12" borderId="6" xfId="0" applyFont="1" applyFill="1" applyBorder="1" applyAlignment="1">
      <alignment horizontal="center" textRotation="90" wrapText="1"/>
    </xf>
    <xf numFmtId="0" fontId="4" fillId="14" borderId="6" xfId="0" applyFont="1" applyFill="1" applyBorder="1" applyAlignment="1">
      <alignment horizontal="center" textRotation="90" wrapText="1"/>
    </xf>
    <xf numFmtId="0" fontId="5" fillId="14" borderId="6" xfId="0" applyFont="1" applyFill="1" applyBorder="1" applyAlignment="1">
      <alignment horizontal="center" textRotation="90" wrapText="1"/>
    </xf>
    <xf numFmtId="0" fontId="4" fillId="14" borderId="6" xfId="0" applyFont="1" applyFill="1" applyBorder="1" applyAlignment="1">
      <alignment horizontal="center" textRotation="90"/>
    </xf>
    <xf numFmtId="0" fontId="4" fillId="15" borderId="6" xfId="0" applyFont="1" applyFill="1" applyBorder="1" applyAlignment="1">
      <alignment horizontal="center" textRotation="90"/>
    </xf>
    <xf numFmtId="0" fontId="13" fillId="15" borderId="6" xfId="0" applyFont="1" applyFill="1" applyBorder="1" applyAlignment="1">
      <alignment horizontal="center" textRotation="90"/>
    </xf>
    <xf numFmtId="0" fontId="7" fillId="0" borderId="12" xfId="0" applyFont="1" applyBorder="1" applyAlignment="1">
      <alignment horizontal="center" vertical="center" wrapText="1"/>
    </xf>
    <xf numFmtId="0" fontId="7" fillId="9" borderId="13" xfId="0" applyFont="1" applyFill="1" applyBorder="1" applyAlignment="1">
      <alignment horizontal="center" vertical="center" wrapText="1"/>
    </xf>
    <xf numFmtId="0" fontId="7" fillId="2" borderId="13" xfId="0" applyFont="1" applyFill="1" applyBorder="1" applyAlignment="1">
      <alignment horizontal="center" vertical="center" wrapText="1"/>
    </xf>
    <xf numFmtId="2" fontId="7" fillId="2" borderId="13" xfId="0" applyNumberFormat="1" applyFont="1" applyFill="1" applyBorder="1" applyAlignment="1">
      <alignment horizontal="center" vertical="center" wrapText="1"/>
    </xf>
    <xf numFmtId="2" fontId="7" fillId="7" borderId="13" xfId="0" applyNumberFormat="1" applyFont="1" applyFill="1" applyBorder="1" applyAlignment="1">
      <alignment horizontal="center" vertical="center" wrapText="1"/>
    </xf>
    <xf numFmtId="2" fontId="7" fillId="21" borderId="13" xfId="0" applyNumberFormat="1" applyFont="1" applyFill="1" applyBorder="1" applyAlignment="1">
      <alignment horizontal="center" vertical="center" wrapText="1"/>
    </xf>
    <xf numFmtId="2" fontId="8" fillId="3" borderId="13" xfId="0" applyNumberFormat="1" applyFont="1" applyFill="1" applyBorder="1" applyAlignment="1">
      <alignment horizontal="center" vertical="center" wrapText="1"/>
    </xf>
    <xf numFmtId="0" fontId="8" fillId="3" borderId="13" xfId="0" applyFont="1" applyFill="1" applyBorder="1" applyAlignment="1">
      <alignment horizontal="center" vertical="center" wrapText="1"/>
    </xf>
    <xf numFmtId="0" fontId="8" fillId="4" borderId="13" xfId="0" applyFont="1" applyFill="1" applyBorder="1" applyAlignment="1">
      <alignment horizontal="center" vertical="center" wrapText="1"/>
    </xf>
    <xf numFmtId="0" fontId="6" fillId="12" borderId="13" xfId="0" applyFont="1" applyFill="1" applyBorder="1" applyAlignment="1">
      <alignment horizontal="center" vertical="center" wrapText="1"/>
    </xf>
    <xf numFmtId="0" fontId="7" fillId="14" borderId="13" xfId="0" applyFont="1" applyFill="1" applyBorder="1" applyAlignment="1">
      <alignment horizontal="center" vertical="center" wrapText="1"/>
    </xf>
    <xf numFmtId="0" fontId="0" fillId="14" borderId="13" xfId="0" applyFill="1" applyBorder="1" applyAlignment="1">
      <alignment horizontal="center" vertical="center"/>
    </xf>
    <xf numFmtId="0" fontId="6" fillId="14" borderId="13" xfId="0" applyFont="1" applyFill="1" applyBorder="1" applyAlignment="1">
      <alignment horizontal="center" vertical="center"/>
    </xf>
    <xf numFmtId="0" fontId="0" fillId="14" borderId="14" xfId="0" applyFill="1" applyBorder="1" applyAlignment="1">
      <alignment horizontal="center" vertical="center"/>
    </xf>
    <xf numFmtId="0" fontId="7" fillId="0" borderId="15" xfId="0" applyFont="1" applyBorder="1" applyAlignment="1">
      <alignment horizontal="center" vertical="center" wrapText="1"/>
    </xf>
    <xf numFmtId="0" fontId="0" fillId="14" borderId="16" xfId="0" applyFill="1" applyBorder="1" applyAlignment="1">
      <alignment horizontal="center" vertical="center"/>
    </xf>
    <xf numFmtId="0" fontId="7" fillId="0" borderId="17" xfId="0" applyFont="1" applyBorder="1" applyAlignment="1">
      <alignment horizontal="center" vertical="center" wrapText="1"/>
    </xf>
    <xf numFmtId="0" fontId="7" fillId="9" borderId="18" xfId="0" applyFont="1" applyFill="1" applyBorder="1" applyAlignment="1">
      <alignment horizontal="center" vertical="center" wrapText="1"/>
    </xf>
    <xf numFmtId="0" fontId="7" fillId="2" borderId="18" xfId="0" applyFont="1" applyFill="1" applyBorder="1" applyAlignment="1">
      <alignment horizontal="center" vertical="center" wrapText="1"/>
    </xf>
    <xf numFmtId="2" fontId="7" fillId="2" borderId="18" xfId="0" applyNumberFormat="1" applyFont="1" applyFill="1" applyBorder="1" applyAlignment="1">
      <alignment horizontal="center" vertical="center" wrapText="1"/>
    </xf>
    <xf numFmtId="2" fontId="7" fillId="7" borderId="18" xfId="0" applyNumberFormat="1" applyFont="1" applyFill="1" applyBorder="1" applyAlignment="1">
      <alignment horizontal="center" vertical="center" wrapText="1"/>
    </xf>
    <xf numFmtId="2" fontId="7" fillId="21" borderId="18" xfId="0" applyNumberFormat="1" applyFont="1" applyFill="1" applyBorder="1" applyAlignment="1">
      <alignment horizontal="center" vertical="center" wrapText="1"/>
    </xf>
    <xf numFmtId="0" fontId="7" fillId="14" borderId="18" xfId="0" applyFont="1" applyFill="1" applyBorder="1" applyAlignment="1">
      <alignment horizontal="center" vertical="center" wrapText="1"/>
    </xf>
    <xf numFmtId="0" fontId="6" fillId="14" borderId="18" xfId="0" applyFont="1" applyFill="1" applyBorder="1" applyAlignment="1">
      <alignment horizontal="center" vertical="center"/>
    </xf>
    <xf numFmtId="0" fontId="0" fillId="14" borderId="18" xfId="0" applyFill="1" applyBorder="1" applyAlignment="1">
      <alignment horizontal="center" vertical="center"/>
    </xf>
    <xf numFmtId="0" fontId="0" fillId="14" borderId="19" xfId="0" applyFill="1" applyBorder="1" applyAlignment="1">
      <alignment horizontal="center" vertical="center"/>
    </xf>
    <xf numFmtId="4" fontId="7" fillId="7" borderId="13" xfId="0" applyNumberFormat="1" applyFont="1" applyFill="1" applyBorder="1" applyAlignment="1">
      <alignment horizontal="center" vertical="center" wrapText="1"/>
    </xf>
    <xf numFmtId="0" fontId="6" fillId="12" borderId="18" xfId="0" applyFont="1" applyFill="1" applyBorder="1" applyAlignment="1">
      <alignment horizontal="center" vertical="center" wrapText="1"/>
    </xf>
    <xf numFmtId="2" fontId="6" fillId="7" borderId="13" xfId="0" applyNumberFormat="1" applyFont="1" applyFill="1" applyBorder="1" applyAlignment="1">
      <alignment horizontal="center" vertical="center"/>
    </xf>
    <xf numFmtId="2" fontId="6" fillId="2" borderId="18" xfId="0" applyNumberFormat="1" applyFont="1" applyFill="1" applyBorder="1" applyAlignment="1">
      <alignment horizontal="center" vertical="center"/>
    </xf>
    <xf numFmtId="2" fontId="7" fillId="7" borderId="18" xfId="0" applyNumberFormat="1" applyFont="1" applyFill="1" applyBorder="1" applyAlignment="1">
      <alignment horizontal="center" vertical="center"/>
    </xf>
    <xf numFmtId="0" fontId="6" fillId="21" borderId="2" xfId="0" applyFont="1" applyFill="1" applyBorder="1" applyAlignment="1">
      <alignment horizontal="center" vertical="center"/>
    </xf>
    <xf numFmtId="0" fontId="0" fillId="20" borderId="2" xfId="0" applyFill="1" applyBorder="1" applyAlignment="1">
      <alignment horizontal="center" vertical="center" wrapText="1"/>
    </xf>
    <xf numFmtId="2" fontId="6" fillId="2" borderId="13" xfId="0" applyNumberFormat="1" applyFont="1" applyFill="1" applyBorder="1" applyAlignment="1">
      <alignment horizontal="center" vertical="center"/>
    </xf>
    <xf numFmtId="2" fontId="6" fillId="2" borderId="18" xfId="0" applyNumberFormat="1" applyFont="1" applyFill="1" applyBorder="1" applyAlignment="1">
      <alignment horizontal="center" vertical="center" wrapText="1"/>
    </xf>
    <xf numFmtId="2" fontId="6" fillId="2" borderId="13" xfId="0" applyNumberFormat="1" applyFont="1" applyFill="1" applyBorder="1" applyAlignment="1">
      <alignment horizontal="center" vertical="center" wrapText="1"/>
    </xf>
    <xf numFmtId="2" fontId="7" fillId="7" borderId="13" xfId="0" applyNumberFormat="1" applyFont="1" applyFill="1" applyBorder="1" applyAlignment="1">
      <alignment horizontal="center" vertical="center"/>
    </xf>
    <xf numFmtId="0" fontId="7" fillId="14" borderId="13" xfId="0" applyFont="1" applyFill="1" applyBorder="1" applyAlignment="1">
      <alignment horizontal="center" vertical="center"/>
    </xf>
    <xf numFmtId="2" fontId="6" fillId="7" borderId="18" xfId="0" applyNumberFormat="1" applyFont="1" applyFill="1" applyBorder="1" applyAlignment="1">
      <alignment horizontal="center" vertical="center"/>
    </xf>
    <xf numFmtId="2" fontId="6" fillId="7" borderId="13" xfId="0" applyNumberFormat="1" applyFont="1" applyFill="1" applyBorder="1" applyAlignment="1">
      <alignment horizontal="center" vertical="center" wrapText="1"/>
    </xf>
    <xf numFmtId="0" fontId="6" fillId="7" borderId="18" xfId="0" applyFont="1" applyFill="1" applyBorder="1" applyAlignment="1">
      <alignment horizontal="center" vertical="center"/>
    </xf>
    <xf numFmtId="2" fontId="6" fillId="7" borderId="18" xfId="0" applyNumberFormat="1" applyFont="1" applyFill="1" applyBorder="1" applyAlignment="1">
      <alignment horizontal="center" vertical="center" wrapText="1"/>
    </xf>
    <xf numFmtId="0" fontId="6" fillId="7" borderId="13" xfId="0" applyFont="1" applyFill="1" applyBorder="1" applyAlignment="1">
      <alignment horizontal="center" vertical="center"/>
    </xf>
    <xf numFmtId="2" fontId="7" fillId="8" borderId="13" xfId="0" applyNumberFormat="1" applyFont="1" applyFill="1" applyBorder="1" applyAlignment="1">
      <alignment horizontal="center" vertical="center" wrapText="1"/>
    </xf>
    <xf numFmtId="2" fontId="6" fillId="8" borderId="13" xfId="0" applyNumberFormat="1" applyFont="1" applyFill="1" applyBorder="1" applyAlignment="1">
      <alignment horizontal="center" vertical="center"/>
    </xf>
    <xf numFmtId="2" fontId="7" fillId="8" borderId="18" xfId="0" applyNumberFormat="1" applyFont="1" applyFill="1" applyBorder="1" applyAlignment="1">
      <alignment horizontal="center" vertical="center" wrapText="1"/>
    </xf>
    <xf numFmtId="2" fontId="6" fillId="8" borderId="18" xfId="0" applyNumberFormat="1" applyFont="1" applyFill="1" applyBorder="1" applyAlignment="1">
      <alignment horizontal="center" vertical="center"/>
    </xf>
    <xf numFmtId="0" fontId="6" fillId="8" borderId="18" xfId="0" applyFont="1" applyFill="1" applyBorder="1" applyAlignment="1">
      <alignment horizontal="center" vertical="center"/>
    </xf>
    <xf numFmtId="2" fontId="6" fillId="20" borderId="18" xfId="0" applyNumberFormat="1" applyFont="1" applyFill="1" applyBorder="1" applyAlignment="1">
      <alignment horizontal="center" vertical="center"/>
    </xf>
    <xf numFmtId="2" fontId="19" fillId="20" borderId="13" xfId="0" applyNumberFormat="1" applyFont="1" applyFill="1" applyBorder="1" applyAlignment="1">
      <alignment horizontal="center" vertical="center"/>
    </xf>
    <xf numFmtId="2" fontId="19" fillId="20" borderId="2" xfId="0" applyNumberFormat="1" applyFont="1" applyFill="1" applyBorder="1" applyAlignment="1">
      <alignment horizontal="center" vertical="center"/>
    </xf>
    <xf numFmtId="0" fontId="7" fillId="19" borderId="13" xfId="0" applyFont="1" applyFill="1" applyBorder="1" applyAlignment="1">
      <alignment horizontal="center" vertical="center" wrapText="1"/>
    </xf>
    <xf numFmtId="2" fontId="6" fillId="19" borderId="13" xfId="0" applyNumberFormat="1" applyFont="1" applyFill="1" applyBorder="1" applyAlignment="1">
      <alignment horizontal="center" vertical="center" wrapText="1"/>
    </xf>
    <xf numFmtId="0" fontId="7" fillId="19" borderId="18" xfId="0" applyFont="1" applyFill="1" applyBorder="1" applyAlignment="1">
      <alignment horizontal="center" vertical="center" wrapText="1"/>
    </xf>
    <xf numFmtId="2" fontId="6" fillId="19" borderId="18" xfId="0" applyNumberFormat="1" applyFont="1" applyFill="1" applyBorder="1" applyAlignment="1">
      <alignment horizontal="center" vertical="center" wrapText="1"/>
    </xf>
    <xf numFmtId="0" fontId="6" fillId="8" borderId="13" xfId="0" applyFont="1" applyFill="1" applyBorder="1" applyAlignment="1">
      <alignment horizontal="center" vertical="center"/>
    </xf>
    <xf numFmtId="0" fontId="6" fillId="20" borderId="2" xfId="0" applyFont="1" applyFill="1" applyBorder="1" applyAlignment="1">
      <alignment horizontal="center" vertical="center"/>
    </xf>
    <xf numFmtId="2" fontId="7" fillId="20" borderId="2" xfId="0" applyNumberFormat="1" applyFont="1" applyFill="1" applyBorder="1" applyAlignment="1">
      <alignment horizontal="center" vertical="center" wrapText="1"/>
    </xf>
    <xf numFmtId="0" fontId="0" fillId="8" borderId="13" xfId="0" applyFill="1" applyBorder="1" applyAlignment="1">
      <alignment horizontal="center" vertical="center"/>
    </xf>
    <xf numFmtId="2" fontId="6" fillId="21" borderId="13" xfId="0" applyNumberFormat="1" applyFont="1" applyFill="1" applyBorder="1" applyAlignment="1">
      <alignment horizontal="center" vertical="center"/>
    </xf>
    <xf numFmtId="49" fontId="6" fillId="7" borderId="13" xfId="0" applyNumberFormat="1" applyFont="1" applyFill="1" applyBorder="1" applyAlignment="1">
      <alignment horizontal="center" vertical="center"/>
    </xf>
    <xf numFmtId="0" fontId="0" fillId="8" borderId="18" xfId="0" applyFill="1" applyBorder="1" applyAlignment="1">
      <alignment horizontal="center" vertical="center"/>
    </xf>
    <xf numFmtId="0" fontId="0" fillId="11" borderId="13" xfId="0" applyFill="1" applyBorder="1" applyAlignment="1">
      <alignment horizontal="center" vertical="center"/>
    </xf>
    <xf numFmtId="49" fontId="6" fillId="7" borderId="18" xfId="0" applyNumberFormat="1" applyFont="1" applyFill="1" applyBorder="1" applyAlignment="1">
      <alignment horizontal="center" vertical="center"/>
    </xf>
    <xf numFmtId="0" fontId="16" fillId="12" borderId="18" xfId="0" applyFont="1" applyFill="1" applyBorder="1" applyAlignment="1">
      <alignment horizontal="center" vertical="center" wrapText="1"/>
    </xf>
    <xf numFmtId="2" fontId="6" fillId="21" borderId="18" xfId="0" applyNumberFormat="1" applyFont="1" applyFill="1" applyBorder="1" applyAlignment="1">
      <alignment horizontal="center" vertical="center"/>
    </xf>
    <xf numFmtId="2" fontId="6" fillId="21" borderId="2" xfId="0" applyNumberFormat="1" applyFont="1" applyFill="1" applyBorder="1" applyAlignment="1">
      <alignment horizontal="center" vertical="center" wrapText="1"/>
    </xf>
    <xf numFmtId="2" fontId="6" fillId="20" borderId="13" xfId="0" applyNumberFormat="1" applyFont="1" applyFill="1" applyBorder="1" applyAlignment="1">
      <alignment horizontal="center" vertical="center"/>
    </xf>
    <xf numFmtId="0" fontId="11" fillId="12" borderId="13" xfId="0" applyFont="1" applyFill="1" applyBorder="1" applyAlignment="1">
      <alignment horizontal="center" vertical="center" wrapText="1"/>
    </xf>
    <xf numFmtId="0" fontId="19" fillId="0" borderId="12" xfId="0" applyFont="1" applyBorder="1" applyAlignment="1">
      <alignment horizontal="center" vertical="center" wrapText="1"/>
    </xf>
    <xf numFmtId="0" fontId="19" fillId="0" borderId="15" xfId="0" applyFont="1" applyBorder="1" applyAlignment="1">
      <alignment horizontal="center" vertical="center" wrapText="1"/>
    </xf>
    <xf numFmtId="2" fontId="6" fillId="18" borderId="2" xfId="0" applyNumberFormat="1" applyFont="1" applyFill="1" applyBorder="1" applyAlignment="1">
      <alignment horizontal="center" vertical="center"/>
    </xf>
    <xf numFmtId="2" fontId="7" fillId="18" borderId="2" xfId="0" applyNumberFormat="1" applyFont="1" applyFill="1" applyBorder="1" applyAlignment="1">
      <alignment horizontal="center" vertical="center" wrapText="1"/>
    </xf>
    <xf numFmtId="0" fontId="0" fillId="18" borderId="2" xfId="0" applyFill="1" applyBorder="1" applyAlignment="1">
      <alignment horizontal="center" vertical="center"/>
    </xf>
    <xf numFmtId="2" fontId="6" fillId="18" borderId="13" xfId="0" applyNumberFormat="1" applyFont="1" applyFill="1" applyBorder="1" applyAlignment="1">
      <alignment horizontal="center" vertical="center"/>
    </xf>
    <xf numFmtId="2" fontId="6" fillId="18" borderId="18" xfId="0" applyNumberFormat="1" applyFont="1" applyFill="1" applyBorder="1" applyAlignment="1">
      <alignment horizontal="center" vertical="center"/>
    </xf>
    <xf numFmtId="0" fontId="6" fillId="18" borderId="2" xfId="0" applyFont="1" applyFill="1" applyBorder="1" applyAlignment="1">
      <alignment horizontal="center" vertical="center"/>
    </xf>
    <xf numFmtId="0" fontId="6" fillId="18" borderId="13" xfId="0" applyFont="1" applyFill="1" applyBorder="1" applyAlignment="1">
      <alignment horizontal="center" vertical="center"/>
    </xf>
    <xf numFmtId="0" fontId="6" fillId="18" borderId="18" xfId="0" applyFont="1" applyFill="1" applyBorder="1" applyAlignment="1">
      <alignment horizontal="center" vertical="center"/>
    </xf>
    <xf numFmtId="0" fontId="6" fillId="0" borderId="12" xfId="0" applyFont="1" applyBorder="1" applyAlignment="1">
      <alignment horizontal="center" vertical="center" wrapText="1"/>
    </xf>
    <xf numFmtId="0" fontId="6" fillId="9" borderId="13" xfId="0" applyFont="1" applyFill="1" applyBorder="1" applyAlignment="1">
      <alignment horizontal="center" vertical="center" wrapText="1"/>
    </xf>
    <xf numFmtId="0" fontId="6" fillId="2" borderId="13" xfId="0" applyFont="1" applyFill="1" applyBorder="1" applyAlignment="1">
      <alignment horizontal="center" vertical="center" wrapText="1"/>
    </xf>
    <xf numFmtId="2" fontId="6" fillId="8" borderId="13" xfId="0" applyNumberFormat="1" applyFont="1" applyFill="1" applyBorder="1" applyAlignment="1">
      <alignment horizontal="center" vertical="center" wrapText="1"/>
    </xf>
    <xf numFmtId="0" fontId="6" fillId="14" borderId="13" xfId="0" applyFont="1" applyFill="1" applyBorder="1" applyAlignment="1">
      <alignment horizontal="center" vertical="center" wrapText="1"/>
    </xf>
    <xf numFmtId="0" fontId="6" fillId="14" borderId="14" xfId="0" applyFont="1" applyFill="1" applyBorder="1" applyAlignment="1">
      <alignment horizontal="center" vertical="center"/>
    </xf>
    <xf numFmtId="0" fontId="6" fillId="0" borderId="15" xfId="0" applyFont="1" applyBorder="1" applyAlignment="1">
      <alignment horizontal="center" vertical="center" wrapText="1"/>
    </xf>
    <xf numFmtId="0" fontId="6" fillId="14" borderId="16" xfId="0" applyFont="1" applyFill="1" applyBorder="1" applyAlignment="1">
      <alignment horizontal="center" vertical="center"/>
    </xf>
    <xf numFmtId="0" fontId="6" fillId="0" borderId="17" xfId="0" applyFont="1" applyBorder="1" applyAlignment="1">
      <alignment horizontal="center" vertical="center" wrapText="1"/>
    </xf>
    <xf numFmtId="0" fontId="6" fillId="9" borderId="18" xfId="0" applyFont="1" applyFill="1" applyBorder="1" applyAlignment="1">
      <alignment horizontal="center" vertical="center" wrapText="1"/>
    </xf>
    <xf numFmtId="0" fontId="6" fillId="2" borderId="18" xfId="0" applyFont="1" applyFill="1" applyBorder="1" applyAlignment="1">
      <alignment horizontal="center" vertical="center" wrapText="1"/>
    </xf>
    <xf numFmtId="2" fontId="6" fillId="8" borderId="18" xfId="0" applyNumberFormat="1" applyFont="1" applyFill="1" applyBorder="1" applyAlignment="1">
      <alignment horizontal="center" vertical="center" wrapText="1"/>
    </xf>
    <xf numFmtId="0" fontId="6" fillId="14" borderId="18" xfId="0" applyFont="1" applyFill="1" applyBorder="1" applyAlignment="1">
      <alignment horizontal="center" vertical="center" wrapText="1"/>
    </xf>
    <xf numFmtId="0" fontId="6" fillId="14" borderId="19" xfId="0" applyFont="1" applyFill="1" applyBorder="1" applyAlignment="1">
      <alignment horizontal="center" vertical="center"/>
    </xf>
    <xf numFmtId="0" fontId="16" fillId="0" borderId="12" xfId="0" applyFont="1" applyBorder="1" applyAlignment="1">
      <alignment horizontal="center" vertical="center" wrapText="1"/>
    </xf>
    <xf numFmtId="0" fontId="16" fillId="9" borderId="13" xfId="0" applyFont="1" applyFill="1" applyBorder="1" applyAlignment="1">
      <alignment horizontal="center" vertical="center" wrapText="1"/>
    </xf>
    <xf numFmtId="0" fontId="16" fillId="2" borderId="13" xfId="0" applyFont="1" applyFill="1" applyBorder="1" applyAlignment="1">
      <alignment horizontal="center" vertical="center" wrapText="1"/>
    </xf>
    <xf numFmtId="2" fontId="16" fillId="2" borderId="13" xfId="0" applyNumberFormat="1" applyFont="1" applyFill="1" applyBorder="1" applyAlignment="1">
      <alignment horizontal="center" vertical="center" wrapText="1"/>
    </xf>
    <xf numFmtId="2" fontId="16" fillId="8" borderId="13" xfId="0" applyNumberFormat="1" applyFont="1" applyFill="1" applyBorder="1" applyAlignment="1">
      <alignment horizontal="center" vertical="center" wrapText="1"/>
    </xf>
    <xf numFmtId="2" fontId="16" fillId="8" borderId="13" xfId="0" applyNumberFormat="1" applyFont="1" applyFill="1" applyBorder="1" applyAlignment="1">
      <alignment horizontal="center" vertical="center"/>
    </xf>
    <xf numFmtId="0" fontId="16" fillId="8" borderId="13" xfId="0" applyFont="1" applyFill="1" applyBorder="1" applyAlignment="1">
      <alignment horizontal="center" vertical="center"/>
    </xf>
    <xf numFmtId="0" fontId="16" fillId="12" borderId="13" xfId="0" applyFont="1" applyFill="1" applyBorder="1" applyAlignment="1">
      <alignment horizontal="center" vertical="center" wrapText="1"/>
    </xf>
    <xf numFmtId="0" fontId="16" fillId="14" borderId="13" xfId="0" applyFont="1" applyFill="1" applyBorder="1" applyAlignment="1">
      <alignment horizontal="center" vertical="center" wrapText="1"/>
    </xf>
    <xf numFmtId="0" fontId="16" fillId="14" borderId="13" xfId="0" applyFont="1" applyFill="1" applyBorder="1" applyAlignment="1">
      <alignment horizontal="center" vertical="center"/>
    </xf>
    <xf numFmtId="0" fontId="21" fillId="14" borderId="13" xfId="0" applyFont="1" applyFill="1" applyBorder="1" applyAlignment="1">
      <alignment horizontal="center" vertical="center"/>
    </xf>
    <xf numFmtId="0" fontId="16" fillId="14" borderId="14" xfId="0" applyFont="1" applyFill="1" applyBorder="1" applyAlignment="1">
      <alignment horizontal="center" vertical="center"/>
    </xf>
    <xf numFmtId="0" fontId="16" fillId="0" borderId="15" xfId="0" applyFont="1" applyBorder="1" applyAlignment="1">
      <alignment horizontal="center" vertical="center" wrapText="1"/>
    </xf>
    <xf numFmtId="0" fontId="16" fillId="14" borderId="16" xfId="0" applyFont="1" applyFill="1" applyBorder="1" applyAlignment="1">
      <alignment horizontal="center" vertical="center"/>
    </xf>
    <xf numFmtId="0" fontId="16" fillId="0" borderId="17" xfId="0" applyFont="1" applyBorder="1" applyAlignment="1">
      <alignment horizontal="center" vertical="center" wrapText="1"/>
    </xf>
    <xf numFmtId="0" fontId="16" fillId="9" borderId="18" xfId="0" applyFont="1" applyFill="1" applyBorder="1" applyAlignment="1">
      <alignment horizontal="center" vertical="center" wrapText="1"/>
    </xf>
    <xf numFmtId="0" fontId="16" fillId="2" borderId="18" xfId="0" applyFont="1" applyFill="1" applyBorder="1" applyAlignment="1">
      <alignment horizontal="center" vertical="center" wrapText="1"/>
    </xf>
    <xf numFmtId="2" fontId="16" fillId="2" borderId="18" xfId="0" applyNumberFormat="1" applyFont="1" applyFill="1" applyBorder="1" applyAlignment="1">
      <alignment horizontal="center" vertical="center" wrapText="1"/>
    </xf>
    <xf numFmtId="2" fontId="16" fillId="8" borderId="18" xfId="0" applyNumberFormat="1" applyFont="1" applyFill="1" applyBorder="1" applyAlignment="1">
      <alignment horizontal="center" vertical="center" wrapText="1"/>
    </xf>
    <xf numFmtId="2" fontId="16" fillId="8" borderId="18" xfId="0" applyNumberFormat="1" applyFont="1" applyFill="1" applyBorder="1" applyAlignment="1">
      <alignment horizontal="center" vertical="center"/>
    </xf>
    <xf numFmtId="0" fontId="16" fillId="8" borderId="18" xfId="0" applyFont="1" applyFill="1" applyBorder="1" applyAlignment="1">
      <alignment horizontal="center" vertical="center"/>
    </xf>
    <xf numFmtId="2" fontId="16" fillId="20" borderId="18" xfId="0" applyNumberFormat="1" applyFont="1" applyFill="1" applyBorder="1" applyAlignment="1">
      <alignment horizontal="center" vertical="center"/>
    </xf>
    <xf numFmtId="0" fontId="16" fillId="14" borderId="18" xfId="0" applyFont="1" applyFill="1" applyBorder="1" applyAlignment="1">
      <alignment horizontal="center" vertical="center" wrapText="1"/>
    </xf>
    <xf numFmtId="0" fontId="16" fillId="14" borderId="18" xfId="0" applyFont="1" applyFill="1" applyBorder="1" applyAlignment="1">
      <alignment horizontal="center" vertical="center"/>
    </xf>
    <xf numFmtId="0" fontId="16" fillId="14" borderId="19" xfId="0" applyFont="1" applyFill="1" applyBorder="1" applyAlignment="1">
      <alignment horizontal="center" vertical="center"/>
    </xf>
    <xf numFmtId="2" fontId="16" fillId="20" borderId="13" xfId="0" applyNumberFormat="1" applyFont="1" applyFill="1" applyBorder="1" applyAlignment="1">
      <alignment horizontal="center" vertical="center"/>
    </xf>
    <xf numFmtId="0" fontId="16" fillId="20" borderId="13" xfId="0" applyFont="1" applyFill="1" applyBorder="1" applyAlignment="1">
      <alignment horizontal="center" vertical="center"/>
    </xf>
    <xf numFmtId="2" fontId="16" fillId="20" borderId="13" xfId="0" applyNumberFormat="1" applyFont="1" applyFill="1" applyBorder="1" applyAlignment="1">
      <alignment horizontal="center" vertical="center" wrapText="1"/>
    </xf>
    <xf numFmtId="0" fontId="16" fillId="20" borderId="18" xfId="0" applyFont="1" applyFill="1" applyBorder="1" applyAlignment="1">
      <alignment horizontal="center" vertical="center"/>
    </xf>
    <xf numFmtId="2" fontId="16" fillId="20" borderId="18" xfId="0" applyNumberFormat="1" applyFont="1" applyFill="1" applyBorder="1" applyAlignment="1">
      <alignment horizontal="center" vertical="center" wrapText="1"/>
    </xf>
    <xf numFmtId="0" fontId="21" fillId="14" borderId="18" xfId="0" applyFont="1" applyFill="1" applyBorder="1" applyAlignment="1">
      <alignment horizontal="center" vertical="center"/>
    </xf>
    <xf numFmtId="0" fontId="21" fillId="14" borderId="16" xfId="0" applyFont="1" applyFill="1" applyBorder="1" applyAlignment="1">
      <alignment horizontal="center" vertical="center"/>
    </xf>
    <xf numFmtId="0" fontId="7" fillId="0" borderId="2" xfId="0" applyFont="1" applyBorder="1"/>
    <xf numFmtId="0" fontId="5" fillId="23" borderId="11" xfId="0" applyFont="1" applyFill="1" applyBorder="1" applyAlignment="1">
      <alignment wrapText="1"/>
    </xf>
    <xf numFmtId="0" fontId="5" fillId="0" borderId="2" xfId="0" applyFont="1" applyBorder="1" applyAlignment="1">
      <alignment wrapText="1"/>
    </xf>
    <xf numFmtId="0" fontId="5" fillId="0" borderId="2" xfId="0" applyFont="1" applyBorder="1"/>
    <xf numFmtId="0" fontId="7" fillId="0" borderId="22" xfId="0" applyFont="1" applyBorder="1"/>
    <xf numFmtId="0" fontId="7" fillId="0" borderId="23" xfId="0" applyFont="1" applyBorder="1"/>
    <xf numFmtId="0" fontId="7" fillId="0" borderId="9" xfId="0" applyFont="1" applyBorder="1"/>
    <xf numFmtId="0" fontId="7" fillId="0" borderId="22" xfId="0" applyFont="1" applyBorder="1" applyAlignment="1">
      <alignment wrapText="1"/>
    </xf>
    <xf numFmtId="0" fontId="7" fillId="0" borderId="23" xfId="0" applyFont="1" applyBorder="1" applyAlignment="1">
      <alignment wrapText="1"/>
    </xf>
    <xf numFmtId="0" fontId="7" fillId="0" borderId="3" xfId="0" applyFont="1" applyBorder="1"/>
    <xf numFmtId="0" fontId="7" fillId="0" borderId="2" xfId="0" applyFont="1" applyBorder="1" applyAlignment="1">
      <alignment wrapText="1"/>
    </xf>
    <xf numFmtId="0" fontId="7" fillId="0" borderId="3" xfId="0" applyFont="1" applyBorder="1" applyAlignment="1">
      <alignment wrapText="1"/>
    </xf>
    <xf numFmtId="0" fontId="7" fillId="0" borderId="9" xfId="0" applyFont="1" applyBorder="1" applyAlignment="1">
      <alignment wrapText="1"/>
    </xf>
    <xf numFmtId="0" fontId="7" fillId="0" borderId="24" xfId="0" applyFont="1" applyBorder="1" applyAlignment="1">
      <alignment wrapText="1"/>
    </xf>
    <xf numFmtId="0" fontId="7" fillId="0" borderId="25" xfId="0" applyFont="1" applyBorder="1" applyAlignment="1">
      <alignment wrapText="1"/>
    </xf>
    <xf numFmtId="0" fontId="7" fillId="0" borderId="11" xfId="0" applyFont="1" applyBorder="1" applyAlignment="1">
      <alignment wrapText="1"/>
    </xf>
    <xf numFmtId="0" fontId="7" fillId="0" borderId="10" xfId="0" applyFont="1" applyBorder="1"/>
    <xf numFmtId="0" fontId="7" fillId="0" borderId="8" xfId="0" applyFont="1" applyBorder="1"/>
    <xf numFmtId="0" fontId="7" fillId="0" borderId="24" xfId="0" applyFont="1" applyBorder="1"/>
    <xf numFmtId="0" fontId="7" fillId="0" borderId="25" xfId="0" applyFont="1" applyBorder="1"/>
    <xf numFmtId="0" fontId="7" fillId="0" borderId="11" xfId="0" applyFont="1" applyBorder="1"/>
    <xf numFmtId="0" fontId="7" fillId="0" borderId="2" xfId="0" applyFont="1" applyBorder="1" applyAlignment="1">
      <alignment horizontal="center" vertical="center"/>
    </xf>
    <xf numFmtId="0" fontId="5" fillId="22" borderId="5" xfId="0" applyFont="1" applyFill="1" applyBorder="1" applyAlignment="1">
      <alignment horizontal="center" vertical="center"/>
    </xf>
    <xf numFmtId="0" fontId="6" fillId="20" borderId="13" xfId="0" applyFont="1" applyFill="1" applyBorder="1" applyAlignment="1">
      <alignment horizontal="center" vertical="center"/>
    </xf>
    <xf numFmtId="0" fontId="3" fillId="0" borderId="0" xfId="0" applyFont="1" applyAlignment="1">
      <alignment horizontal="center" vertical="center"/>
    </xf>
    <xf numFmtId="2" fontId="7" fillId="20" borderId="13" xfId="0" applyNumberFormat="1" applyFont="1" applyFill="1" applyBorder="1" applyAlignment="1">
      <alignment horizontal="center" vertical="center" wrapText="1"/>
    </xf>
    <xf numFmtId="0" fontId="0" fillId="20" borderId="0" xfId="0" applyFill="1" applyAlignment="1">
      <alignment horizontal="center" vertical="center" wrapText="1"/>
    </xf>
    <xf numFmtId="0" fontId="22" fillId="9" borderId="2" xfId="0" applyFont="1" applyFill="1" applyBorder="1" applyAlignment="1">
      <alignment horizontal="center" vertical="center" wrapText="1"/>
    </xf>
    <xf numFmtId="2" fontId="6" fillId="20" borderId="13" xfId="0" applyNumberFormat="1" applyFont="1" applyFill="1" applyBorder="1" applyAlignment="1">
      <alignment horizontal="center" vertical="center" wrapText="1"/>
    </xf>
    <xf numFmtId="0" fontId="7" fillId="0" borderId="29" xfId="0" applyFont="1" applyBorder="1"/>
    <xf numFmtId="0" fontId="7" fillId="0" borderId="28" xfId="0" applyFont="1" applyBorder="1"/>
    <xf numFmtId="0" fontId="5" fillId="23" borderId="7" xfId="0" applyFont="1" applyFill="1" applyBorder="1" applyAlignment="1">
      <alignment horizontal="center" vertical="center"/>
    </xf>
    <xf numFmtId="0" fontId="5" fillId="23" borderId="11" xfId="0" applyFont="1" applyFill="1" applyBorder="1"/>
    <xf numFmtId="0" fontId="23" fillId="0" borderId="0" xfId="0" applyFont="1"/>
    <xf numFmtId="0" fontId="7" fillId="24" borderId="15" xfId="0" applyFont="1" applyFill="1" applyBorder="1" applyAlignment="1">
      <alignment horizontal="center" vertical="center" wrapText="1"/>
    </xf>
    <xf numFmtId="2" fontId="6" fillId="2" borderId="0" xfId="0" applyNumberFormat="1" applyFont="1" applyFill="1" applyAlignment="1">
      <alignment horizontal="center" vertical="center" wrapText="1"/>
    </xf>
    <xf numFmtId="0" fontId="7" fillId="2" borderId="0" xfId="0" applyFont="1" applyFill="1" applyAlignment="1">
      <alignment horizontal="center" vertical="center" wrapText="1"/>
    </xf>
    <xf numFmtId="2" fontId="10" fillId="3" borderId="13" xfId="0" applyNumberFormat="1" applyFont="1" applyFill="1" applyBorder="1" applyAlignment="1">
      <alignment horizontal="center" vertical="center" wrapText="1"/>
    </xf>
    <xf numFmtId="0" fontId="10" fillId="3" borderId="13" xfId="0" applyFont="1" applyFill="1" applyBorder="1" applyAlignment="1">
      <alignment horizontal="center" vertical="center" wrapText="1"/>
    </xf>
    <xf numFmtId="0" fontId="2" fillId="14" borderId="13" xfId="0" applyFont="1" applyFill="1" applyBorder="1" applyAlignment="1">
      <alignment horizontal="center" vertical="center"/>
    </xf>
    <xf numFmtId="0" fontId="2" fillId="14" borderId="2" xfId="0" applyFont="1" applyFill="1" applyBorder="1" applyAlignment="1">
      <alignment horizontal="center" vertical="center"/>
    </xf>
    <xf numFmtId="0" fontId="2" fillId="14" borderId="18" xfId="0" applyFont="1" applyFill="1" applyBorder="1" applyAlignment="1">
      <alignment horizontal="center" vertical="center"/>
    </xf>
    <xf numFmtId="0" fontId="2" fillId="20" borderId="2"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2" fillId="20" borderId="2" xfId="0" applyFont="1" applyFill="1" applyBorder="1" applyAlignment="1">
      <alignment horizontal="center" vertical="center"/>
    </xf>
    <xf numFmtId="0" fontId="2" fillId="0" borderId="12" xfId="0" applyFont="1" applyBorder="1" applyAlignment="1">
      <alignment horizontal="center" vertical="center"/>
    </xf>
    <xf numFmtId="0" fontId="2" fillId="0" borderId="15" xfId="0" applyFont="1" applyBorder="1" applyAlignment="1">
      <alignment horizontal="center" vertical="center"/>
    </xf>
    <xf numFmtId="0" fontId="2" fillId="11" borderId="13" xfId="0" applyFont="1" applyFill="1" applyBorder="1" applyAlignment="1">
      <alignment horizontal="center" vertical="center"/>
    </xf>
    <xf numFmtId="0" fontId="2" fillId="14" borderId="14" xfId="0" applyFont="1" applyFill="1" applyBorder="1" applyAlignment="1">
      <alignment horizontal="center" vertical="center"/>
    </xf>
    <xf numFmtId="0" fontId="2" fillId="0" borderId="0" xfId="0" applyFont="1" applyAlignment="1">
      <alignment horizontal="center" vertical="center"/>
    </xf>
    <xf numFmtId="0" fontId="2" fillId="20" borderId="0" xfId="0" applyFont="1" applyFill="1" applyAlignment="1">
      <alignment horizontal="center" vertical="center"/>
    </xf>
    <xf numFmtId="0" fontId="2" fillId="14" borderId="19" xfId="0" applyFont="1" applyFill="1" applyBorder="1" applyAlignment="1">
      <alignment horizontal="center" vertical="center"/>
    </xf>
    <xf numFmtId="0" fontId="2" fillId="8" borderId="2" xfId="0" applyFont="1" applyFill="1" applyBorder="1" applyAlignment="1">
      <alignment horizontal="center" vertical="center"/>
    </xf>
    <xf numFmtId="0" fontId="2" fillId="14" borderId="16" xfId="0" applyFont="1" applyFill="1" applyBorder="1" applyAlignment="1">
      <alignment horizontal="center" vertical="center"/>
    </xf>
    <xf numFmtId="0" fontId="2" fillId="0" borderId="0" xfId="0" applyFont="1" applyAlignment="1">
      <alignment horizontal="center" vertical="center" wrapText="1"/>
    </xf>
    <xf numFmtId="0" fontId="2" fillId="8" borderId="13" xfId="0" applyFont="1" applyFill="1" applyBorder="1" applyAlignment="1">
      <alignment horizontal="center" vertical="center"/>
    </xf>
    <xf numFmtId="0" fontId="2" fillId="20" borderId="0" xfId="0" applyFont="1" applyFill="1" applyAlignment="1">
      <alignment horizontal="center" vertical="center" wrapText="1"/>
    </xf>
    <xf numFmtId="0" fontId="2" fillId="18" borderId="0" xfId="0" applyFont="1" applyFill="1" applyAlignment="1">
      <alignment horizontal="center" vertical="center" wrapText="1"/>
    </xf>
    <xf numFmtId="0" fontId="2" fillId="11" borderId="2" xfId="0" applyFont="1" applyFill="1" applyBorder="1" applyAlignment="1">
      <alignment horizontal="center" vertical="center"/>
    </xf>
    <xf numFmtId="0" fontId="2" fillId="11" borderId="18" xfId="0" applyFont="1" applyFill="1" applyBorder="1" applyAlignment="1">
      <alignment horizontal="center" vertical="center"/>
    </xf>
    <xf numFmtId="0" fontId="2" fillId="0" borderId="5" xfId="0" applyFont="1" applyBorder="1"/>
    <xf numFmtId="0" fontId="2" fillId="0" borderId="0" xfId="0" applyFont="1"/>
    <xf numFmtId="0" fontId="2" fillId="0" borderId="3" xfId="0" applyFont="1" applyBorder="1"/>
    <xf numFmtId="0" fontId="2" fillId="0" borderId="9" xfId="0" applyFont="1" applyBorder="1"/>
    <xf numFmtId="0" fontId="2" fillId="0" borderId="2" xfId="0" applyFont="1" applyBorder="1"/>
    <xf numFmtId="0" fontId="2" fillId="0" borderId="0" xfId="0" applyFont="1" applyAlignment="1">
      <alignment horizontal="center" vertical="center" wrapText="1"/>
    </xf>
    <xf numFmtId="0" fontId="2" fillId="0" borderId="0" xfId="0" applyFont="1" applyAlignment="1">
      <alignment horizontal="center" wrapText="1"/>
    </xf>
    <xf numFmtId="0" fontId="0" fillId="0" borderId="0" xfId="0" applyAlignment="1">
      <alignment horizontal="center" wrapText="1"/>
    </xf>
    <xf numFmtId="0" fontId="4" fillId="0" borderId="6"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left" vertical="center" wrapText="1"/>
    </xf>
    <xf numFmtId="0" fontId="13" fillId="0" borderId="6" xfId="0" applyFont="1" applyBorder="1" applyAlignment="1">
      <alignment horizontal="center" vertical="center"/>
    </xf>
    <xf numFmtId="0" fontId="13" fillId="0" borderId="7" xfId="0" applyFont="1" applyBorder="1" applyAlignment="1">
      <alignment horizontal="center" vertical="center"/>
    </xf>
    <xf numFmtId="0" fontId="13" fillId="0" borderId="4" xfId="0" applyFont="1" applyBorder="1" applyAlignment="1">
      <alignment horizontal="center" vertical="center"/>
    </xf>
    <xf numFmtId="0" fontId="13" fillId="0" borderId="6"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5" xfId="0" applyFont="1" applyBorder="1" applyAlignment="1">
      <alignment horizontal="center" vertical="center"/>
    </xf>
    <xf numFmtId="0" fontId="4" fillId="16" borderId="6" xfId="0" applyFont="1" applyFill="1" applyBorder="1" applyAlignment="1">
      <alignment horizontal="center" vertical="center" wrapText="1"/>
    </xf>
    <xf numFmtId="0" fontId="4" fillId="16" borderId="7" xfId="0" applyFont="1" applyFill="1" applyBorder="1" applyAlignment="1">
      <alignment horizontal="center" vertical="center" wrapText="1"/>
    </xf>
    <xf numFmtId="0" fontId="6" fillId="0" borderId="10" xfId="0" applyFont="1" applyBorder="1" applyAlignment="1">
      <alignment horizontal="center" vertical="center" wrapText="1"/>
    </xf>
    <xf numFmtId="0" fontId="6" fillId="0" borderId="2" xfId="0" applyFont="1" applyBorder="1" applyAlignment="1">
      <alignment horizontal="center" vertical="center" wrapText="1"/>
    </xf>
    <xf numFmtId="0" fontId="6" fillId="0" borderId="0" xfId="0" applyFont="1" applyAlignment="1">
      <alignment horizontal="center" vertical="center" wrapText="1"/>
    </xf>
    <xf numFmtId="0" fontId="4" fillId="16" borderId="5" xfId="0" applyFont="1" applyFill="1" applyBorder="1" applyAlignment="1">
      <alignment horizontal="center" vertical="center" wrapText="1"/>
    </xf>
    <xf numFmtId="0" fontId="7" fillId="0" borderId="6" xfId="0" applyFont="1" applyBorder="1" applyAlignment="1">
      <alignment horizontal="center" vertical="center"/>
    </xf>
    <xf numFmtId="0" fontId="7" fillId="0" borderId="4" xfId="0" applyFont="1" applyBorder="1" applyAlignment="1">
      <alignment horizontal="center" vertical="center"/>
    </xf>
    <xf numFmtId="0" fontId="7" fillId="0" borderId="27" xfId="0" applyFont="1" applyBorder="1" applyAlignment="1">
      <alignment horizontal="center" vertical="center"/>
    </xf>
    <xf numFmtId="0" fontId="7" fillId="0" borderId="21" xfId="0" applyFont="1" applyBorder="1"/>
    <xf numFmtId="0" fontId="7" fillId="0" borderId="20" xfId="0" applyFont="1" applyBorder="1"/>
    <xf numFmtId="0" fontId="7" fillId="0" borderId="2" xfId="0" applyFont="1" applyBorder="1"/>
    <xf numFmtId="0" fontId="7" fillId="0" borderId="1" xfId="0" applyFont="1" applyBorder="1"/>
    <xf numFmtId="0" fontId="7" fillId="0" borderId="26"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xf>
    <xf numFmtId="0" fontId="7" fillId="0" borderId="26" xfId="0" applyFont="1" applyBorder="1"/>
    <xf numFmtId="0" fontId="7" fillId="0" borderId="10" xfId="0" applyFont="1" applyBorder="1"/>
    <xf numFmtId="0" fontId="7" fillId="0" borderId="2" xfId="0" applyFont="1" applyBorder="1" applyAlignment="1">
      <alignment wrapText="1"/>
    </xf>
    <xf numFmtId="0" fontId="7" fillId="0" borderId="1" xfId="0" applyFont="1" applyBorder="1" applyAlignment="1">
      <alignment wrapText="1"/>
    </xf>
    <xf numFmtId="0" fontId="7" fillId="0" borderId="21" xfId="0" applyFont="1" applyBorder="1" applyAlignment="1">
      <alignment wrapText="1"/>
    </xf>
    <xf numFmtId="0" fontId="7" fillId="0" borderId="20" xfId="0" applyFont="1" applyBorder="1" applyAlignment="1">
      <alignment wrapText="1"/>
    </xf>
    <xf numFmtId="0" fontId="7" fillId="0" borderId="2" xfId="0" applyFont="1" applyBorder="1" applyAlignment="1">
      <alignment horizontal="center" vertical="center"/>
    </xf>
  </cellXfs>
  <cellStyles count="1">
    <cellStyle name="Normal" xfId="0" builtinId="0"/>
  </cellStyles>
  <dxfs count="2">
    <dxf>
      <fill>
        <patternFill patternType="solid">
          <fgColor rgb="FFE67C73"/>
          <bgColor rgb="FFE67C73"/>
        </patternFill>
      </fill>
    </dxf>
    <dxf>
      <fill>
        <patternFill patternType="solid">
          <fgColor rgb="FFB7E1CD"/>
          <bgColor rgb="FFB7E1CD"/>
        </patternFill>
      </fill>
    </dxf>
  </dxfs>
  <tableStyles count="0" defaultTableStyle="TableStyleMedium2" defaultPivotStyle="PivotStyleLight16"/>
  <colors>
    <mruColors>
      <color rgb="FF28EB0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eetMetadata" Target="metadata.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2499"/>
  <sheetViews>
    <sheetView tabSelected="1" zoomScale="70" zoomScaleNormal="70" workbookViewId="0">
      <pane xSplit="1" ySplit="1" topLeftCell="B2" activePane="bottomRight" state="frozen"/>
      <selection pane="topRight" activeCell="B1" sqref="B1"/>
      <selection pane="bottomLeft" activeCell="A2" sqref="A2"/>
      <selection pane="bottomRight" activeCell="P947" sqref="P947"/>
    </sheetView>
  </sheetViews>
  <sheetFormatPr baseColWidth="10" defaultColWidth="14.42578125" defaultRowHeight="15" customHeight="1"/>
  <cols>
    <col min="1" max="1" width="24" style="43" customWidth="1"/>
    <col min="2" max="2" width="6.28515625" style="81" customWidth="1"/>
    <col min="3" max="3" width="6.42578125" style="81" customWidth="1"/>
    <col min="4" max="4" width="6.85546875" style="81" customWidth="1"/>
    <col min="5" max="5" width="11" style="81" customWidth="1"/>
    <col min="6" max="6" width="10.42578125" style="81" customWidth="1"/>
    <col min="7" max="7" width="7.7109375" style="81" customWidth="1"/>
    <col min="8" max="12" width="7.42578125" style="81" customWidth="1"/>
    <col min="13" max="16" width="17.28515625" style="43" customWidth="1"/>
    <col min="17" max="17" width="11.28515625" style="43" customWidth="1"/>
    <col min="18" max="18" width="8.7109375" style="63" customWidth="1"/>
    <col min="19" max="19" width="7" style="63" customWidth="1"/>
    <col min="20" max="20" width="7.7109375" style="63" customWidth="1"/>
    <col min="21" max="21" width="7.140625" style="63" customWidth="1"/>
    <col min="22" max="22" width="8.7109375" style="63" customWidth="1"/>
    <col min="23" max="23" width="13.42578125" style="63" customWidth="1"/>
    <col min="24" max="26" width="17" style="43" customWidth="1"/>
    <col min="27" max="27" width="16.42578125" style="43" customWidth="1"/>
    <col min="28" max="28" width="19" style="43" customWidth="1"/>
    <col min="29" max="29" width="17.7109375" style="43" customWidth="1"/>
    <col min="30" max="30" width="46.28515625" style="107" customWidth="1"/>
    <col min="31" max="31" width="11.28515625" style="46" customWidth="1"/>
    <col min="32" max="32" width="11" style="46" customWidth="1"/>
    <col min="33" max="35" width="7.42578125" style="46" customWidth="1"/>
    <col min="36" max="38" width="14.42578125" style="46" customWidth="1"/>
    <col min="39" max="39" width="11.7109375" style="46" customWidth="1"/>
    <col min="40" max="40" width="12.28515625" style="46" customWidth="1"/>
    <col min="41" max="41" width="12.85546875" style="46" customWidth="1"/>
    <col min="42" max="42" width="10.140625" style="46" customWidth="1"/>
    <col min="43" max="43" width="14.42578125" style="46" customWidth="1"/>
    <col min="44" max="44" width="14.42578125" style="43" customWidth="1"/>
    <col min="45" max="16384" width="14.42578125" style="43"/>
  </cols>
  <sheetData>
    <row r="1" spans="1:45" s="62" customFormat="1" ht="99" customHeight="1" thickBot="1">
      <c r="A1" s="109" t="s">
        <v>0</v>
      </c>
      <c r="B1" s="110" t="s">
        <v>1</v>
      </c>
      <c r="C1" s="110" t="s">
        <v>2</v>
      </c>
      <c r="D1" s="110" t="s">
        <v>3</v>
      </c>
      <c r="E1" s="110" t="s">
        <v>4</v>
      </c>
      <c r="F1" s="111" t="s">
        <v>5</v>
      </c>
      <c r="G1" s="110" t="s">
        <v>6</v>
      </c>
      <c r="H1" s="111" t="s">
        <v>7</v>
      </c>
      <c r="I1" s="111" t="s">
        <v>8</v>
      </c>
      <c r="J1" s="111" t="s">
        <v>9</v>
      </c>
      <c r="K1" s="111" t="s">
        <v>10</v>
      </c>
      <c r="L1" s="110" t="s">
        <v>11</v>
      </c>
      <c r="M1" s="112" t="s">
        <v>12</v>
      </c>
      <c r="N1" s="112" t="s">
        <v>13</v>
      </c>
      <c r="O1" s="112" t="s">
        <v>14</v>
      </c>
      <c r="P1" s="113" t="s">
        <v>15</v>
      </c>
      <c r="Q1" s="113" t="s">
        <v>16</v>
      </c>
      <c r="R1" s="114" t="s">
        <v>17</v>
      </c>
      <c r="S1" s="114" t="s">
        <v>18</v>
      </c>
      <c r="T1" s="114" t="s">
        <v>19</v>
      </c>
      <c r="U1" s="115" t="s">
        <v>20</v>
      </c>
      <c r="V1" s="114" t="s">
        <v>21</v>
      </c>
      <c r="W1" s="114" t="s">
        <v>22</v>
      </c>
      <c r="X1" s="116" t="s">
        <v>23</v>
      </c>
      <c r="Y1" s="116" t="s">
        <v>24</v>
      </c>
      <c r="Z1" s="116" t="s">
        <v>25</v>
      </c>
      <c r="AA1" s="116" t="s">
        <v>26</v>
      </c>
      <c r="AB1" s="116" t="s">
        <v>27</v>
      </c>
      <c r="AC1" s="117" t="s">
        <v>28</v>
      </c>
      <c r="AD1" s="118" t="s">
        <v>29</v>
      </c>
      <c r="AE1" s="119" t="s">
        <v>30</v>
      </c>
      <c r="AF1" s="120" t="s">
        <v>31</v>
      </c>
      <c r="AG1" s="120" t="s">
        <v>32</v>
      </c>
      <c r="AH1" s="120" t="s">
        <v>33</v>
      </c>
      <c r="AI1" s="120" t="s">
        <v>34</v>
      </c>
      <c r="AJ1" s="121" t="s">
        <v>35</v>
      </c>
      <c r="AK1" s="121" t="s">
        <v>36</v>
      </c>
      <c r="AL1" s="122" t="s">
        <v>37</v>
      </c>
      <c r="AM1" s="122" t="s">
        <v>38</v>
      </c>
      <c r="AN1" s="122" t="s">
        <v>39</v>
      </c>
      <c r="AO1" s="123" t="s">
        <v>40</v>
      </c>
      <c r="AP1" s="123" t="s">
        <v>41</v>
      </c>
      <c r="AQ1" s="123" t="s">
        <v>42</v>
      </c>
      <c r="AR1" s="17" t="s">
        <v>43</v>
      </c>
    </row>
    <row r="2" spans="1:45" ht="70.5" customHeight="1" thickBot="1">
      <c r="A2" s="124" t="s">
        <v>44</v>
      </c>
      <c r="B2" s="125">
        <v>29</v>
      </c>
      <c r="C2" s="125">
        <v>85.5</v>
      </c>
      <c r="D2" s="125">
        <v>18.2</v>
      </c>
      <c r="E2" s="125" t="s">
        <v>45</v>
      </c>
      <c r="F2" s="125" t="s">
        <v>45</v>
      </c>
      <c r="G2" s="125" t="s">
        <v>46</v>
      </c>
      <c r="H2" s="125"/>
      <c r="I2" s="125" t="s">
        <v>45</v>
      </c>
      <c r="J2" s="125" t="s">
        <v>47</v>
      </c>
      <c r="K2" s="125" t="s">
        <v>48</v>
      </c>
      <c r="L2" s="125" t="s">
        <v>49</v>
      </c>
      <c r="M2" s="126" t="s">
        <v>50</v>
      </c>
      <c r="N2" s="126" t="s">
        <v>50</v>
      </c>
      <c r="O2" s="126" t="s">
        <v>50</v>
      </c>
      <c r="P2" s="126" t="s">
        <v>51</v>
      </c>
      <c r="Q2" s="127" t="s">
        <v>52</v>
      </c>
      <c r="R2" s="128">
        <v>11</v>
      </c>
      <c r="S2" s="128">
        <v>14.25</v>
      </c>
      <c r="T2" s="129">
        <v>4.63</v>
      </c>
      <c r="U2" s="128">
        <v>11</v>
      </c>
      <c r="V2" s="128">
        <v>15.7</v>
      </c>
      <c r="W2" s="129">
        <v>4.5</v>
      </c>
      <c r="X2" s="130">
        <f>V2-S2</f>
        <v>1.4499999999999993</v>
      </c>
      <c r="Y2" s="131">
        <f>SQRT((T2^2+W2^2-(2*0.5*T2*W2)))/SQRT(U2)</f>
        <v>1.3768178066568111</v>
      </c>
      <c r="Z2" s="130" t="s">
        <v>53</v>
      </c>
      <c r="AA2" s="131" t="s">
        <v>53</v>
      </c>
      <c r="AB2" s="131">
        <v>1.3768178066568111</v>
      </c>
      <c r="AC2" s="132" t="s">
        <v>48</v>
      </c>
      <c r="AD2" s="133" t="s">
        <v>54</v>
      </c>
      <c r="AE2" s="134">
        <v>8</v>
      </c>
      <c r="AF2" s="134">
        <v>0</v>
      </c>
      <c r="AG2" s="134">
        <v>0</v>
      </c>
      <c r="AH2" s="134">
        <v>0</v>
      </c>
      <c r="AI2" s="134">
        <v>0</v>
      </c>
      <c r="AJ2" s="135">
        <f>AI2*AG2</f>
        <v>0</v>
      </c>
      <c r="AK2" s="136">
        <f>AJ2*AF2</f>
        <v>0</v>
      </c>
      <c r="AL2" s="136" t="str" cm="1">
        <f t="array" ref="AL2">_xlfn.IFS(
AI2&lt;3,"Ligera",
AI2&lt;=6,"Moderada",
AI2&gt;6,"Vigorosa"
)</f>
        <v>Ligera</v>
      </c>
      <c r="AM2" s="136" t="s">
        <v>49</v>
      </c>
      <c r="AN2" s="135" t="s">
        <v>49</v>
      </c>
      <c r="AO2" s="135" t="s">
        <v>49</v>
      </c>
      <c r="AP2" s="135" t="s">
        <v>49</v>
      </c>
      <c r="AQ2" s="137">
        <v>0</v>
      </c>
      <c r="AS2" s="83" t="s">
        <v>55</v>
      </c>
    </row>
    <row r="3" spans="1:45" ht="70.5" customHeight="1" thickBot="1">
      <c r="A3" s="138" t="s">
        <v>44</v>
      </c>
      <c r="B3" s="12">
        <v>29</v>
      </c>
      <c r="C3" s="12">
        <v>84</v>
      </c>
      <c r="D3" s="12">
        <v>27.3</v>
      </c>
      <c r="E3" s="12" t="s">
        <v>45</v>
      </c>
      <c r="F3" s="12" t="s">
        <v>45</v>
      </c>
      <c r="G3" s="12" t="s">
        <v>46</v>
      </c>
      <c r="H3" s="12"/>
      <c r="I3" s="12" t="s">
        <v>45</v>
      </c>
      <c r="J3" s="12" t="s">
        <v>47</v>
      </c>
      <c r="K3" s="12" t="s">
        <v>48</v>
      </c>
      <c r="L3" s="12" t="s">
        <v>49</v>
      </c>
      <c r="M3" s="11" t="s">
        <v>56</v>
      </c>
      <c r="N3" s="11" t="s">
        <v>57</v>
      </c>
      <c r="O3" s="11" t="s">
        <v>58</v>
      </c>
      <c r="P3" s="11" t="s">
        <v>51</v>
      </c>
      <c r="Q3" s="64" t="s">
        <v>52</v>
      </c>
      <c r="R3" s="65">
        <v>11</v>
      </c>
      <c r="S3" s="65">
        <v>11</v>
      </c>
      <c r="T3" s="108">
        <v>3.19</v>
      </c>
      <c r="U3" s="65">
        <v>11</v>
      </c>
      <c r="V3" s="65">
        <v>9.6999999999999993</v>
      </c>
      <c r="W3" s="108">
        <v>2.52</v>
      </c>
      <c r="X3" s="130">
        <f t="shared" ref="X3:X51" si="0">V3-S3</f>
        <v>-1.3000000000000007</v>
      </c>
      <c r="Y3" s="16">
        <f>SQRT((T3^2+W3^2-(2*0.5*T3*W3)))/SQRT(U3)</f>
        <v>0.87841282487739836</v>
      </c>
      <c r="Z3" s="15">
        <f>X3-X2</f>
        <v>-2.75</v>
      </c>
      <c r="AA3" s="16">
        <f>((U3-1)*W3^2+(U2-1)*W2^2)/((U3-1)+(U2-1))</f>
        <v>13.3002</v>
      </c>
      <c r="AB3" s="16">
        <f>SQRT(AA3*((1/U3)+(1/U2)))</f>
        <v>1.5550621150996451</v>
      </c>
      <c r="AC3" s="66" t="s">
        <v>48</v>
      </c>
      <c r="AD3" s="67" t="s">
        <v>59</v>
      </c>
      <c r="AE3" s="13">
        <v>8</v>
      </c>
      <c r="AF3" s="13">
        <v>3</v>
      </c>
      <c r="AG3" s="13">
        <v>14.7</v>
      </c>
      <c r="AH3" s="13">
        <v>205160</v>
      </c>
      <c r="AI3" s="13">
        <v>3</v>
      </c>
      <c r="AJ3" s="135">
        <f>AI3*AG3</f>
        <v>44.099999999999994</v>
      </c>
      <c r="AK3" s="136">
        <f t="shared" ref="AK3:AK51" si="1">AJ3*AF3</f>
        <v>132.29999999999998</v>
      </c>
      <c r="AL3" s="136" t="str" cm="1">
        <f t="array" ref="AL3">_xlfn.IFS(
AI3&lt;3,"Ligera",
AI3&lt;=6,"Moderada",
AI3&gt;6,"Vigorosa"
)</f>
        <v>Moderada</v>
      </c>
      <c r="AM3" s="45" t="s">
        <v>48</v>
      </c>
      <c r="AN3" s="46" t="s">
        <v>60</v>
      </c>
      <c r="AO3" s="46" t="s">
        <v>61</v>
      </c>
      <c r="AP3" s="46" t="s">
        <v>62</v>
      </c>
      <c r="AQ3" s="139">
        <v>0</v>
      </c>
      <c r="AS3" s="83" t="s">
        <v>63</v>
      </c>
    </row>
    <row r="4" spans="1:45" ht="70.5" customHeight="1" thickBot="1">
      <c r="A4" s="138" t="s">
        <v>44</v>
      </c>
      <c r="B4" s="12">
        <v>29</v>
      </c>
      <c r="C4" s="12">
        <v>85.5</v>
      </c>
      <c r="D4" s="12">
        <v>18.2</v>
      </c>
      <c r="E4" s="12" t="s">
        <v>45</v>
      </c>
      <c r="F4" s="12" t="s">
        <v>45</v>
      </c>
      <c r="G4" s="12" t="s">
        <v>46</v>
      </c>
      <c r="H4" s="12"/>
      <c r="I4" s="12" t="s">
        <v>45</v>
      </c>
      <c r="J4" s="12" t="s">
        <v>47</v>
      </c>
      <c r="K4" s="12" t="s">
        <v>48</v>
      </c>
      <c r="L4" s="12" t="s">
        <v>49</v>
      </c>
      <c r="M4" s="11" t="s">
        <v>50</v>
      </c>
      <c r="N4" s="11" t="s">
        <v>50</v>
      </c>
      <c r="O4" s="11" t="s">
        <v>50</v>
      </c>
      <c r="P4" s="11" t="s">
        <v>51</v>
      </c>
      <c r="Q4" s="64" t="s">
        <v>64</v>
      </c>
      <c r="R4" s="65">
        <v>11</v>
      </c>
      <c r="S4" s="65">
        <v>7</v>
      </c>
      <c r="T4" s="108">
        <v>1.48</v>
      </c>
      <c r="U4" s="65">
        <v>11</v>
      </c>
      <c r="V4" s="65">
        <v>7</v>
      </c>
      <c r="W4" s="108">
        <v>2.2200000000000002</v>
      </c>
      <c r="X4" s="130">
        <f t="shared" si="0"/>
        <v>0</v>
      </c>
      <c r="Y4" s="16">
        <f t="shared" ref="Y4:Y52" si="2">SQRT((T4^2+W4^2-(2*0.5*T4*W4)))/SQRT(U4)</f>
        <v>0.59031578606092461</v>
      </c>
      <c r="Z4" s="130" t="s">
        <v>53</v>
      </c>
      <c r="AA4" s="131" t="s">
        <v>53</v>
      </c>
      <c r="AB4" s="16">
        <v>0.59031578606092461</v>
      </c>
      <c r="AC4" s="66" t="s">
        <v>49</v>
      </c>
      <c r="AD4" s="51" t="s">
        <v>54</v>
      </c>
      <c r="AE4" s="13">
        <v>8</v>
      </c>
      <c r="AF4" s="13">
        <v>0</v>
      </c>
      <c r="AG4" s="13">
        <v>0</v>
      </c>
      <c r="AH4" s="134">
        <v>0</v>
      </c>
      <c r="AI4" s="134">
        <v>0</v>
      </c>
      <c r="AJ4" s="135">
        <f t="shared" ref="AJ4:AJ51" si="3">AI4*AG4</f>
        <v>0</v>
      </c>
      <c r="AK4" s="136">
        <f t="shared" si="1"/>
        <v>0</v>
      </c>
      <c r="AL4" s="136" t="str" cm="1">
        <f t="array" ref="AL4">_xlfn.IFS(
AI4&lt;3,"Ligera",
AI4&lt;=6,"Moderada",
AI4&gt;6,"Vigorosa"
)</f>
        <v>Ligera</v>
      </c>
      <c r="AM4" s="45" t="s">
        <v>49</v>
      </c>
      <c r="AN4" s="46" t="s">
        <v>49</v>
      </c>
      <c r="AO4" s="46" t="s">
        <v>49</v>
      </c>
      <c r="AP4" s="46" t="s">
        <v>49</v>
      </c>
      <c r="AQ4" s="139">
        <v>0</v>
      </c>
      <c r="AS4" s="83" t="s">
        <v>65</v>
      </c>
    </row>
    <row r="5" spans="1:45" ht="70.5" customHeight="1" thickBot="1">
      <c r="A5" s="138" t="s">
        <v>44</v>
      </c>
      <c r="B5" s="12">
        <v>29</v>
      </c>
      <c r="C5" s="12">
        <v>84</v>
      </c>
      <c r="D5" s="12">
        <v>27.3</v>
      </c>
      <c r="E5" s="12" t="s">
        <v>45</v>
      </c>
      <c r="F5" s="12" t="s">
        <v>45</v>
      </c>
      <c r="G5" s="12" t="s">
        <v>46</v>
      </c>
      <c r="H5" s="12"/>
      <c r="I5" s="12" t="s">
        <v>45</v>
      </c>
      <c r="J5" s="12" t="s">
        <v>47</v>
      </c>
      <c r="K5" s="12" t="s">
        <v>48</v>
      </c>
      <c r="L5" s="12" t="s">
        <v>49</v>
      </c>
      <c r="M5" s="11" t="s">
        <v>56</v>
      </c>
      <c r="N5" s="11" t="s">
        <v>57</v>
      </c>
      <c r="O5" s="11" t="s">
        <v>58</v>
      </c>
      <c r="P5" s="11" t="s">
        <v>51</v>
      </c>
      <c r="Q5" s="64" t="s">
        <v>64</v>
      </c>
      <c r="R5" s="65">
        <v>11</v>
      </c>
      <c r="S5" s="65">
        <v>7</v>
      </c>
      <c r="T5" s="108">
        <v>2.2200000000000002</v>
      </c>
      <c r="U5" s="65">
        <v>11</v>
      </c>
      <c r="V5" s="65">
        <v>11</v>
      </c>
      <c r="W5" s="108">
        <v>1.48</v>
      </c>
      <c r="X5" s="130">
        <f t="shared" si="0"/>
        <v>4</v>
      </c>
      <c r="Y5" s="16">
        <f t="shared" si="2"/>
        <v>0.59031578606092461</v>
      </c>
      <c r="Z5" s="15">
        <f t="shared" ref="Z5:Z52" si="4">X5-X4</f>
        <v>4</v>
      </c>
      <c r="AA5" s="16">
        <f t="shared" ref="AA5:AA52" si="5">((U5-1)*W5^2+(U4-1)*W4^2)/((U5-1)+(U4-1))</f>
        <v>3.5594000000000001</v>
      </c>
      <c r="AB5" s="16">
        <f t="shared" ref="AB5:AB52" si="6">SQRT(AA5*((1/U5)+(1/U4)))</f>
        <v>0.80446481362682132</v>
      </c>
      <c r="AC5" s="66" t="s">
        <v>49</v>
      </c>
      <c r="AD5" s="67" t="s">
        <v>59</v>
      </c>
      <c r="AE5" s="13">
        <v>8</v>
      </c>
      <c r="AF5" s="13">
        <v>3</v>
      </c>
      <c r="AG5" s="13">
        <v>14.7</v>
      </c>
      <c r="AH5" s="13">
        <v>205160</v>
      </c>
      <c r="AI5" s="13">
        <v>3</v>
      </c>
      <c r="AJ5" s="135">
        <f t="shared" si="3"/>
        <v>44.099999999999994</v>
      </c>
      <c r="AK5" s="136">
        <f t="shared" si="1"/>
        <v>132.29999999999998</v>
      </c>
      <c r="AL5" s="136" t="str" cm="1">
        <f t="array" ref="AL5">_xlfn.IFS(
AI5&lt;3,"Ligera",
AI5&lt;=6,"Moderada",
AI5&gt;6,"Vigorosa"
)</f>
        <v>Moderada</v>
      </c>
      <c r="AM5" s="45" t="s">
        <v>48</v>
      </c>
      <c r="AN5" s="46" t="s">
        <v>60</v>
      </c>
      <c r="AO5" s="46" t="s">
        <v>61</v>
      </c>
      <c r="AP5" s="46" t="s">
        <v>62</v>
      </c>
      <c r="AQ5" s="139">
        <v>0</v>
      </c>
      <c r="AS5" s="83" t="s">
        <v>66</v>
      </c>
    </row>
    <row r="6" spans="1:45" ht="70.5" customHeight="1" thickBot="1">
      <c r="A6" s="138" t="s">
        <v>44</v>
      </c>
      <c r="B6" s="12">
        <v>29</v>
      </c>
      <c r="C6" s="12">
        <v>85.5</v>
      </c>
      <c r="D6" s="12">
        <v>18.2</v>
      </c>
      <c r="E6" s="12" t="s">
        <v>45</v>
      </c>
      <c r="F6" s="12" t="s">
        <v>45</v>
      </c>
      <c r="G6" s="12" t="s">
        <v>46</v>
      </c>
      <c r="H6" s="12"/>
      <c r="I6" s="12" t="s">
        <v>45</v>
      </c>
      <c r="J6" s="12" t="s">
        <v>47</v>
      </c>
      <c r="K6" s="12" t="s">
        <v>48</v>
      </c>
      <c r="L6" s="12" t="s">
        <v>49</v>
      </c>
      <c r="M6" s="11" t="s">
        <v>50</v>
      </c>
      <c r="N6" s="11" t="s">
        <v>50</v>
      </c>
      <c r="O6" s="11" t="s">
        <v>50</v>
      </c>
      <c r="P6" s="11" t="s">
        <v>51</v>
      </c>
      <c r="Q6" s="64" t="s">
        <v>67</v>
      </c>
      <c r="R6" s="65">
        <v>11</v>
      </c>
      <c r="S6" s="65">
        <v>399.48</v>
      </c>
      <c r="T6" s="108">
        <v>190.94</v>
      </c>
      <c r="U6" s="65">
        <v>11</v>
      </c>
      <c r="V6" s="65">
        <v>373.29</v>
      </c>
      <c r="W6" s="108">
        <v>210.47</v>
      </c>
      <c r="X6" s="130">
        <f t="shared" si="0"/>
        <v>-26.189999999999998</v>
      </c>
      <c r="Y6" s="16">
        <f t="shared" si="2"/>
        <v>60.729326972604056</v>
      </c>
      <c r="Z6" s="130" t="s">
        <v>53</v>
      </c>
      <c r="AA6" s="131" t="s">
        <v>53</v>
      </c>
      <c r="AB6" s="16">
        <v>60.729326972604056</v>
      </c>
      <c r="AC6" s="66" t="s">
        <v>49</v>
      </c>
      <c r="AD6" s="51" t="s">
        <v>54</v>
      </c>
      <c r="AE6" s="13">
        <v>8</v>
      </c>
      <c r="AF6" s="13">
        <v>0</v>
      </c>
      <c r="AG6" s="13">
        <v>0</v>
      </c>
      <c r="AH6" s="134">
        <v>0</v>
      </c>
      <c r="AI6" s="134">
        <v>0</v>
      </c>
      <c r="AJ6" s="135">
        <f t="shared" si="3"/>
        <v>0</v>
      </c>
      <c r="AK6" s="136">
        <f t="shared" si="1"/>
        <v>0</v>
      </c>
      <c r="AL6" s="136" t="str" cm="1">
        <f t="array" ref="AL6">_xlfn.IFS(
AI6&lt;3,"Ligera",
AI6&lt;=6,"Moderada",
AI6&gt;6,"Vigorosa"
)</f>
        <v>Ligera</v>
      </c>
      <c r="AM6" s="45" t="s">
        <v>49</v>
      </c>
      <c r="AN6" s="46" t="s">
        <v>49</v>
      </c>
      <c r="AO6" s="46" t="s">
        <v>49</v>
      </c>
      <c r="AP6" s="46" t="s">
        <v>49</v>
      </c>
      <c r="AQ6" s="139">
        <v>0</v>
      </c>
      <c r="AS6" s="83" t="s">
        <v>68</v>
      </c>
    </row>
    <row r="7" spans="1:45" ht="70.5" customHeight="1" thickBot="1">
      <c r="A7" s="138" t="s">
        <v>44</v>
      </c>
      <c r="B7" s="12">
        <v>29</v>
      </c>
      <c r="C7" s="12">
        <v>84</v>
      </c>
      <c r="D7" s="12">
        <v>27.3</v>
      </c>
      <c r="E7" s="12" t="s">
        <v>45</v>
      </c>
      <c r="F7" s="12" t="s">
        <v>45</v>
      </c>
      <c r="G7" s="12" t="s">
        <v>46</v>
      </c>
      <c r="H7" s="12"/>
      <c r="I7" s="12" t="s">
        <v>45</v>
      </c>
      <c r="J7" s="12" t="s">
        <v>47</v>
      </c>
      <c r="K7" s="12" t="s">
        <v>48</v>
      </c>
      <c r="L7" s="12" t="s">
        <v>49</v>
      </c>
      <c r="M7" s="11" t="s">
        <v>56</v>
      </c>
      <c r="N7" s="11" t="s">
        <v>57</v>
      </c>
      <c r="O7" s="11" t="s">
        <v>58</v>
      </c>
      <c r="P7" s="11" t="s">
        <v>51</v>
      </c>
      <c r="Q7" s="64" t="s">
        <v>67</v>
      </c>
      <c r="R7" s="65">
        <v>11</v>
      </c>
      <c r="S7" s="65">
        <v>414.01</v>
      </c>
      <c r="T7" s="108">
        <v>152.01</v>
      </c>
      <c r="U7" s="65">
        <v>11</v>
      </c>
      <c r="V7" s="65">
        <v>419.55</v>
      </c>
      <c r="W7" s="108">
        <v>192.71</v>
      </c>
      <c r="X7" s="130">
        <f t="shared" si="0"/>
        <v>5.5400000000000205</v>
      </c>
      <c r="Y7" s="16">
        <f t="shared" si="2"/>
        <v>53.04401011510074</v>
      </c>
      <c r="Z7" s="15">
        <f t="shared" si="4"/>
        <v>31.730000000000018</v>
      </c>
      <c r="AA7" s="16">
        <f t="shared" si="5"/>
        <v>40717.382500000007</v>
      </c>
      <c r="AB7" s="16">
        <f t="shared" si="6"/>
        <v>86.041620478379272</v>
      </c>
      <c r="AC7" s="66" t="s">
        <v>49</v>
      </c>
      <c r="AD7" s="67" t="s">
        <v>59</v>
      </c>
      <c r="AE7" s="13">
        <v>8</v>
      </c>
      <c r="AF7" s="13">
        <v>3</v>
      </c>
      <c r="AG7" s="13">
        <v>14.7</v>
      </c>
      <c r="AH7" s="13">
        <v>205160</v>
      </c>
      <c r="AI7" s="13">
        <v>3</v>
      </c>
      <c r="AJ7" s="135">
        <f t="shared" si="3"/>
        <v>44.099999999999994</v>
      </c>
      <c r="AK7" s="136">
        <f t="shared" si="1"/>
        <v>132.29999999999998</v>
      </c>
      <c r="AL7" s="136" t="str" cm="1">
        <f t="array" ref="AL7">_xlfn.IFS(
AI7&lt;3,"Ligera",
AI7&lt;=6,"Moderada",
AI7&gt;6,"Vigorosa"
)</f>
        <v>Moderada</v>
      </c>
      <c r="AM7" s="45" t="s">
        <v>48</v>
      </c>
      <c r="AN7" s="46" t="s">
        <v>60</v>
      </c>
      <c r="AO7" s="46" t="s">
        <v>61</v>
      </c>
      <c r="AP7" s="46" t="s">
        <v>62</v>
      </c>
      <c r="AQ7" s="139">
        <v>0</v>
      </c>
      <c r="AS7" s="83" t="s">
        <v>69</v>
      </c>
    </row>
    <row r="8" spans="1:45" ht="70.5" customHeight="1" thickBot="1">
      <c r="A8" s="124" t="s">
        <v>74</v>
      </c>
      <c r="B8" s="125">
        <v>112</v>
      </c>
      <c r="C8" s="125">
        <v>84.7</v>
      </c>
      <c r="D8" s="125">
        <v>32.700000000000003</v>
      </c>
      <c r="E8" s="125" t="s">
        <v>45</v>
      </c>
      <c r="F8" s="125" t="s">
        <v>45</v>
      </c>
      <c r="G8" s="125" t="s">
        <v>46</v>
      </c>
      <c r="H8" s="125"/>
      <c r="I8" s="125" t="s">
        <v>45</v>
      </c>
      <c r="J8" s="125" t="s">
        <v>47</v>
      </c>
      <c r="K8" s="125" t="s">
        <v>49</v>
      </c>
      <c r="L8" s="125" t="s">
        <v>49</v>
      </c>
      <c r="M8" s="126" t="s">
        <v>50</v>
      </c>
      <c r="N8" s="126" t="s">
        <v>50</v>
      </c>
      <c r="O8" s="126" t="s">
        <v>50</v>
      </c>
      <c r="P8" s="126" t="s">
        <v>51</v>
      </c>
      <c r="Q8" s="127" t="s">
        <v>64</v>
      </c>
      <c r="R8" s="128">
        <v>47</v>
      </c>
      <c r="S8" s="150">
        <v>7.4</v>
      </c>
      <c r="T8" s="128">
        <v>4.0999999999999996</v>
      </c>
      <c r="U8" s="128">
        <v>47</v>
      </c>
      <c r="V8" s="128">
        <v>5.9</v>
      </c>
      <c r="W8" s="128">
        <v>4.2</v>
      </c>
      <c r="X8" s="130">
        <f t="shared" si="0"/>
        <v>-1.5</v>
      </c>
      <c r="Y8" s="16">
        <f t="shared" si="2"/>
        <v>0.60547150608501066</v>
      </c>
      <c r="Z8" s="130" t="s">
        <v>53</v>
      </c>
      <c r="AA8" s="131" t="s">
        <v>53</v>
      </c>
      <c r="AB8" s="16">
        <v>0.60547150608501066</v>
      </c>
      <c r="AC8" s="66" t="s">
        <v>49</v>
      </c>
      <c r="AD8" s="133" t="s">
        <v>75</v>
      </c>
      <c r="AE8" s="135">
        <v>12</v>
      </c>
      <c r="AF8" s="135">
        <v>0</v>
      </c>
      <c r="AG8" s="135">
        <v>0</v>
      </c>
      <c r="AH8" s="134">
        <v>0</v>
      </c>
      <c r="AI8" s="134">
        <v>0</v>
      </c>
      <c r="AJ8" s="135">
        <f t="shared" si="3"/>
        <v>0</v>
      </c>
      <c r="AK8" s="136">
        <f t="shared" si="1"/>
        <v>0</v>
      </c>
      <c r="AL8" s="136" t="str" cm="1">
        <f t="array" ref="AL8">_xlfn.IFS(
AI8&lt;3,"Ligera",
AI8&lt;=6,"Moderada",
AI8&gt;6,"Vigorosa"
)</f>
        <v>Ligera</v>
      </c>
      <c r="AM8" s="288" t="s">
        <v>49</v>
      </c>
      <c r="AN8" s="288" t="s">
        <v>49</v>
      </c>
      <c r="AO8" s="288" t="s">
        <v>49</v>
      </c>
      <c r="AP8" s="288" t="s">
        <v>49</v>
      </c>
      <c r="AQ8" s="137">
        <v>0</v>
      </c>
    </row>
    <row r="9" spans="1:45" ht="70.5" customHeight="1" thickBot="1">
      <c r="A9" s="138" t="s">
        <v>74</v>
      </c>
      <c r="B9" s="12">
        <v>112</v>
      </c>
      <c r="C9" s="12">
        <v>85.1</v>
      </c>
      <c r="D9" s="12">
        <v>26.3</v>
      </c>
      <c r="E9" s="12" t="s">
        <v>45</v>
      </c>
      <c r="F9" s="12" t="s">
        <v>45</v>
      </c>
      <c r="G9" s="12" t="s">
        <v>46</v>
      </c>
      <c r="H9" s="12"/>
      <c r="I9" s="12" t="s">
        <v>45</v>
      </c>
      <c r="J9" s="12" t="s">
        <v>47</v>
      </c>
      <c r="K9" s="12" t="s">
        <v>49</v>
      </c>
      <c r="L9" s="12" t="s">
        <v>49</v>
      </c>
      <c r="M9" s="11" t="s">
        <v>56</v>
      </c>
      <c r="N9" s="11" t="s">
        <v>76</v>
      </c>
      <c r="O9" s="11" t="s">
        <v>77</v>
      </c>
      <c r="P9" s="11" t="s">
        <v>51</v>
      </c>
      <c r="Q9" s="64" t="s">
        <v>64</v>
      </c>
      <c r="R9" s="65">
        <v>45</v>
      </c>
      <c r="S9" s="68">
        <v>7.6</v>
      </c>
      <c r="T9" s="65">
        <v>3.9</v>
      </c>
      <c r="U9" s="65">
        <v>45</v>
      </c>
      <c r="V9" s="65">
        <v>8</v>
      </c>
      <c r="W9" s="65">
        <v>3.8</v>
      </c>
      <c r="X9" s="130">
        <f t="shared" si="0"/>
        <v>0.40000000000000036</v>
      </c>
      <c r="Y9" s="16">
        <f t="shared" si="2"/>
        <v>0.57406929508166127</v>
      </c>
      <c r="Z9" s="15">
        <f t="shared" si="4"/>
        <v>1.9000000000000004</v>
      </c>
      <c r="AA9" s="16">
        <f t="shared" si="5"/>
        <v>16.075555555555557</v>
      </c>
      <c r="AB9" s="16">
        <f t="shared" si="6"/>
        <v>0.83622225803188743</v>
      </c>
      <c r="AC9" s="66" t="s">
        <v>49</v>
      </c>
      <c r="AD9" s="51" t="s">
        <v>78</v>
      </c>
      <c r="AE9" s="13">
        <v>12</v>
      </c>
      <c r="AF9" s="13">
        <v>2</v>
      </c>
      <c r="AG9" s="13">
        <v>50</v>
      </c>
      <c r="AH9" s="13" t="s">
        <v>79</v>
      </c>
      <c r="AI9" s="13">
        <v>3.53</v>
      </c>
      <c r="AJ9" s="135">
        <v>193</v>
      </c>
      <c r="AK9" s="136">
        <f t="shared" si="1"/>
        <v>386</v>
      </c>
      <c r="AL9" s="136" t="str" cm="1">
        <f t="array" ref="AL9">_xlfn.IFS(
AI9&lt;3,"Ligera",
AI9&lt;=6,"Moderada",
AI9&gt;6,"Vigorosa"
)</f>
        <v>Moderada</v>
      </c>
      <c r="AM9" s="45" t="s">
        <v>48</v>
      </c>
      <c r="AN9" s="46" t="s">
        <v>60</v>
      </c>
      <c r="AO9" s="46" t="s">
        <v>61</v>
      </c>
      <c r="AP9" s="289" t="s">
        <v>62</v>
      </c>
      <c r="AQ9" s="139">
        <v>0</v>
      </c>
      <c r="AR9" s="46" t="s">
        <v>80</v>
      </c>
    </row>
    <row r="10" spans="1:45" ht="70.5" customHeight="1" thickBot="1">
      <c r="A10" s="138" t="s">
        <v>74</v>
      </c>
      <c r="B10" s="12">
        <v>112</v>
      </c>
      <c r="C10" s="12">
        <v>84.7</v>
      </c>
      <c r="D10" s="12">
        <v>32.700000000000003</v>
      </c>
      <c r="E10" s="12" t="s">
        <v>45</v>
      </c>
      <c r="F10" s="12" t="s">
        <v>45</v>
      </c>
      <c r="G10" s="12" t="s">
        <v>46</v>
      </c>
      <c r="H10" s="12"/>
      <c r="I10" s="12" t="s">
        <v>45</v>
      </c>
      <c r="J10" s="12" t="s">
        <v>47</v>
      </c>
      <c r="K10" s="12" t="s">
        <v>49</v>
      </c>
      <c r="L10" s="12" t="s">
        <v>49</v>
      </c>
      <c r="M10" s="11" t="s">
        <v>50</v>
      </c>
      <c r="N10" s="11" t="s">
        <v>50</v>
      </c>
      <c r="O10" s="11" t="s">
        <v>50</v>
      </c>
      <c r="P10" s="11" t="s">
        <v>51</v>
      </c>
      <c r="Q10" s="64" t="s">
        <v>81</v>
      </c>
      <c r="R10" s="65">
        <v>47</v>
      </c>
      <c r="S10" s="68">
        <v>11.9</v>
      </c>
      <c r="T10" s="65">
        <v>4.0999999999999996</v>
      </c>
      <c r="U10" s="65">
        <v>47</v>
      </c>
      <c r="V10" s="65">
        <v>10.199999999999999</v>
      </c>
      <c r="W10" s="65">
        <v>4.7</v>
      </c>
      <c r="X10" s="130">
        <f t="shared" si="0"/>
        <v>-1.7000000000000011</v>
      </c>
      <c r="Y10" s="16">
        <f t="shared" si="2"/>
        <v>0.64626586979979472</v>
      </c>
      <c r="Z10" s="130" t="s">
        <v>53</v>
      </c>
      <c r="AA10" s="131" t="s">
        <v>53</v>
      </c>
      <c r="AB10" s="16">
        <v>0.64626586979979472</v>
      </c>
      <c r="AC10" s="66" t="s">
        <v>49</v>
      </c>
      <c r="AD10" s="51" t="s">
        <v>75</v>
      </c>
      <c r="AE10" s="46">
        <v>12</v>
      </c>
      <c r="AF10" s="46">
        <v>0</v>
      </c>
      <c r="AG10" s="46">
        <v>0</v>
      </c>
      <c r="AH10" s="134">
        <v>0</v>
      </c>
      <c r="AI10" s="134">
        <v>0</v>
      </c>
      <c r="AJ10" s="135">
        <f t="shared" si="3"/>
        <v>0</v>
      </c>
      <c r="AK10" s="136">
        <f t="shared" si="1"/>
        <v>0</v>
      </c>
      <c r="AL10" s="136" t="str" cm="1">
        <f t="array" ref="AL10">_xlfn.IFS(
AI10&lt;3,"Ligera",
AI10&lt;=6,"Moderada",
AI10&gt;6,"Vigorosa"
)</f>
        <v>Ligera</v>
      </c>
      <c r="AM10" s="289" t="s">
        <v>49</v>
      </c>
      <c r="AN10" s="289" t="s">
        <v>49</v>
      </c>
      <c r="AO10" s="289" t="s">
        <v>49</v>
      </c>
      <c r="AP10" s="289" t="s">
        <v>49</v>
      </c>
      <c r="AQ10" s="139">
        <v>0</v>
      </c>
    </row>
    <row r="11" spans="1:45" ht="70.5" customHeight="1" thickBot="1">
      <c r="A11" s="138" t="s">
        <v>74</v>
      </c>
      <c r="B11" s="12">
        <v>112</v>
      </c>
      <c r="C11" s="12">
        <v>85.1</v>
      </c>
      <c r="D11" s="12">
        <v>26.3</v>
      </c>
      <c r="E11" s="12" t="s">
        <v>45</v>
      </c>
      <c r="F11" s="12" t="s">
        <v>45</v>
      </c>
      <c r="G11" s="12" t="s">
        <v>46</v>
      </c>
      <c r="H11" s="12"/>
      <c r="I11" s="12" t="s">
        <v>45</v>
      </c>
      <c r="J11" s="12" t="s">
        <v>47</v>
      </c>
      <c r="K11" s="12" t="s">
        <v>49</v>
      </c>
      <c r="L11" s="12" t="s">
        <v>49</v>
      </c>
      <c r="M11" s="11" t="s">
        <v>56</v>
      </c>
      <c r="N11" s="11" t="s">
        <v>76</v>
      </c>
      <c r="O11" s="11" t="s">
        <v>77</v>
      </c>
      <c r="P11" s="11" t="s">
        <v>51</v>
      </c>
      <c r="Q11" s="64" t="s">
        <v>81</v>
      </c>
      <c r="R11" s="65">
        <v>45</v>
      </c>
      <c r="S11" s="65">
        <v>13.1</v>
      </c>
      <c r="T11" s="69">
        <v>3.9</v>
      </c>
      <c r="U11" s="65">
        <v>45</v>
      </c>
      <c r="V11" s="65">
        <v>13.8</v>
      </c>
      <c r="W11" s="65">
        <v>3.8</v>
      </c>
      <c r="X11" s="130">
        <f t="shared" si="0"/>
        <v>0.70000000000000107</v>
      </c>
      <c r="Y11" s="16">
        <f t="shared" si="2"/>
        <v>0.57406929508166127</v>
      </c>
      <c r="Z11" s="15">
        <f t="shared" si="4"/>
        <v>2.4000000000000021</v>
      </c>
      <c r="AA11" s="16">
        <f t="shared" si="5"/>
        <v>18.350000000000001</v>
      </c>
      <c r="AB11" s="16">
        <f t="shared" si="6"/>
        <v>0.89342224602517673</v>
      </c>
      <c r="AC11" s="66" t="s">
        <v>49</v>
      </c>
      <c r="AD11" s="51" t="s">
        <v>78</v>
      </c>
      <c r="AE11" s="13">
        <v>12</v>
      </c>
      <c r="AF11" s="13">
        <v>2</v>
      </c>
      <c r="AG11" s="13">
        <v>50</v>
      </c>
      <c r="AH11" s="13" t="s">
        <v>79</v>
      </c>
      <c r="AI11" s="13">
        <v>3.53</v>
      </c>
      <c r="AJ11" s="135">
        <v>193</v>
      </c>
      <c r="AK11" s="136">
        <f t="shared" si="1"/>
        <v>386</v>
      </c>
      <c r="AL11" s="136" t="str" cm="1">
        <f t="array" ref="AL11">_xlfn.IFS(
AI11&lt;3,"Ligera",
AI11&lt;=6,"Moderada",
AI11&gt;6,"Vigorosa"
)</f>
        <v>Moderada</v>
      </c>
      <c r="AM11" s="45" t="s">
        <v>48</v>
      </c>
      <c r="AN11" s="46" t="s">
        <v>60</v>
      </c>
      <c r="AO11" s="46" t="s">
        <v>61</v>
      </c>
      <c r="AP11" s="289" t="s">
        <v>62</v>
      </c>
      <c r="AQ11" s="139">
        <v>0</v>
      </c>
      <c r="AR11" s="46" t="s">
        <v>80</v>
      </c>
    </row>
    <row r="12" spans="1:45" ht="70.5" customHeight="1" thickBot="1">
      <c r="A12" s="138" t="s">
        <v>74</v>
      </c>
      <c r="B12" s="12">
        <v>112</v>
      </c>
      <c r="C12" s="12">
        <v>84.7</v>
      </c>
      <c r="D12" s="12">
        <v>32.700000000000003</v>
      </c>
      <c r="E12" s="12" t="s">
        <v>45</v>
      </c>
      <c r="F12" s="12" t="s">
        <v>45</v>
      </c>
      <c r="G12" s="12" t="s">
        <v>46</v>
      </c>
      <c r="H12" s="12"/>
      <c r="I12" s="12" t="s">
        <v>45</v>
      </c>
      <c r="J12" s="12" t="s">
        <v>47</v>
      </c>
      <c r="K12" s="12" t="s">
        <v>49</v>
      </c>
      <c r="L12" s="12" t="s">
        <v>49</v>
      </c>
      <c r="M12" s="11" t="s">
        <v>50</v>
      </c>
      <c r="N12" s="11" t="s">
        <v>50</v>
      </c>
      <c r="O12" s="11" t="s">
        <v>50</v>
      </c>
      <c r="P12" s="11" t="s">
        <v>51</v>
      </c>
      <c r="Q12" s="64" t="s">
        <v>82</v>
      </c>
      <c r="R12" s="65">
        <v>47</v>
      </c>
      <c r="S12" s="65">
        <v>217.4</v>
      </c>
      <c r="T12" s="65">
        <v>93.8</v>
      </c>
      <c r="U12" s="65">
        <v>47</v>
      </c>
      <c r="V12" s="65">
        <v>188.8</v>
      </c>
      <c r="W12" s="65">
        <v>83.5</v>
      </c>
      <c r="X12" s="130">
        <f t="shared" si="0"/>
        <v>-28.599999999999994</v>
      </c>
      <c r="Y12" s="16">
        <f t="shared" si="2"/>
        <v>12.996226948373016</v>
      </c>
      <c r="Z12" s="130" t="s">
        <v>53</v>
      </c>
      <c r="AA12" s="131" t="s">
        <v>53</v>
      </c>
      <c r="AB12" s="16">
        <v>12.996226948373016</v>
      </c>
      <c r="AC12" s="66" t="s">
        <v>49</v>
      </c>
      <c r="AD12" s="51" t="s">
        <v>75</v>
      </c>
      <c r="AE12" s="46">
        <v>12</v>
      </c>
      <c r="AF12" s="46">
        <v>0</v>
      </c>
      <c r="AG12" s="46">
        <v>0</v>
      </c>
      <c r="AH12" s="134">
        <v>0</v>
      </c>
      <c r="AI12" s="134">
        <v>0</v>
      </c>
      <c r="AJ12" s="135">
        <f t="shared" si="3"/>
        <v>0</v>
      </c>
      <c r="AK12" s="136">
        <f t="shared" si="1"/>
        <v>0</v>
      </c>
      <c r="AL12" s="136" t="str" cm="1">
        <f t="array" ref="AL12">_xlfn.IFS(
AI12&lt;3,"Ligera",
AI12&lt;=6,"Moderada",
AI12&gt;6,"Vigorosa"
)</f>
        <v>Ligera</v>
      </c>
      <c r="AM12" s="289" t="s">
        <v>49</v>
      </c>
      <c r="AN12" s="289" t="s">
        <v>49</v>
      </c>
      <c r="AO12" s="289" t="s">
        <v>49</v>
      </c>
      <c r="AP12" s="289" t="s">
        <v>49</v>
      </c>
      <c r="AQ12" s="139">
        <v>0</v>
      </c>
    </row>
    <row r="13" spans="1:45" ht="70.5" customHeight="1" thickBot="1">
      <c r="A13" s="138" t="s">
        <v>74</v>
      </c>
      <c r="B13" s="12">
        <v>112</v>
      </c>
      <c r="C13" s="12">
        <v>85.1</v>
      </c>
      <c r="D13" s="12">
        <v>26.3</v>
      </c>
      <c r="E13" s="12" t="s">
        <v>45</v>
      </c>
      <c r="F13" s="12" t="s">
        <v>45</v>
      </c>
      <c r="G13" s="12" t="s">
        <v>46</v>
      </c>
      <c r="H13" s="12"/>
      <c r="I13" s="12" t="s">
        <v>45</v>
      </c>
      <c r="J13" s="12" t="s">
        <v>47</v>
      </c>
      <c r="K13" s="12" t="s">
        <v>49</v>
      </c>
      <c r="L13" s="12" t="s">
        <v>49</v>
      </c>
      <c r="M13" s="11" t="s">
        <v>56</v>
      </c>
      <c r="N13" s="11" t="s">
        <v>76</v>
      </c>
      <c r="O13" s="11" t="s">
        <v>77</v>
      </c>
      <c r="P13" s="11" t="s">
        <v>51</v>
      </c>
      <c r="Q13" s="64" t="s">
        <v>82</v>
      </c>
      <c r="R13" s="65">
        <v>45</v>
      </c>
      <c r="S13" s="65">
        <v>244.7</v>
      </c>
      <c r="T13" s="65">
        <v>96.9</v>
      </c>
      <c r="U13" s="65">
        <v>45</v>
      </c>
      <c r="V13" s="65">
        <v>238.6</v>
      </c>
      <c r="W13" s="65">
        <v>110.2</v>
      </c>
      <c r="X13" s="130">
        <f t="shared" si="0"/>
        <v>-6.0999999999999943</v>
      </c>
      <c r="Y13" s="16">
        <f t="shared" si="2"/>
        <v>15.531523499715739</v>
      </c>
      <c r="Z13" s="15">
        <f t="shared" si="4"/>
        <v>22.5</v>
      </c>
      <c r="AA13" s="16">
        <f t="shared" si="5"/>
        <v>9500.6806666666671</v>
      </c>
      <c r="AB13" s="16">
        <f t="shared" si="6"/>
        <v>20.329003391239048</v>
      </c>
      <c r="AC13" s="66" t="s">
        <v>49</v>
      </c>
      <c r="AD13" s="51" t="s">
        <v>78</v>
      </c>
      <c r="AE13" s="13">
        <v>12</v>
      </c>
      <c r="AF13" s="13">
        <v>2</v>
      </c>
      <c r="AG13" s="13">
        <v>50</v>
      </c>
      <c r="AH13" s="13" t="s">
        <v>79</v>
      </c>
      <c r="AI13" s="13">
        <v>3.53</v>
      </c>
      <c r="AJ13" s="135">
        <v>193</v>
      </c>
      <c r="AK13" s="136">
        <f t="shared" si="1"/>
        <v>386</v>
      </c>
      <c r="AL13" s="136" t="str" cm="1">
        <f t="array" ref="AL13">_xlfn.IFS(
AI13&lt;3,"Ligera",
AI13&lt;=6,"Moderada",
AI13&gt;6,"Vigorosa"
)</f>
        <v>Moderada</v>
      </c>
      <c r="AM13" s="45" t="s">
        <v>48</v>
      </c>
      <c r="AN13" s="46" t="s">
        <v>60</v>
      </c>
      <c r="AO13" s="46" t="s">
        <v>61</v>
      </c>
      <c r="AP13" s="289" t="s">
        <v>62</v>
      </c>
      <c r="AQ13" s="139">
        <v>0</v>
      </c>
      <c r="AR13" s="46" t="s">
        <v>80</v>
      </c>
    </row>
    <row r="14" spans="1:45" ht="70.5" customHeight="1" thickBot="1">
      <c r="A14" s="138" t="s">
        <v>74</v>
      </c>
      <c r="B14" s="12">
        <v>112</v>
      </c>
      <c r="C14" s="12">
        <v>84.7</v>
      </c>
      <c r="D14" s="12">
        <v>32.700000000000003</v>
      </c>
      <c r="E14" s="12" t="s">
        <v>45</v>
      </c>
      <c r="F14" s="12" t="s">
        <v>45</v>
      </c>
      <c r="G14" s="12" t="s">
        <v>46</v>
      </c>
      <c r="H14" s="12"/>
      <c r="I14" s="12" t="s">
        <v>45</v>
      </c>
      <c r="J14" s="12" t="s">
        <v>47</v>
      </c>
      <c r="K14" s="12" t="s">
        <v>49</v>
      </c>
      <c r="L14" s="12" t="s">
        <v>49</v>
      </c>
      <c r="M14" s="11" t="s">
        <v>50</v>
      </c>
      <c r="N14" s="11" t="s">
        <v>50</v>
      </c>
      <c r="O14" s="11" t="s">
        <v>50</v>
      </c>
      <c r="P14" s="11" t="s">
        <v>51</v>
      </c>
      <c r="Q14" s="64" t="s">
        <v>83</v>
      </c>
      <c r="R14" s="65">
        <v>47</v>
      </c>
      <c r="S14" s="65">
        <v>-12.7</v>
      </c>
      <c r="T14" s="65">
        <v>10.9</v>
      </c>
      <c r="U14" s="65">
        <v>47</v>
      </c>
      <c r="V14" s="65">
        <v>-10.3</v>
      </c>
      <c r="W14" s="65">
        <v>12.2</v>
      </c>
      <c r="X14" s="130">
        <f t="shared" si="0"/>
        <v>2.3999999999999986</v>
      </c>
      <c r="Y14" s="16">
        <f t="shared" si="2"/>
        <v>1.692725361343703</v>
      </c>
      <c r="Z14" s="130" t="s">
        <v>53</v>
      </c>
      <c r="AA14" s="131" t="s">
        <v>53</v>
      </c>
      <c r="AB14" s="16">
        <v>1.692725361343703</v>
      </c>
      <c r="AC14" s="66" t="s">
        <v>49</v>
      </c>
      <c r="AD14" s="51" t="s">
        <v>75</v>
      </c>
      <c r="AE14" s="46">
        <v>12</v>
      </c>
      <c r="AF14" s="46">
        <v>0</v>
      </c>
      <c r="AG14" s="46">
        <v>0</v>
      </c>
      <c r="AH14" s="134">
        <v>0</v>
      </c>
      <c r="AI14" s="134">
        <v>0</v>
      </c>
      <c r="AJ14" s="135">
        <f t="shared" si="3"/>
        <v>0</v>
      </c>
      <c r="AK14" s="136">
        <f t="shared" si="1"/>
        <v>0</v>
      </c>
      <c r="AL14" s="136" t="str" cm="1">
        <f t="array" ref="AL14">_xlfn.IFS(
AI14&lt;3,"Ligera",
AI14&lt;=6,"Moderada",
AI14&gt;6,"Vigorosa"
)</f>
        <v>Ligera</v>
      </c>
      <c r="AM14" s="289" t="s">
        <v>49</v>
      </c>
      <c r="AN14" s="289" t="s">
        <v>49</v>
      </c>
      <c r="AO14" s="289" t="s">
        <v>49</v>
      </c>
      <c r="AP14" s="289" t="s">
        <v>49</v>
      </c>
      <c r="AQ14" s="139">
        <v>0</v>
      </c>
    </row>
    <row r="15" spans="1:45" ht="70.5" customHeight="1" thickBot="1">
      <c r="A15" s="138" t="s">
        <v>74</v>
      </c>
      <c r="B15" s="12">
        <v>112</v>
      </c>
      <c r="C15" s="12">
        <v>85.1</v>
      </c>
      <c r="D15" s="12">
        <v>26.3</v>
      </c>
      <c r="E15" s="12" t="s">
        <v>45</v>
      </c>
      <c r="F15" s="12" t="s">
        <v>45</v>
      </c>
      <c r="G15" s="12" t="s">
        <v>46</v>
      </c>
      <c r="H15" s="12"/>
      <c r="I15" s="12" t="s">
        <v>45</v>
      </c>
      <c r="J15" s="12" t="s">
        <v>47</v>
      </c>
      <c r="K15" s="12" t="s">
        <v>49</v>
      </c>
      <c r="L15" s="12" t="s">
        <v>49</v>
      </c>
      <c r="M15" s="11" t="s">
        <v>56</v>
      </c>
      <c r="N15" s="11" t="s">
        <v>76</v>
      </c>
      <c r="O15" s="11" t="s">
        <v>77</v>
      </c>
      <c r="P15" s="11" t="s">
        <v>51</v>
      </c>
      <c r="Q15" s="64" t="s">
        <v>83</v>
      </c>
      <c r="R15" s="65">
        <v>45</v>
      </c>
      <c r="S15" s="65">
        <v>-10.5</v>
      </c>
      <c r="T15" s="65">
        <v>9.4</v>
      </c>
      <c r="U15" s="65">
        <v>45</v>
      </c>
      <c r="V15" s="65">
        <v>-6.9</v>
      </c>
      <c r="W15" s="65">
        <v>9.3000000000000007</v>
      </c>
      <c r="X15" s="130">
        <f t="shared" si="0"/>
        <v>3.5999999999999996</v>
      </c>
      <c r="Y15" s="16">
        <f t="shared" si="2"/>
        <v>1.3938754926064554</v>
      </c>
      <c r="Z15" s="15">
        <f t="shared" si="4"/>
        <v>1.2000000000000011</v>
      </c>
      <c r="AA15" s="16">
        <f t="shared" si="5"/>
        <v>118.35777777777777</v>
      </c>
      <c r="AB15" s="16">
        <f t="shared" si="6"/>
        <v>2.2690137572352267</v>
      </c>
      <c r="AC15" s="66" t="s">
        <v>49</v>
      </c>
      <c r="AD15" s="51" t="s">
        <v>78</v>
      </c>
      <c r="AE15" s="13">
        <v>12</v>
      </c>
      <c r="AF15" s="13">
        <v>2</v>
      </c>
      <c r="AG15" s="13">
        <v>50</v>
      </c>
      <c r="AH15" s="13" t="s">
        <v>79</v>
      </c>
      <c r="AI15" s="13">
        <v>3.53</v>
      </c>
      <c r="AJ15" s="135">
        <v>193</v>
      </c>
      <c r="AK15" s="136">
        <f t="shared" si="1"/>
        <v>386</v>
      </c>
      <c r="AL15" s="136" t="str" cm="1">
        <f t="array" ref="AL15">_xlfn.IFS(
AI15&lt;3,"Ligera",
AI15&lt;=6,"Moderada",
AI15&gt;6,"Vigorosa"
)</f>
        <v>Moderada</v>
      </c>
      <c r="AM15" s="45" t="s">
        <v>48</v>
      </c>
      <c r="AN15" s="46" t="s">
        <v>60</v>
      </c>
      <c r="AO15" s="46" t="s">
        <v>61</v>
      </c>
      <c r="AP15" s="289" t="s">
        <v>62</v>
      </c>
      <c r="AQ15" s="139">
        <v>0</v>
      </c>
      <c r="AR15" s="46" t="s">
        <v>80</v>
      </c>
    </row>
    <row r="16" spans="1:45" ht="70.5" customHeight="1" thickBot="1">
      <c r="A16" s="138" t="s">
        <v>74</v>
      </c>
      <c r="B16" s="12">
        <v>112</v>
      </c>
      <c r="C16" s="12">
        <v>84.7</v>
      </c>
      <c r="D16" s="12">
        <v>32.700000000000003</v>
      </c>
      <c r="E16" s="12" t="s">
        <v>45</v>
      </c>
      <c r="F16" s="12" t="s">
        <v>45</v>
      </c>
      <c r="G16" s="12" t="s">
        <v>46</v>
      </c>
      <c r="H16" s="12"/>
      <c r="I16" s="12" t="s">
        <v>45</v>
      </c>
      <c r="J16" s="12" t="s">
        <v>47</v>
      </c>
      <c r="K16" s="12" t="s">
        <v>49</v>
      </c>
      <c r="L16" s="12" t="s">
        <v>49</v>
      </c>
      <c r="M16" s="11" t="s">
        <v>50</v>
      </c>
      <c r="N16" s="11" t="s">
        <v>50</v>
      </c>
      <c r="O16" s="11" t="s">
        <v>50</v>
      </c>
      <c r="P16" s="11" t="s">
        <v>51</v>
      </c>
      <c r="Q16" s="64" t="s">
        <v>84</v>
      </c>
      <c r="R16" s="65">
        <v>47</v>
      </c>
      <c r="S16" s="65">
        <v>0.64</v>
      </c>
      <c r="T16" s="65">
        <v>0.24</v>
      </c>
      <c r="U16" s="65">
        <v>47</v>
      </c>
      <c r="V16" s="65">
        <v>0.59</v>
      </c>
      <c r="W16" s="65">
        <v>0.26</v>
      </c>
      <c r="X16" s="130">
        <f t="shared" si="0"/>
        <v>-5.0000000000000044E-2</v>
      </c>
      <c r="Y16" s="16">
        <f t="shared" si="2"/>
        <v>3.6553662097879573E-2</v>
      </c>
      <c r="Z16" s="130" t="s">
        <v>53</v>
      </c>
      <c r="AA16" s="131" t="s">
        <v>53</v>
      </c>
      <c r="AB16" s="16">
        <v>3.6553662097879573E-2</v>
      </c>
      <c r="AC16" s="66" t="s">
        <v>49</v>
      </c>
      <c r="AD16" s="51" t="s">
        <v>75</v>
      </c>
      <c r="AE16" s="46">
        <v>12</v>
      </c>
      <c r="AF16" s="46">
        <v>0</v>
      </c>
      <c r="AG16" s="46">
        <v>0</v>
      </c>
      <c r="AH16" s="134">
        <v>0</v>
      </c>
      <c r="AI16" s="134">
        <v>0</v>
      </c>
      <c r="AJ16" s="135">
        <f t="shared" si="3"/>
        <v>0</v>
      </c>
      <c r="AK16" s="136">
        <f t="shared" si="1"/>
        <v>0</v>
      </c>
      <c r="AL16" s="136" t="str" cm="1">
        <f t="array" ref="AL16">_xlfn.IFS(
AI16&lt;3,"Ligera",
AI16&lt;=6,"Moderada",
AI16&gt;6,"Vigorosa"
)</f>
        <v>Ligera</v>
      </c>
      <c r="AM16" s="289" t="s">
        <v>49</v>
      </c>
      <c r="AN16" s="289" t="s">
        <v>49</v>
      </c>
      <c r="AO16" s="289" t="s">
        <v>49</v>
      </c>
      <c r="AP16" s="289" t="s">
        <v>49</v>
      </c>
      <c r="AQ16" s="139">
        <v>0</v>
      </c>
    </row>
    <row r="17" spans="1:45" ht="70.5" customHeight="1" thickBot="1">
      <c r="A17" s="138" t="s">
        <v>74</v>
      </c>
      <c r="B17" s="12">
        <v>112</v>
      </c>
      <c r="C17" s="12">
        <v>85.1</v>
      </c>
      <c r="D17" s="12">
        <v>26.3</v>
      </c>
      <c r="E17" s="12" t="s">
        <v>45</v>
      </c>
      <c r="F17" s="12" t="s">
        <v>45</v>
      </c>
      <c r="G17" s="12" t="s">
        <v>46</v>
      </c>
      <c r="H17" s="12"/>
      <c r="I17" s="12" t="s">
        <v>45</v>
      </c>
      <c r="J17" s="12" t="s">
        <v>47</v>
      </c>
      <c r="K17" s="12" t="s">
        <v>49</v>
      </c>
      <c r="L17" s="12" t="s">
        <v>49</v>
      </c>
      <c r="M17" s="11" t="s">
        <v>56</v>
      </c>
      <c r="N17" s="11" t="s">
        <v>76</v>
      </c>
      <c r="O17" s="11" t="s">
        <v>77</v>
      </c>
      <c r="P17" s="11" t="s">
        <v>51</v>
      </c>
      <c r="Q17" s="64" t="s">
        <v>84</v>
      </c>
      <c r="R17" s="65">
        <v>45</v>
      </c>
      <c r="S17" s="65">
        <v>0.66</v>
      </c>
      <c r="T17" s="65">
        <v>0.24</v>
      </c>
      <c r="U17" s="65">
        <v>45</v>
      </c>
      <c r="V17" s="65">
        <v>0.75</v>
      </c>
      <c r="W17" s="65">
        <v>0.28000000000000003</v>
      </c>
      <c r="X17" s="130">
        <f t="shared" si="0"/>
        <v>8.9999999999999969E-2</v>
      </c>
      <c r="Y17" s="16">
        <f t="shared" si="2"/>
        <v>3.9101008796307145E-2</v>
      </c>
      <c r="Z17" s="15">
        <f t="shared" si="4"/>
        <v>0.14000000000000001</v>
      </c>
      <c r="AA17" s="16">
        <f t="shared" si="5"/>
        <v>7.288E-2</v>
      </c>
      <c r="AB17" s="16">
        <f t="shared" si="6"/>
        <v>5.630447454179726E-2</v>
      </c>
      <c r="AC17" s="66" t="s">
        <v>49</v>
      </c>
      <c r="AD17" s="51" t="s">
        <v>78</v>
      </c>
      <c r="AE17" s="13">
        <v>12</v>
      </c>
      <c r="AF17" s="13">
        <v>2</v>
      </c>
      <c r="AG17" s="13">
        <v>50</v>
      </c>
      <c r="AH17" s="13" t="s">
        <v>79</v>
      </c>
      <c r="AI17" s="13">
        <v>3.53</v>
      </c>
      <c r="AJ17" s="135">
        <v>193</v>
      </c>
      <c r="AK17" s="136">
        <f t="shared" si="1"/>
        <v>386</v>
      </c>
      <c r="AL17" s="136" t="str" cm="1">
        <f t="array" ref="AL17">_xlfn.IFS(
AI17&lt;3,"Ligera",
AI17&lt;=6,"Moderada",
AI17&gt;6,"Vigorosa"
)</f>
        <v>Moderada</v>
      </c>
      <c r="AM17" s="45" t="s">
        <v>48</v>
      </c>
      <c r="AN17" s="46" t="s">
        <v>60</v>
      </c>
      <c r="AO17" s="46" t="s">
        <v>61</v>
      </c>
      <c r="AP17" s="289" t="s">
        <v>62</v>
      </c>
      <c r="AQ17" s="139">
        <v>0</v>
      </c>
      <c r="AR17" s="46" t="s">
        <v>80</v>
      </c>
    </row>
    <row r="18" spans="1:45" ht="70.5" customHeight="1" thickBot="1">
      <c r="A18" s="138" t="s">
        <v>74</v>
      </c>
      <c r="B18" s="12">
        <v>112</v>
      </c>
      <c r="C18" s="12">
        <v>84.7</v>
      </c>
      <c r="D18" s="12">
        <v>32.700000000000003</v>
      </c>
      <c r="E18" s="12" t="s">
        <v>45</v>
      </c>
      <c r="F18" s="12" t="s">
        <v>45</v>
      </c>
      <c r="G18" s="12" t="s">
        <v>46</v>
      </c>
      <c r="H18" s="12"/>
      <c r="I18" s="12" t="s">
        <v>45</v>
      </c>
      <c r="J18" s="12" t="s">
        <v>47</v>
      </c>
      <c r="K18" s="12" t="s">
        <v>49</v>
      </c>
      <c r="L18" s="12" t="s">
        <v>49</v>
      </c>
      <c r="M18" s="11" t="s">
        <v>50</v>
      </c>
      <c r="N18" s="11" t="s">
        <v>50</v>
      </c>
      <c r="O18" s="11" t="s">
        <v>50</v>
      </c>
      <c r="P18" s="11" t="s">
        <v>51</v>
      </c>
      <c r="Q18" s="64" t="s">
        <v>85</v>
      </c>
      <c r="R18" s="65">
        <v>47</v>
      </c>
      <c r="S18" s="65">
        <v>0.85</v>
      </c>
      <c r="T18" s="65">
        <v>0.34</v>
      </c>
      <c r="U18" s="65">
        <v>47</v>
      </c>
      <c r="V18" s="65">
        <v>0.79</v>
      </c>
      <c r="W18" s="65">
        <v>0.36</v>
      </c>
      <c r="X18" s="130">
        <f t="shared" si="0"/>
        <v>-5.9999999999999942E-2</v>
      </c>
      <c r="Y18" s="16">
        <f t="shared" si="2"/>
        <v>5.1115222365229022E-2</v>
      </c>
      <c r="Z18" s="130" t="s">
        <v>53</v>
      </c>
      <c r="AA18" s="131" t="s">
        <v>53</v>
      </c>
      <c r="AB18" s="16">
        <v>5.1115222365229022E-2</v>
      </c>
      <c r="AC18" s="66" t="s">
        <v>49</v>
      </c>
      <c r="AD18" s="51" t="s">
        <v>75</v>
      </c>
      <c r="AE18" s="46">
        <v>12</v>
      </c>
      <c r="AF18" s="46">
        <v>0</v>
      </c>
      <c r="AG18" s="46">
        <v>0</v>
      </c>
      <c r="AH18" s="134">
        <v>0</v>
      </c>
      <c r="AI18" s="134">
        <v>0</v>
      </c>
      <c r="AJ18" s="135">
        <f t="shared" si="3"/>
        <v>0</v>
      </c>
      <c r="AK18" s="136">
        <f t="shared" si="1"/>
        <v>0</v>
      </c>
      <c r="AL18" s="136" t="str" cm="1">
        <f t="array" ref="AL18">_xlfn.IFS(
AI18&lt;3,"Ligera",
AI18&lt;=6,"Moderada",
AI18&gt;6,"Vigorosa"
)</f>
        <v>Ligera</v>
      </c>
      <c r="AM18" s="289" t="s">
        <v>49</v>
      </c>
      <c r="AN18" s="289" t="s">
        <v>49</v>
      </c>
      <c r="AO18" s="289" t="s">
        <v>49</v>
      </c>
      <c r="AP18" s="289" t="s">
        <v>49</v>
      </c>
      <c r="AQ18" s="139">
        <v>0</v>
      </c>
      <c r="AR18" s="46"/>
    </row>
    <row r="19" spans="1:45" ht="70.5" customHeight="1" thickBot="1">
      <c r="A19" s="138" t="s">
        <v>74</v>
      </c>
      <c r="B19" s="12">
        <v>112</v>
      </c>
      <c r="C19" s="12">
        <v>85.1</v>
      </c>
      <c r="D19" s="12">
        <v>26.3</v>
      </c>
      <c r="E19" s="12" t="s">
        <v>45</v>
      </c>
      <c r="F19" s="12" t="s">
        <v>45</v>
      </c>
      <c r="G19" s="12" t="s">
        <v>46</v>
      </c>
      <c r="H19" s="12"/>
      <c r="I19" s="12" t="s">
        <v>45</v>
      </c>
      <c r="J19" s="12" t="s">
        <v>47</v>
      </c>
      <c r="K19" s="12" t="s">
        <v>49</v>
      </c>
      <c r="L19" s="12" t="s">
        <v>49</v>
      </c>
      <c r="M19" s="11" t="s">
        <v>56</v>
      </c>
      <c r="N19" s="11" t="s">
        <v>76</v>
      </c>
      <c r="O19" s="11" t="s">
        <v>77</v>
      </c>
      <c r="P19" s="11" t="s">
        <v>51</v>
      </c>
      <c r="Q19" s="64" t="s">
        <v>85</v>
      </c>
      <c r="R19" s="65">
        <v>45</v>
      </c>
      <c r="S19" s="65">
        <v>0.66</v>
      </c>
      <c r="T19" s="65">
        <v>0.24</v>
      </c>
      <c r="U19" s="65">
        <v>45</v>
      </c>
      <c r="V19" s="65">
        <v>0.75</v>
      </c>
      <c r="W19" s="65">
        <v>0.28000000000000003</v>
      </c>
      <c r="X19" s="130">
        <f t="shared" si="0"/>
        <v>8.9999999999999969E-2</v>
      </c>
      <c r="Y19" s="16">
        <f t="shared" si="2"/>
        <v>3.9101008796307145E-2</v>
      </c>
      <c r="Z19" s="15">
        <f t="shared" si="4"/>
        <v>0.14999999999999991</v>
      </c>
      <c r="AA19" s="16">
        <f t="shared" si="5"/>
        <v>0.10456888888888891</v>
      </c>
      <c r="AB19" s="16">
        <f t="shared" si="6"/>
        <v>6.7443480506117801E-2</v>
      </c>
      <c r="AC19" s="66" t="s">
        <v>49</v>
      </c>
      <c r="AD19" s="51" t="s">
        <v>78</v>
      </c>
      <c r="AE19" s="13">
        <v>12</v>
      </c>
      <c r="AF19" s="13">
        <v>2</v>
      </c>
      <c r="AG19" s="13">
        <v>50</v>
      </c>
      <c r="AH19" s="13" t="s">
        <v>79</v>
      </c>
      <c r="AI19" s="13">
        <v>3.53</v>
      </c>
      <c r="AJ19" s="135">
        <v>193</v>
      </c>
      <c r="AK19" s="136">
        <f t="shared" si="1"/>
        <v>386</v>
      </c>
      <c r="AL19" s="136" t="str" cm="1">
        <f t="array" ref="AL19">_xlfn.IFS(
AI19&lt;3,"Ligera",
AI19&lt;=6,"Moderada",
AI19&gt;6,"Vigorosa"
)</f>
        <v>Moderada</v>
      </c>
      <c r="AM19" s="45" t="s">
        <v>48</v>
      </c>
      <c r="AN19" s="46" t="s">
        <v>60</v>
      </c>
      <c r="AO19" s="46" t="s">
        <v>61</v>
      </c>
      <c r="AP19" s="289" t="s">
        <v>62</v>
      </c>
      <c r="AQ19" s="139">
        <v>0</v>
      </c>
      <c r="AR19" s="46"/>
    </row>
    <row r="20" spans="1:45" ht="70.5" customHeight="1" thickBot="1">
      <c r="A20" s="138" t="s">
        <v>74</v>
      </c>
      <c r="B20" s="12">
        <v>112</v>
      </c>
      <c r="C20" s="12">
        <v>84.7</v>
      </c>
      <c r="D20" s="12">
        <v>32.700000000000003</v>
      </c>
      <c r="E20" s="12" t="s">
        <v>45</v>
      </c>
      <c r="F20" s="12" t="s">
        <v>45</v>
      </c>
      <c r="G20" s="12" t="s">
        <v>46</v>
      </c>
      <c r="H20" s="12"/>
      <c r="I20" s="12" t="s">
        <v>45</v>
      </c>
      <c r="J20" s="12" t="s">
        <v>47</v>
      </c>
      <c r="K20" s="12" t="s">
        <v>49</v>
      </c>
      <c r="L20" s="12" t="s">
        <v>49</v>
      </c>
      <c r="M20" s="11" t="s">
        <v>50</v>
      </c>
      <c r="N20" s="11" t="s">
        <v>50</v>
      </c>
      <c r="O20" s="11" t="s">
        <v>50</v>
      </c>
      <c r="P20" s="11" t="s">
        <v>86</v>
      </c>
      <c r="Q20" s="64" t="s">
        <v>87</v>
      </c>
      <c r="R20" s="65">
        <v>47</v>
      </c>
      <c r="S20" s="65">
        <v>45.5</v>
      </c>
      <c r="T20" s="65">
        <v>6.8</v>
      </c>
      <c r="U20" s="65">
        <v>47</v>
      </c>
      <c r="V20" s="65">
        <v>41.7</v>
      </c>
      <c r="W20" s="65">
        <v>11.4</v>
      </c>
      <c r="X20" s="130">
        <f t="shared" si="0"/>
        <v>-3.7999999999999972</v>
      </c>
      <c r="Y20" s="16">
        <f t="shared" si="2"/>
        <v>1.4489908447209412</v>
      </c>
      <c r="Z20" s="130" t="s">
        <v>53</v>
      </c>
      <c r="AA20" s="131" t="s">
        <v>53</v>
      </c>
      <c r="AB20" s="16">
        <v>1.4489908447209412</v>
      </c>
      <c r="AC20" s="66" t="s">
        <v>49</v>
      </c>
      <c r="AD20" s="51" t="s">
        <v>75</v>
      </c>
      <c r="AE20" s="46">
        <v>12</v>
      </c>
      <c r="AF20" s="46">
        <v>0</v>
      </c>
      <c r="AG20" s="46">
        <v>0</v>
      </c>
      <c r="AH20" s="134">
        <v>0</v>
      </c>
      <c r="AI20" s="134">
        <v>0</v>
      </c>
      <c r="AJ20" s="135">
        <f t="shared" si="3"/>
        <v>0</v>
      </c>
      <c r="AK20" s="136">
        <f t="shared" si="1"/>
        <v>0</v>
      </c>
      <c r="AL20" s="136" t="str" cm="1">
        <f t="array" ref="AL20">_xlfn.IFS(
AI20&lt;3,"Ligera",
AI20&lt;=6,"Moderada",
AI20&gt;6,"Vigorosa"
)</f>
        <v>Ligera</v>
      </c>
      <c r="AM20" s="289" t="s">
        <v>49</v>
      </c>
      <c r="AN20" s="289" t="s">
        <v>49</v>
      </c>
      <c r="AO20" s="289" t="s">
        <v>49</v>
      </c>
      <c r="AP20" s="289" t="s">
        <v>49</v>
      </c>
      <c r="AQ20" s="139">
        <v>0</v>
      </c>
    </row>
    <row r="21" spans="1:45" ht="70.5" customHeight="1" thickBot="1">
      <c r="A21" s="138" t="s">
        <v>74</v>
      </c>
      <c r="B21" s="12">
        <v>112</v>
      </c>
      <c r="C21" s="12">
        <v>85.1</v>
      </c>
      <c r="D21" s="12">
        <v>26.3</v>
      </c>
      <c r="E21" s="12" t="s">
        <v>45</v>
      </c>
      <c r="F21" s="12" t="s">
        <v>45</v>
      </c>
      <c r="G21" s="12" t="s">
        <v>46</v>
      </c>
      <c r="H21" s="12"/>
      <c r="I21" s="12" t="s">
        <v>45</v>
      </c>
      <c r="J21" s="12" t="s">
        <v>47</v>
      </c>
      <c r="K21" s="12" t="s">
        <v>49</v>
      </c>
      <c r="L21" s="12" t="s">
        <v>49</v>
      </c>
      <c r="M21" s="11" t="s">
        <v>56</v>
      </c>
      <c r="N21" s="11" t="s">
        <v>76</v>
      </c>
      <c r="O21" s="11" t="s">
        <v>77</v>
      </c>
      <c r="P21" s="11" t="s">
        <v>86</v>
      </c>
      <c r="Q21" s="64" t="s">
        <v>87</v>
      </c>
      <c r="R21" s="65">
        <v>45</v>
      </c>
      <c r="S21" s="65">
        <v>45.3</v>
      </c>
      <c r="T21" s="65">
        <v>8.3000000000000007</v>
      </c>
      <c r="U21" s="65">
        <v>45</v>
      </c>
      <c r="V21" s="65">
        <v>47.5</v>
      </c>
      <c r="W21" s="69">
        <v>6.3</v>
      </c>
      <c r="X21" s="130">
        <f t="shared" si="0"/>
        <v>2.2000000000000028</v>
      </c>
      <c r="Y21" s="16">
        <f t="shared" si="2"/>
        <v>1.1184314413002205</v>
      </c>
      <c r="Z21" s="15">
        <f t="shared" si="4"/>
        <v>6</v>
      </c>
      <c r="AA21" s="16">
        <f t="shared" si="5"/>
        <v>85.828000000000003</v>
      </c>
      <c r="AB21" s="16">
        <f t="shared" si="6"/>
        <v>1.9322050999993134</v>
      </c>
      <c r="AC21" s="66" t="s">
        <v>49</v>
      </c>
      <c r="AD21" s="51" t="s">
        <v>78</v>
      </c>
      <c r="AE21" s="13">
        <v>12</v>
      </c>
      <c r="AF21" s="13">
        <v>2</v>
      </c>
      <c r="AG21" s="13">
        <v>50</v>
      </c>
      <c r="AH21" s="13" t="s">
        <v>79</v>
      </c>
      <c r="AI21" s="13">
        <v>3.53</v>
      </c>
      <c r="AJ21" s="135">
        <v>193</v>
      </c>
      <c r="AK21" s="136">
        <f t="shared" si="1"/>
        <v>386</v>
      </c>
      <c r="AL21" s="136" t="str" cm="1">
        <f t="array" ref="AL21">_xlfn.IFS(
AI21&lt;3,"Ligera",
AI21&lt;=6,"Moderada",
AI21&gt;6,"Vigorosa"
)</f>
        <v>Moderada</v>
      </c>
      <c r="AM21" s="45" t="s">
        <v>48</v>
      </c>
      <c r="AN21" s="46" t="s">
        <v>60</v>
      </c>
      <c r="AO21" s="46" t="s">
        <v>61</v>
      </c>
      <c r="AP21" s="289" t="s">
        <v>62</v>
      </c>
      <c r="AQ21" s="139">
        <v>0</v>
      </c>
      <c r="AR21" s="46" t="s">
        <v>80</v>
      </c>
    </row>
    <row r="22" spans="1:45" ht="70.5" customHeight="1" thickBot="1">
      <c r="A22" s="138" t="s">
        <v>74</v>
      </c>
      <c r="B22" s="12">
        <v>112</v>
      </c>
      <c r="C22" s="12">
        <v>84.7</v>
      </c>
      <c r="D22" s="12">
        <v>32.700000000000003</v>
      </c>
      <c r="E22" s="12" t="s">
        <v>45</v>
      </c>
      <c r="F22" s="12" t="s">
        <v>45</v>
      </c>
      <c r="G22" s="12" t="s">
        <v>46</v>
      </c>
      <c r="H22" s="12"/>
      <c r="I22" s="12" t="s">
        <v>45</v>
      </c>
      <c r="J22" s="12" t="s">
        <v>47</v>
      </c>
      <c r="K22" s="12" t="s">
        <v>49</v>
      </c>
      <c r="L22" s="12" t="s">
        <v>49</v>
      </c>
      <c r="M22" s="11" t="s">
        <v>50</v>
      </c>
      <c r="N22" s="11" t="s">
        <v>50</v>
      </c>
      <c r="O22" s="11" t="s">
        <v>50</v>
      </c>
      <c r="P22" s="11" t="s">
        <v>51</v>
      </c>
      <c r="Q22" s="64" t="s">
        <v>91</v>
      </c>
      <c r="R22" s="65">
        <v>47</v>
      </c>
      <c r="S22" s="69">
        <v>5.9</v>
      </c>
      <c r="T22" s="65">
        <v>2.7</v>
      </c>
      <c r="U22" s="65">
        <v>47</v>
      </c>
      <c r="V22" s="65">
        <v>5.0999999999999996</v>
      </c>
      <c r="W22" s="65">
        <v>2.8</v>
      </c>
      <c r="X22" s="130">
        <f t="shared" si="0"/>
        <v>-0.80000000000000071</v>
      </c>
      <c r="Y22" s="16">
        <f t="shared" si="2"/>
        <v>0.40132758413449982</v>
      </c>
      <c r="Z22" s="130" t="s">
        <v>53</v>
      </c>
      <c r="AA22" s="131" t="s">
        <v>53</v>
      </c>
      <c r="AB22" s="16">
        <v>0.40132758413449982</v>
      </c>
      <c r="AC22" s="66" t="s">
        <v>49</v>
      </c>
      <c r="AD22" s="51" t="s">
        <v>75</v>
      </c>
      <c r="AE22" s="46">
        <v>12</v>
      </c>
      <c r="AF22" s="46">
        <v>0</v>
      </c>
      <c r="AG22" s="46">
        <v>0</v>
      </c>
      <c r="AH22" s="134">
        <v>0</v>
      </c>
      <c r="AI22" s="134">
        <v>0</v>
      </c>
      <c r="AJ22" s="135">
        <f t="shared" si="3"/>
        <v>0</v>
      </c>
      <c r="AK22" s="136">
        <f t="shared" si="1"/>
        <v>0</v>
      </c>
      <c r="AL22" s="136" t="str" cm="1">
        <f t="array" ref="AL22">_xlfn.IFS(
AI22&lt;3,"Ligera",
AI22&lt;=6,"Moderada",
AI22&gt;6,"Vigorosa"
)</f>
        <v>Ligera</v>
      </c>
      <c r="AM22" s="289" t="s">
        <v>49</v>
      </c>
      <c r="AN22" s="289" t="s">
        <v>49</v>
      </c>
      <c r="AO22" s="289" t="s">
        <v>49</v>
      </c>
      <c r="AP22" s="289" t="s">
        <v>49</v>
      </c>
      <c r="AQ22" s="139">
        <v>0</v>
      </c>
    </row>
    <row r="23" spans="1:45" ht="70.5" customHeight="1" thickBot="1">
      <c r="A23" s="138" t="s">
        <v>74</v>
      </c>
      <c r="B23" s="12">
        <v>112</v>
      </c>
      <c r="C23" s="12">
        <v>85.1</v>
      </c>
      <c r="D23" s="12">
        <v>26.3</v>
      </c>
      <c r="E23" s="12" t="s">
        <v>45</v>
      </c>
      <c r="F23" s="12" t="s">
        <v>45</v>
      </c>
      <c r="G23" s="12" t="s">
        <v>46</v>
      </c>
      <c r="H23" s="12"/>
      <c r="I23" s="12" t="s">
        <v>45</v>
      </c>
      <c r="J23" s="12" t="s">
        <v>47</v>
      </c>
      <c r="K23" s="12" t="s">
        <v>49</v>
      </c>
      <c r="L23" s="12" t="s">
        <v>49</v>
      </c>
      <c r="M23" s="11" t="s">
        <v>56</v>
      </c>
      <c r="N23" s="11" t="s">
        <v>76</v>
      </c>
      <c r="O23" s="11" t="s">
        <v>77</v>
      </c>
      <c r="P23" s="11" t="s">
        <v>51</v>
      </c>
      <c r="Q23" s="64" t="s">
        <v>91</v>
      </c>
      <c r="R23" s="65">
        <v>45</v>
      </c>
      <c r="S23" s="65">
        <v>6</v>
      </c>
      <c r="T23" s="65">
        <v>3</v>
      </c>
      <c r="U23" s="65">
        <v>45</v>
      </c>
      <c r="V23" s="65">
        <v>7.2</v>
      </c>
      <c r="W23" s="65">
        <v>3.2</v>
      </c>
      <c r="X23" s="130">
        <f t="shared" si="0"/>
        <v>1.2000000000000002</v>
      </c>
      <c r="Y23" s="16">
        <f t="shared" si="2"/>
        <v>0.46284146553892752</v>
      </c>
      <c r="Z23" s="15">
        <f t="shared" si="4"/>
        <v>2.0000000000000009</v>
      </c>
      <c r="AA23" s="16">
        <f t="shared" si="5"/>
        <v>9.0133333333333336</v>
      </c>
      <c r="AB23" s="16">
        <f t="shared" si="6"/>
        <v>0.62615441062224131</v>
      </c>
      <c r="AC23" s="66" t="s">
        <v>49</v>
      </c>
      <c r="AD23" s="51" t="s">
        <v>78</v>
      </c>
      <c r="AE23" s="13">
        <v>12</v>
      </c>
      <c r="AF23" s="13">
        <v>2</v>
      </c>
      <c r="AG23" s="13">
        <v>50</v>
      </c>
      <c r="AH23" s="13" t="s">
        <v>79</v>
      </c>
      <c r="AI23" s="13">
        <v>3.53</v>
      </c>
      <c r="AJ23" s="135">
        <v>193</v>
      </c>
      <c r="AK23" s="136">
        <f t="shared" si="1"/>
        <v>386</v>
      </c>
      <c r="AL23" s="136" t="str" cm="1">
        <f t="array" ref="AL23">_xlfn.IFS(
AI23&lt;3,"Ligera",
AI23&lt;=6,"Moderada",
AI23&gt;6,"Vigorosa"
)</f>
        <v>Moderada</v>
      </c>
      <c r="AM23" s="45" t="s">
        <v>48</v>
      </c>
      <c r="AN23" s="46" t="s">
        <v>60</v>
      </c>
      <c r="AO23" s="46" t="s">
        <v>61</v>
      </c>
      <c r="AP23" s="289" t="s">
        <v>62</v>
      </c>
      <c r="AQ23" s="139">
        <v>0</v>
      </c>
    </row>
    <row r="24" spans="1:45" ht="70.5" customHeight="1" thickBot="1">
      <c r="A24" s="138" t="s">
        <v>74</v>
      </c>
      <c r="B24" s="12">
        <v>112</v>
      </c>
      <c r="C24" s="12">
        <v>84.7</v>
      </c>
      <c r="D24" s="12">
        <v>32.700000000000003</v>
      </c>
      <c r="E24" s="12" t="s">
        <v>45</v>
      </c>
      <c r="F24" s="12" t="s">
        <v>45</v>
      </c>
      <c r="G24" s="12" t="s">
        <v>46</v>
      </c>
      <c r="H24" s="12"/>
      <c r="I24" s="12" t="s">
        <v>45</v>
      </c>
      <c r="J24" s="12" t="s">
        <v>47</v>
      </c>
      <c r="K24" s="12" t="s">
        <v>49</v>
      </c>
      <c r="L24" s="12" t="s">
        <v>49</v>
      </c>
      <c r="M24" s="11" t="s">
        <v>50</v>
      </c>
      <c r="N24" s="11" t="s">
        <v>50</v>
      </c>
      <c r="O24" s="11" t="s">
        <v>50</v>
      </c>
      <c r="P24" s="11" t="s">
        <v>51</v>
      </c>
      <c r="Q24" s="64" t="s">
        <v>92</v>
      </c>
      <c r="R24" s="65">
        <v>47</v>
      </c>
      <c r="S24" s="69">
        <v>21.6</v>
      </c>
      <c r="T24" s="65">
        <v>8.6</v>
      </c>
      <c r="U24" s="65">
        <v>47</v>
      </c>
      <c r="V24" s="65">
        <v>18.100000000000001</v>
      </c>
      <c r="W24" s="65">
        <v>7.9</v>
      </c>
      <c r="X24" s="130">
        <f t="shared" si="0"/>
        <v>-3.5</v>
      </c>
      <c r="Y24" s="16">
        <f t="shared" si="2"/>
        <v>1.2066306173840073</v>
      </c>
      <c r="Z24" s="130" t="s">
        <v>53</v>
      </c>
      <c r="AA24" s="131" t="s">
        <v>53</v>
      </c>
      <c r="AB24" s="16">
        <v>1.2066306173840073</v>
      </c>
      <c r="AC24" s="66" t="s">
        <v>49</v>
      </c>
      <c r="AD24" s="51" t="s">
        <v>75</v>
      </c>
      <c r="AE24" s="46">
        <v>12</v>
      </c>
      <c r="AF24" s="46">
        <v>0</v>
      </c>
      <c r="AG24" s="46">
        <v>0</v>
      </c>
      <c r="AH24" s="134">
        <v>0</v>
      </c>
      <c r="AI24" s="134">
        <v>0</v>
      </c>
      <c r="AJ24" s="135">
        <f t="shared" si="3"/>
        <v>0</v>
      </c>
      <c r="AK24" s="136">
        <f t="shared" si="1"/>
        <v>0</v>
      </c>
      <c r="AL24" s="136" t="str" cm="1">
        <f t="array" ref="AL24">_xlfn.IFS(
AI24&lt;3,"Ligera",
AI24&lt;=6,"Moderada",
AI24&gt;6,"Vigorosa"
)</f>
        <v>Ligera</v>
      </c>
      <c r="AM24" s="289" t="s">
        <v>49</v>
      </c>
      <c r="AN24" s="289" t="s">
        <v>49</v>
      </c>
      <c r="AO24" s="289" t="s">
        <v>49</v>
      </c>
      <c r="AP24" s="289" t="s">
        <v>49</v>
      </c>
      <c r="AQ24" s="139">
        <v>0</v>
      </c>
    </row>
    <row r="25" spans="1:45" ht="70.5" customHeight="1" thickBot="1">
      <c r="A25" s="138" t="s">
        <v>74</v>
      </c>
      <c r="B25" s="12">
        <v>112</v>
      </c>
      <c r="C25" s="12">
        <v>85.1</v>
      </c>
      <c r="D25" s="12">
        <v>26.3</v>
      </c>
      <c r="E25" s="12" t="s">
        <v>45</v>
      </c>
      <c r="F25" s="12" t="s">
        <v>45</v>
      </c>
      <c r="G25" s="12" t="s">
        <v>46</v>
      </c>
      <c r="H25" s="12"/>
      <c r="I25" s="12" t="s">
        <v>45</v>
      </c>
      <c r="J25" s="12" t="s">
        <v>47</v>
      </c>
      <c r="K25" s="12" t="s">
        <v>49</v>
      </c>
      <c r="L25" s="12" t="s">
        <v>49</v>
      </c>
      <c r="M25" s="11" t="s">
        <v>56</v>
      </c>
      <c r="N25" s="11" t="s">
        <v>76</v>
      </c>
      <c r="O25" s="11" t="s">
        <v>77</v>
      </c>
      <c r="P25" s="11" t="s">
        <v>51</v>
      </c>
      <c r="Q25" s="64" t="s">
        <v>92</v>
      </c>
      <c r="R25" s="65">
        <v>45</v>
      </c>
      <c r="S25" s="65">
        <v>21.9</v>
      </c>
      <c r="T25" s="65">
        <v>7.8</v>
      </c>
      <c r="U25" s="65">
        <v>45</v>
      </c>
      <c r="V25" s="65">
        <v>20.100000000000001</v>
      </c>
      <c r="W25" s="65">
        <v>8.6999999999999993</v>
      </c>
      <c r="X25" s="130">
        <f t="shared" si="0"/>
        <v>-1.7999999999999972</v>
      </c>
      <c r="Y25" s="16">
        <f t="shared" si="2"/>
        <v>1.2353137253345805</v>
      </c>
      <c r="Z25" s="15">
        <f t="shared" si="4"/>
        <v>1.7000000000000028</v>
      </c>
      <c r="AA25" s="16">
        <f t="shared" si="5"/>
        <v>68.902444444444441</v>
      </c>
      <c r="AB25" s="16">
        <f t="shared" si="6"/>
        <v>1.7312350759973472</v>
      </c>
      <c r="AC25" s="66" t="s">
        <v>49</v>
      </c>
      <c r="AD25" s="51" t="s">
        <v>78</v>
      </c>
      <c r="AE25" s="13">
        <v>12</v>
      </c>
      <c r="AF25" s="13">
        <v>2</v>
      </c>
      <c r="AG25" s="13">
        <v>50</v>
      </c>
      <c r="AH25" s="13" t="s">
        <v>79</v>
      </c>
      <c r="AI25" s="13">
        <v>3.53</v>
      </c>
      <c r="AJ25" s="135">
        <v>193</v>
      </c>
      <c r="AK25" s="136">
        <f t="shared" si="1"/>
        <v>386</v>
      </c>
      <c r="AL25" s="136" t="str" cm="1">
        <f t="array" ref="AL25">_xlfn.IFS(
AI25&lt;3,"Ligera",
AI25&lt;=6,"Moderada",
AI25&gt;6,"Vigorosa"
)</f>
        <v>Moderada</v>
      </c>
      <c r="AM25" s="45" t="s">
        <v>48</v>
      </c>
      <c r="AN25" s="46" t="s">
        <v>60</v>
      </c>
      <c r="AO25" s="46" t="s">
        <v>61</v>
      </c>
      <c r="AP25" s="289" t="s">
        <v>62</v>
      </c>
      <c r="AQ25" s="139">
        <v>0</v>
      </c>
    </row>
    <row r="26" spans="1:45" ht="70.5" customHeight="1" thickBot="1">
      <c r="A26" s="138" t="s">
        <v>74</v>
      </c>
      <c r="B26" s="12">
        <v>112</v>
      </c>
      <c r="C26" s="12">
        <v>84.7</v>
      </c>
      <c r="D26" s="12">
        <v>32.700000000000003</v>
      </c>
      <c r="E26" s="12" t="s">
        <v>45</v>
      </c>
      <c r="F26" s="12" t="s">
        <v>45</v>
      </c>
      <c r="G26" s="12" t="s">
        <v>46</v>
      </c>
      <c r="H26" s="12"/>
      <c r="I26" s="12" t="s">
        <v>45</v>
      </c>
      <c r="J26" s="12" t="s">
        <v>47</v>
      </c>
      <c r="K26" s="12" t="s">
        <v>49</v>
      </c>
      <c r="L26" s="12" t="s">
        <v>49</v>
      </c>
      <c r="M26" s="11" t="s">
        <v>50</v>
      </c>
      <c r="N26" s="11" t="s">
        <v>50</v>
      </c>
      <c r="O26" s="11" t="s">
        <v>50</v>
      </c>
      <c r="P26" s="11" t="s">
        <v>51</v>
      </c>
      <c r="Q26" s="64" t="s">
        <v>93</v>
      </c>
      <c r="R26" s="65">
        <v>47</v>
      </c>
      <c r="S26" s="69">
        <v>18.600000000000001</v>
      </c>
      <c r="T26" s="65">
        <v>7.6</v>
      </c>
      <c r="U26" s="65">
        <v>47</v>
      </c>
      <c r="V26" s="65">
        <v>15.6</v>
      </c>
      <c r="W26" s="65">
        <v>7.6</v>
      </c>
      <c r="X26" s="130">
        <f t="shared" si="0"/>
        <v>-3.0000000000000018</v>
      </c>
      <c r="Y26" s="16">
        <f t="shared" si="2"/>
        <v>1.1085739353839985</v>
      </c>
      <c r="Z26" s="130" t="s">
        <v>53</v>
      </c>
      <c r="AA26" s="131" t="s">
        <v>53</v>
      </c>
      <c r="AB26" s="16">
        <v>1.1085739353839985</v>
      </c>
      <c r="AC26" s="66" t="s">
        <v>49</v>
      </c>
      <c r="AD26" s="51" t="s">
        <v>75</v>
      </c>
      <c r="AE26" s="46">
        <v>12</v>
      </c>
      <c r="AF26" s="46">
        <v>0</v>
      </c>
      <c r="AG26" s="46">
        <v>0</v>
      </c>
      <c r="AH26" s="134">
        <v>0</v>
      </c>
      <c r="AI26" s="134">
        <v>0</v>
      </c>
      <c r="AJ26" s="135">
        <f t="shared" si="3"/>
        <v>0</v>
      </c>
      <c r="AK26" s="136">
        <f t="shared" si="1"/>
        <v>0</v>
      </c>
      <c r="AL26" s="136" t="str" cm="1">
        <f t="array" ref="AL26">_xlfn.IFS(
AI26&lt;3,"Ligera",
AI26&lt;=6,"Moderada",
AI26&gt;6,"Vigorosa"
)</f>
        <v>Ligera</v>
      </c>
      <c r="AM26" s="289" t="s">
        <v>49</v>
      </c>
      <c r="AN26" s="289" t="s">
        <v>49</v>
      </c>
      <c r="AO26" s="289" t="s">
        <v>49</v>
      </c>
      <c r="AP26" s="289" t="s">
        <v>49</v>
      </c>
      <c r="AQ26" s="139">
        <v>0</v>
      </c>
    </row>
    <row r="27" spans="1:45" ht="70.5" customHeight="1" thickBot="1">
      <c r="A27" s="138" t="s">
        <v>74</v>
      </c>
      <c r="B27" s="12">
        <v>112</v>
      </c>
      <c r="C27" s="12">
        <v>85.1</v>
      </c>
      <c r="D27" s="12">
        <v>26.3</v>
      </c>
      <c r="E27" s="12" t="s">
        <v>45</v>
      </c>
      <c r="F27" s="12" t="s">
        <v>45</v>
      </c>
      <c r="G27" s="12" t="s">
        <v>46</v>
      </c>
      <c r="H27" s="12"/>
      <c r="I27" s="12" t="s">
        <v>45</v>
      </c>
      <c r="J27" s="12" t="s">
        <v>47</v>
      </c>
      <c r="K27" s="12" t="s">
        <v>49</v>
      </c>
      <c r="L27" s="12" t="s">
        <v>49</v>
      </c>
      <c r="M27" s="11" t="s">
        <v>56</v>
      </c>
      <c r="N27" s="11" t="s">
        <v>76</v>
      </c>
      <c r="O27" s="11" t="s">
        <v>77</v>
      </c>
      <c r="P27" s="11" t="s">
        <v>51</v>
      </c>
      <c r="Q27" s="64" t="s">
        <v>93</v>
      </c>
      <c r="R27" s="65">
        <v>45</v>
      </c>
      <c r="S27" s="65">
        <v>18.399999999999999</v>
      </c>
      <c r="T27" s="65">
        <v>7.5</v>
      </c>
      <c r="U27" s="65">
        <v>45</v>
      </c>
      <c r="V27" s="65">
        <v>17.100000000000001</v>
      </c>
      <c r="W27" s="65">
        <v>8.6</v>
      </c>
      <c r="X27" s="130">
        <f t="shared" si="0"/>
        <v>-1.2999999999999972</v>
      </c>
      <c r="Y27" s="16">
        <f t="shared" si="2"/>
        <v>1.2083965500704732</v>
      </c>
      <c r="Z27" s="15">
        <f t="shared" si="4"/>
        <v>1.7000000000000046</v>
      </c>
      <c r="AA27" s="16">
        <f t="shared" si="5"/>
        <v>65.679999999999993</v>
      </c>
      <c r="AB27" s="16">
        <f t="shared" si="6"/>
        <v>1.6902669505336114</v>
      </c>
      <c r="AC27" s="66" t="s">
        <v>49</v>
      </c>
      <c r="AD27" s="51" t="s">
        <v>78</v>
      </c>
      <c r="AE27" s="13">
        <v>12</v>
      </c>
      <c r="AF27" s="13">
        <v>2</v>
      </c>
      <c r="AG27" s="13">
        <v>50</v>
      </c>
      <c r="AH27" s="13" t="s">
        <v>79</v>
      </c>
      <c r="AI27" s="13">
        <v>3.53</v>
      </c>
      <c r="AJ27" s="135">
        <v>193</v>
      </c>
      <c r="AK27" s="136">
        <f t="shared" si="1"/>
        <v>386</v>
      </c>
      <c r="AL27" s="136" t="str" cm="1">
        <f t="array" ref="AL27">_xlfn.IFS(
AI27&lt;3,"Ligera",
AI27&lt;=6,"Moderada",
AI27&gt;6,"Vigorosa"
)</f>
        <v>Moderada</v>
      </c>
      <c r="AM27" s="45" t="s">
        <v>48</v>
      </c>
      <c r="AN27" s="46" t="s">
        <v>60</v>
      </c>
      <c r="AO27" s="46" t="s">
        <v>61</v>
      </c>
      <c r="AP27" s="289" t="s">
        <v>62</v>
      </c>
      <c r="AQ27" s="139">
        <v>0</v>
      </c>
    </row>
    <row r="28" spans="1:45" ht="70.5" customHeight="1" thickBot="1">
      <c r="A28" s="138" t="s">
        <v>74</v>
      </c>
      <c r="B28" s="12">
        <v>112</v>
      </c>
      <c r="C28" s="12">
        <v>84.7</v>
      </c>
      <c r="D28" s="12">
        <v>32.700000000000003</v>
      </c>
      <c r="E28" s="12" t="s">
        <v>45</v>
      </c>
      <c r="F28" s="12" t="s">
        <v>45</v>
      </c>
      <c r="G28" s="12" t="s">
        <v>46</v>
      </c>
      <c r="H28" s="12"/>
      <c r="I28" s="12" t="s">
        <v>45</v>
      </c>
      <c r="J28" s="12" t="s">
        <v>47</v>
      </c>
      <c r="K28" s="12" t="s">
        <v>49</v>
      </c>
      <c r="L28" s="12" t="s">
        <v>49</v>
      </c>
      <c r="M28" s="11" t="s">
        <v>50</v>
      </c>
      <c r="N28" s="11" t="s">
        <v>50</v>
      </c>
      <c r="O28" s="11" t="s">
        <v>50</v>
      </c>
      <c r="P28" s="11" t="s">
        <v>94</v>
      </c>
      <c r="Q28" s="64" t="s">
        <v>95</v>
      </c>
      <c r="R28" s="65">
        <v>47</v>
      </c>
      <c r="S28" s="65">
        <v>28</v>
      </c>
      <c r="T28" s="65">
        <v>3.5</v>
      </c>
      <c r="U28" s="65">
        <v>47</v>
      </c>
      <c r="V28" s="65" t="s">
        <v>47</v>
      </c>
      <c r="W28" s="65" t="s">
        <v>47</v>
      </c>
      <c r="X28" s="130"/>
      <c r="Y28" s="16"/>
      <c r="Z28" s="130"/>
      <c r="AA28" s="131"/>
      <c r="AB28" s="16"/>
      <c r="AC28" s="66" t="s">
        <v>49</v>
      </c>
      <c r="AD28" s="51" t="s">
        <v>75</v>
      </c>
      <c r="AE28" s="46">
        <v>12</v>
      </c>
      <c r="AF28" s="46">
        <v>0</v>
      </c>
      <c r="AG28" s="46">
        <v>0</v>
      </c>
      <c r="AH28" s="134">
        <v>0</v>
      </c>
      <c r="AI28" s="134">
        <v>0</v>
      </c>
      <c r="AJ28" s="135">
        <f t="shared" si="3"/>
        <v>0</v>
      </c>
      <c r="AK28" s="136">
        <f t="shared" si="1"/>
        <v>0</v>
      </c>
      <c r="AL28" s="136" t="str" cm="1">
        <f t="array" ref="AL28">_xlfn.IFS(
AI28&lt;3,"Ligera",
AI28&lt;=6,"Moderada",
AI28&gt;6,"Vigorosa"
)</f>
        <v>Ligera</v>
      </c>
      <c r="AM28" s="289" t="s">
        <v>49</v>
      </c>
      <c r="AN28" s="289" t="s">
        <v>49</v>
      </c>
      <c r="AO28" s="289" t="s">
        <v>49</v>
      </c>
      <c r="AP28" s="289" t="s">
        <v>49</v>
      </c>
      <c r="AQ28" s="139">
        <v>0</v>
      </c>
    </row>
    <row r="29" spans="1:45" ht="70.5" customHeight="1" thickBot="1">
      <c r="A29" s="140" t="s">
        <v>74</v>
      </c>
      <c r="B29" s="141">
        <v>112</v>
      </c>
      <c r="C29" s="141">
        <v>85.1</v>
      </c>
      <c r="D29" s="141">
        <v>26.3</v>
      </c>
      <c r="E29" s="141" t="s">
        <v>45</v>
      </c>
      <c r="F29" s="141" t="s">
        <v>45</v>
      </c>
      <c r="G29" s="141" t="s">
        <v>46</v>
      </c>
      <c r="H29" s="141"/>
      <c r="I29" s="141" t="s">
        <v>45</v>
      </c>
      <c r="J29" s="141" t="s">
        <v>47</v>
      </c>
      <c r="K29" s="141" t="s">
        <v>49</v>
      </c>
      <c r="L29" s="141" t="s">
        <v>49</v>
      </c>
      <c r="M29" s="142" t="s">
        <v>56</v>
      </c>
      <c r="N29" s="142" t="s">
        <v>76</v>
      </c>
      <c r="O29" s="142" t="s">
        <v>77</v>
      </c>
      <c r="P29" s="142" t="s">
        <v>94</v>
      </c>
      <c r="Q29" s="143" t="s">
        <v>95</v>
      </c>
      <c r="R29" s="144">
        <v>45</v>
      </c>
      <c r="S29" s="144">
        <v>27</v>
      </c>
      <c r="T29" s="144">
        <v>4</v>
      </c>
      <c r="U29" s="144">
        <v>45</v>
      </c>
      <c r="V29" s="144" t="s">
        <v>47</v>
      </c>
      <c r="W29" s="144" t="s">
        <v>47</v>
      </c>
      <c r="X29" s="130"/>
      <c r="Y29" s="16"/>
      <c r="Z29" s="15"/>
      <c r="AA29" s="16"/>
      <c r="AB29" s="16"/>
      <c r="AC29" s="66" t="s">
        <v>49</v>
      </c>
      <c r="AD29" s="151" t="s">
        <v>78</v>
      </c>
      <c r="AE29" s="146">
        <v>12</v>
      </c>
      <c r="AF29" s="146">
        <v>2</v>
      </c>
      <c r="AG29" s="13">
        <v>50</v>
      </c>
      <c r="AH29" s="13" t="s">
        <v>79</v>
      </c>
      <c r="AI29" s="13">
        <v>3.53</v>
      </c>
      <c r="AJ29" s="135">
        <v>193</v>
      </c>
      <c r="AK29" s="136">
        <f t="shared" si="1"/>
        <v>386</v>
      </c>
      <c r="AL29" s="136" t="str" cm="1">
        <f t="array" ref="AL29">_xlfn.IFS(
AI29&lt;3,"Ligera",
AI29&lt;=6,"Moderada",
AI29&gt;6,"Vigorosa"
)</f>
        <v>Moderada</v>
      </c>
      <c r="AM29" s="147" t="s">
        <v>48</v>
      </c>
      <c r="AN29" s="148" t="s">
        <v>60</v>
      </c>
      <c r="AO29" s="148" t="s">
        <v>61</v>
      </c>
      <c r="AP29" s="290" t="s">
        <v>62</v>
      </c>
      <c r="AQ29" s="149">
        <v>0</v>
      </c>
    </row>
    <row r="30" spans="1:45" ht="70.5" customHeight="1" thickBot="1">
      <c r="A30" s="138" t="s">
        <v>96</v>
      </c>
      <c r="B30" s="12">
        <v>74</v>
      </c>
      <c r="C30" s="12">
        <v>89.2</v>
      </c>
      <c r="D30" s="12">
        <v>43.5</v>
      </c>
      <c r="E30" s="12" t="s">
        <v>97</v>
      </c>
      <c r="F30" s="12" t="s">
        <v>97</v>
      </c>
      <c r="G30" s="12" t="s">
        <v>46</v>
      </c>
      <c r="H30" s="12"/>
      <c r="I30" s="12" t="s">
        <v>98</v>
      </c>
      <c r="J30" s="12" t="s">
        <v>47</v>
      </c>
      <c r="K30" s="12" t="s">
        <v>49</v>
      </c>
      <c r="L30" s="12" t="s">
        <v>48</v>
      </c>
      <c r="M30" s="11" t="s">
        <v>50</v>
      </c>
      <c r="N30" s="11" t="s">
        <v>50</v>
      </c>
      <c r="O30" s="11" t="s">
        <v>50</v>
      </c>
      <c r="P30" s="11" t="s">
        <v>51</v>
      </c>
      <c r="Q30" s="64" t="s">
        <v>91</v>
      </c>
      <c r="R30" s="65">
        <v>23</v>
      </c>
      <c r="S30" s="70">
        <v>4.4000000000000004</v>
      </c>
      <c r="T30" s="70">
        <v>1.84</v>
      </c>
      <c r="U30" s="65">
        <v>23</v>
      </c>
      <c r="V30" s="65">
        <v>3</v>
      </c>
      <c r="W30" s="108">
        <v>1.71</v>
      </c>
      <c r="X30" s="130">
        <f t="shared" si="0"/>
        <v>-1.4000000000000004</v>
      </c>
      <c r="Y30" s="16">
        <f t="shared" si="2"/>
        <v>0.37085682224909344</v>
      </c>
      <c r="Z30" s="130" t="s">
        <v>53</v>
      </c>
      <c r="AA30" s="131" t="s">
        <v>53</v>
      </c>
      <c r="AB30" s="16">
        <v>0.37085682224909344</v>
      </c>
      <c r="AC30" s="66" t="s">
        <v>49</v>
      </c>
      <c r="AD30" s="51" t="s">
        <v>99</v>
      </c>
      <c r="AE30" s="13">
        <v>52</v>
      </c>
      <c r="AF30" s="13">
        <v>0</v>
      </c>
      <c r="AG30" s="13">
        <v>0</v>
      </c>
      <c r="AH30" s="146">
        <v>0</v>
      </c>
      <c r="AI30" s="13">
        <v>0</v>
      </c>
      <c r="AJ30" s="135">
        <f t="shared" si="3"/>
        <v>0</v>
      </c>
      <c r="AK30" s="136">
        <f t="shared" si="1"/>
        <v>0</v>
      </c>
      <c r="AL30" s="136" t="str" cm="1">
        <f t="array" ref="AL30">_xlfn.IFS(
AI30&lt;3,"Ligera",
AI30&lt;=6,"Moderada",
AI30&gt;6,"Vigorosa"
)</f>
        <v>Ligera</v>
      </c>
      <c r="AM30" s="45" t="s">
        <v>49</v>
      </c>
      <c r="AN30" s="46" t="s">
        <v>49</v>
      </c>
      <c r="AO30" s="46" t="s">
        <v>49</v>
      </c>
      <c r="AP30" s="46" t="s">
        <v>49</v>
      </c>
      <c r="AQ30" s="139">
        <v>0</v>
      </c>
      <c r="AS30" s="156" t="s">
        <v>106</v>
      </c>
    </row>
    <row r="31" spans="1:45" ht="70.5" customHeight="1" thickBot="1">
      <c r="A31" s="138" t="s">
        <v>96</v>
      </c>
      <c r="B31" s="12">
        <v>74</v>
      </c>
      <c r="C31" s="12">
        <v>90.3</v>
      </c>
      <c r="D31" s="12">
        <v>13</v>
      </c>
      <c r="E31" s="12" t="s">
        <v>97</v>
      </c>
      <c r="F31" s="12" t="s">
        <v>97</v>
      </c>
      <c r="G31" s="12" t="s">
        <v>46</v>
      </c>
      <c r="H31" s="12"/>
      <c r="I31" s="12" t="s">
        <v>98</v>
      </c>
      <c r="J31" s="12" t="s">
        <v>47</v>
      </c>
      <c r="K31" s="12" t="s">
        <v>49</v>
      </c>
      <c r="L31" s="12" t="s">
        <v>48</v>
      </c>
      <c r="M31" s="11" t="s">
        <v>56</v>
      </c>
      <c r="N31" s="11" t="s">
        <v>76</v>
      </c>
      <c r="O31" s="11" t="s">
        <v>100</v>
      </c>
      <c r="P31" s="11" t="s">
        <v>51</v>
      </c>
      <c r="Q31" s="64" t="s">
        <v>91</v>
      </c>
      <c r="R31" s="65">
        <v>23</v>
      </c>
      <c r="S31" s="70">
        <v>5</v>
      </c>
      <c r="T31" s="70">
        <v>1.71</v>
      </c>
      <c r="U31" s="65">
        <v>23</v>
      </c>
      <c r="V31" s="65">
        <v>5.0999999999999996</v>
      </c>
      <c r="W31" s="82">
        <v>1.96</v>
      </c>
      <c r="X31" s="130">
        <f t="shared" si="0"/>
        <v>9.9999999999999645E-2</v>
      </c>
      <c r="Y31" s="16">
        <f t="shared" si="2"/>
        <v>0.38527799111133071</v>
      </c>
      <c r="Z31" s="15">
        <f>X31-X30</f>
        <v>1.5</v>
      </c>
      <c r="AA31" s="16">
        <f>((U31-1)*W31^2+(U30-1)*W30^2)/((U31-1)+(U30-1))</f>
        <v>3.3828499999999995</v>
      </c>
      <c r="AB31" s="16">
        <f t="shared" si="6"/>
        <v>0.5423659922646491</v>
      </c>
      <c r="AC31" s="66" t="s">
        <v>49</v>
      </c>
      <c r="AD31" s="51" t="s">
        <v>101</v>
      </c>
      <c r="AE31" s="13">
        <v>52</v>
      </c>
      <c r="AF31" s="13">
        <v>5</v>
      </c>
      <c r="AG31" s="13">
        <v>40</v>
      </c>
      <c r="AH31" s="146" t="s">
        <v>102</v>
      </c>
      <c r="AI31" s="13">
        <v>4.4000000000000004</v>
      </c>
      <c r="AJ31" s="13">
        <v>176</v>
      </c>
      <c r="AK31" s="136">
        <f t="shared" si="1"/>
        <v>880</v>
      </c>
      <c r="AL31" s="136" t="str" cm="1">
        <f t="array" ref="AL31">_xlfn.IFS(
AI31&lt;3,"Ligera",
AI31&lt;=6,"Moderada",
AI31&gt;6,"Vigorosa"
)</f>
        <v>Moderada</v>
      </c>
      <c r="AM31" s="45" t="s">
        <v>48</v>
      </c>
      <c r="AN31" s="46" t="s">
        <v>60</v>
      </c>
      <c r="AO31" s="46" t="s">
        <v>61</v>
      </c>
      <c r="AP31" s="289" t="s">
        <v>62</v>
      </c>
      <c r="AQ31" s="139">
        <v>0</v>
      </c>
      <c r="AS31" s="156" t="s">
        <v>107</v>
      </c>
    </row>
    <row r="32" spans="1:45" ht="70.5" customHeight="1" thickBot="1">
      <c r="A32" s="138" t="s">
        <v>96</v>
      </c>
      <c r="B32" s="12">
        <v>74</v>
      </c>
      <c r="C32" s="12">
        <v>89.6</v>
      </c>
      <c r="D32" s="12">
        <v>26.1</v>
      </c>
      <c r="E32" s="12" t="s">
        <v>97</v>
      </c>
      <c r="F32" s="12" t="s">
        <v>97</v>
      </c>
      <c r="G32" s="12" t="s">
        <v>46</v>
      </c>
      <c r="H32" s="12"/>
      <c r="I32" s="12" t="s">
        <v>98</v>
      </c>
      <c r="J32" s="12" t="s">
        <v>47</v>
      </c>
      <c r="K32" s="12" t="s">
        <v>49</v>
      </c>
      <c r="L32" s="12" t="s">
        <v>48</v>
      </c>
      <c r="M32" s="11" t="s">
        <v>56</v>
      </c>
      <c r="N32" s="11" t="s">
        <v>76</v>
      </c>
      <c r="O32" s="11" t="s">
        <v>103</v>
      </c>
      <c r="P32" s="11" t="s">
        <v>51</v>
      </c>
      <c r="Q32" s="64" t="s">
        <v>91</v>
      </c>
      <c r="R32" s="65">
        <v>23</v>
      </c>
      <c r="S32" s="70">
        <v>4.0999999999999996</v>
      </c>
      <c r="T32" s="70">
        <v>1.47</v>
      </c>
      <c r="U32" s="65">
        <v>23</v>
      </c>
      <c r="V32" s="65">
        <v>5.3</v>
      </c>
      <c r="W32" s="108">
        <v>1.47</v>
      </c>
      <c r="X32" s="130">
        <f>V32-S32</f>
        <v>1.2000000000000002</v>
      </c>
      <c r="Y32" s="16">
        <f>SQRT((T32^2+W32^2-(2*0.5*T32*W32)))/SQRT(U32)</f>
        <v>0.3065161886638999</v>
      </c>
      <c r="Z32" s="15">
        <f>X32-X30</f>
        <v>2.6000000000000005</v>
      </c>
      <c r="AA32" s="16">
        <f>((U32-1)*W32^2+(U30-1)*W30^2)/((U32-1)+(U30-1))</f>
        <v>2.5425</v>
      </c>
      <c r="AB32" s="16">
        <f>SQRT(AA32*((1/U32)+(1/U30)))</f>
        <v>0.47019884785241567</v>
      </c>
      <c r="AC32" s="66" t="s">
        <v>49</v>
      </c>
      <c r="AD32" s="51" t="s">
        <v>104</v>
      </c>
      <c r="AE32" s="13">
        <v>52</v>
      </c>
      <c r="AF32" s="13">
        <v>5</v>
      </c>
      <c r="AG32" s="13">
        <v>40</v>
      </c>
      <c r="AH32" s="146" t="s">
        <v>105</v>
      </c>
      <c r="AI32" s="13">
        <v>4.37</v>
      </c>
      <c r="AJ32" s="135">
        <f t="shared" ref="AJ32" si="7">AI32*AG32</f>
        <v>174.8</v>
      </c>
      <c r="AK32" s="136">
        <f t="shared" ref="AK32" si="8">AJ32*AF32</f>
        <v>874</v>
      </c>
      <c r="AL32" s="136" t="str" cm="1">
        <f t="array" ref="AL32">_xlfn.IFS(
AI32&lt;3,"Ligera",
AI32&lt;=6,"Moderada",
AI32&gt;6,"Vigorosa"
)</f>
        <v>Moderada</v>
      </c>
      <c r="AM32" s="45" t="s">
        <v>48</v>
      </c>
      <c r="AN32" s="46" t="s">
        <v>60</v>
      </c>
      <c r="AO32" s="46" t="s">
        <v>61</v>
      </c>
      <c r="AP32" s="289" t="s">
        <v>62</v>
      </c>
      <c r="AQ32" s="139">
        <v>0</v>
      </c>
      <c r="AS32" s="156" t="s">
        <v>108</v>
      </c>
    </row>
    <row r="33" spans="1:45" ht="70.5" customHeight="1" thickBot="1">
      <c r="A33" s="138" t="s">
        <v>96</v>
      </c>
      <c r="B33" s="12">
        <v>74</v>
      </c>
      <c r="C33" s="12">
        <v>89.2</v>
      </c>
      <c r="D33" s="12">
        <v>43.5</v>
      </c>
      <c r="E33" s="12" t="s">
        <v>97</v>
      </c>
      <c r="F33" s="12" t="s">
        <v>97</v>
      </c>
      <c r="G33" s="12" t="s">
        <v>46</v>
      </c>
      <c r="H33" s="12"/>
      <c r="I33" s="12" t="s">
        <v>98</v>
      </c>
      <c r="J33" s="12" t="s">
        <v>47</v>
      </c>
      <c r="K33" s="12" t="s">
        <v>49</v>
      </c>
      <c r="L33" s="12" t="s">
        <v>48</v>
      </c>
      <c r="M33" s="11" t="s">
        <v>50</v>
      </c>
      <c r="N33" s="11" t="s">
        <v>50</v>
      </c>
      <c r="O33" s="11" t="s">
        <v>50</v>
      </c>
      <c r="P33" s="11" t="s">
        <v>86</v>
      </c>
      <c r="Q33" s="64" t="s">
        <v>86</v>
      </c>
      <c r="R33" s="65">
        <v>23</v>
      </c>
      <c r="S33" s="70">
        <v>0.2</v>
      </c>
      <c r="T33" s="70">
        <v>0.37</v>
      </c>
      <c r="U33" s="65">
        <v>23</v>
      </c>
      <c r="V33" s="65">
        <v>0.4</v>
      </c>
      <c r="W33" s="82">
        <v>0.61</v>
      </c>
      <c r="X33" s="130">
        <f t="shared" si="0"/>
        <v>0.2</v>
      </c>
      <c r="Y33" s="16">
        <f t="shared" si="2"/>
        <v>0.11098374342374574</v>
      </c>
      <c r="Z33" s="130" t="s">
        <v>53</v>
      </c>
      <c r="AA33" s="131" t="s">
        <v>53</v>
      </c>
      <c r="AB33" s="16">
        <v>0.11098374342374574</v>
      </c>
      <c r="AC33" s="66" t="s">
        <v>48</v>
      </c>
      <c r="AD33" s="51" t="s">
        <v>99</v>
      </c>
      <c r="AE33" s="13">
        <v>52</v>
      </c>
      <c r="AF33" s="13">
        <v>0</v>
      </c>
      <c r="AG33" s="13">
        <v>0</v>
      </c>
      <c r="AH33" s="146">
        <v>0</v>
      </c>
      <c r="AI33" s="13">
        <v>0</v>
      </c>
      <c r="AJ33" s="135">
        <f t="shared" si="3"/>
        <v>0</v>
      </c>
      <c r="AK33" s="136">
        <f t="shared" si="1"/>
        <v>0</v>
      </c>
      <c r="AL33" s="136" t="str" cm="1">
        <f t="array" ref="AL33">_xlfn.IFS(
AI33&lt;3,"Ligera",
AI33&lt;=6,"Moderada",
AI33&gt;6,"Vigorosa"
)</f>
        <v>Ligera</v>
      </c>
      <c r="AM33" s="45" t="s">
        <v>49</v>
      </c>
      <c r="AN33" s="46" t="s">
        <v>49</v>
      </c>
      <c r="AO33" s="46" t="s">
        <v>49</v>
      </c>
      <c r="AP33" s="46" t="s">
        <v>49</v>
      </c>
      <c r="AQ33" s="139">
        <v>0</v>
      </c>
      <c r="AS33" s="156" t="s">
        <v>109</v>
      </c>
    </row>
    <row r="34" spans="1:45" ht="70.5" customHeight="1" thickBot="1">
      <c r="A34" s="138" t="s">
        <v>96</v>
      </c>
      <c r="B34" s="12">
        <v>74</v>
      </c>
      <c r="C34" s="12">
        <v>90.3</v>
      </c>
      <c r="D34" s="12">
        <v>13</v>
      </c>
      <c r="E34" s="12" t="s">
        <v>97</v>
      </c>
      <c r="F34" s="12" t="s">
        <v>97</v>
      </c>
      <c r="G34" s="12" t="s">
        <v>46</v>
      </c>
      <c r="H34" s="12"/>
      <c r="I34" s="12" t="s">
        <v>98</v>
      </c>
      <c r="J34" s="12" t="s">
        <v>47</v>
      </c>
      <c r="K34" s="12" t="s">
        <v>49</v>
      </c>
      <c r="L34" s="12" t="s">
        <v>48</v>
      </c>
      <c r="M34" s="11" t="s">
        <v>56</v>
      </c>
      <c r="N34" s="11" t="s">
        <v>76</v>
      </c>
      <c r="O34" s="11" t="s">
        <v>100</v>
      </c>
      <c r="P34" s="11" t="s">
        <v>86</v>
      </c>
      <c r="Q34" s="64" t="s">
        <v>86</v>
      </c>
      <c r="R34" s="65">
        <v>23</v>
      </c>
      <c r="S34" s="70">
        <v>1</v>
      </c>
      <c r="T34" s="70">
        <v>1.59</v>
      </c>
      <c r="U34" s="65">
        <v>23</v>
      </c>
      <c r="V34" s="65">
        <v>0.7</v>
      </c>
      <c r="W34" s="108">
        <v>1.1000000000000001</v>
      </c>
      <c r="X34" s="130">
        <f t="shared" si="0"/>
        <v>-0.30000000000000004</v>
      </c>
      <c r="Y34" s="16">
        <f t="shared" si="2"/>
        <v>0.29407925580641042</v>
      </c>
      <c r="Z34" s="15">
        <f t="shared" si="4"/>
        <v>-0.5</v>
      </c>
      <c r="AA34" s="16">
        <f t="shared" si="5"/>
        <v>0.79105000000000014</v>
      </c>
      <c r="AB34" s="16">
        <f t="shared" si="6"/>
        <v>0.26227267589617326</v>
      </c>
      <c r="AC34" s="66" t="s">
        <v>48</v>
      </c>
      <c r="AD34" s="51" t="s">
        <v>101</v>
      </c>
      <c r="AE34" s="13">
        <v>52</v>
      </c>
      <c r="AF34" s="13">
        <v>5</v>
      </c>
      <c r="AG34" s="13">
        <v>40</v>
      </c>
      <c r="AH34" s="146" t="s">
        <v>102</v>
      </c>
      <c r="AI34" s="13">
        <v>4.4000000000000004</v>
      </c>
      <c r="AJ34" s="13">
        <v>176</v>
      </c>
      <c r="AK34" s="136">
        <f t="shared" si="1"/>
        <v>880</v>
      </c>
      <c r="AL34" s="136" t="str" cm="1">
        <f t="array" ref="AL34">_xlfn.IFS(
AI34&lt;3,"Ligera",
AI34&lt;=6,"Moderada",
AI34&gt;6,"Vigorosa"
)</f>
        <v>Moderada</v>
      </c>
      <c r="AM34" s="45" t="s">
        <v>48</v>
      </c>
      <c r="AN34" s="46" t="s">
        <v>60</v>
      </c>
      <c r="AO34" s="46" t="s">
        <v>61</v>
      </c>
      <c r="AP34" s="289" t="s">
        <v>62</v>
      </c>
      <c r="AQ34" s="139">
        <v>0</v>
      </c>
      <c r="AS34" s="156" t="s">
        <v>110</v>
      </c>
    </row>
    <row r="35" spans="1:45" ht="70.5" customHeight="1" thickBot="1">
      <c r="A35" s="138" t="s">
        <v>96</v>
      </c>
      <c r="B35" s="12">
        <v>74</v>
      </c>
      <c r="C35" s="12">
        <v>89.6</v>
      </c>
      <c r="D35" s="12">
        <v>26.1</v>
      </c>
      <c r="E35" s="12" t="s">
        <v>97</v>
      </c>
      <c r="F35" s="12" t="s">
        <v>97</v>
      </c>
      <c r="G35" s="12" t="s">
        <v>46</v>
      </c>
      <c r="H35" s="12"/>
      <c r="I35" s="12" t="s">
        <v>98</v>
      </c>
      <c r="J35" s="12" t="s">
        <v>47</v>
      </c>
      <c r="K35" s="12" t="s">
        <v>49</v>
      </c>
      <c r="L35" s="12" t="s">
        <v>48</v>
      </c>
      <c r="M35" s="11" t="s">
        <v>56</v>
      </c>
      <c r="N35" s="11" t="s">
        <v>76</v>
      </c>
      <c r="O35" s="11" t="s">
        <v>103</v>
      </c>
      <c r="P35" s="11" t="s">
        <v>86</v>
      </c>
      <c r="Q35" s="50" t="s">
        <v>86</v>
      </c>
      <c r="R35" s="65">
        <v>23</v>
      </c>
      <c r="S35" s="71">
        <v>1.7</v>
      </c>
      <c r="T35" s="70">
        <v>2.57</v>
      </c>
      <c r="U35" s="65">
        <v>23</v>
      </c>
      <c r="V35" s="65">
        <v>0.7</v>
      </c>
      <c r="W35" s="155">
        <v>1.35</v>
      </c>
      <c r="X35" s="130">
        <f t="shared" si="0"/>
        <v>-1</v>
      </c>
      <c r="Y35" s="16">
        <f t="shared" si="2"/>
        <v>0.46428533205908773</v>
      </c>
      <c r="Z35" s="15">
        <f>X35-X33</f>
        <v>-1.2</v>
      </c>
      <c r="AA35" s="16">
        <f>((U35-1)*W35^2+(U33-1)*W33^2)/((U35-1)+(U33-1))</f>
        <v>1.0973000000000002</v>
      </c>
      <c r="AB35" s="16">
        <f>SQRT(AA35*((1/U35)+(1/U33)))</f>
        <v>0.30889705616005447</v>
      </c>
      <c r="AC35" s="66" t="s">
        <v>48</v>
      </c>
      <c r="AD35" s="51" t="s">
        <v>104</v>
      </c>
      <c r="AE35" s="13">
        <v>52</v>
      </c>
      <c r="AF35" s="13">
        <v>5</v>
      </c>
      <c r="AG35" s="13">
        <v>40</v>
      </c>
      <c r="AH35" s="146" t="s">
        <v>105</v>
      </c>
      <c r="AI35" s="13">
        <v>4.37</v>
      </c>
      <c r="AJ35" s="135">
        <f t="shared" ref="AJ35" si="9">AI35*AG35</f>
        <v>174.8</v>
      </c>
      <c r="AK35" s="136">
        <f t="shared" ref="AK35" si="10">AJ35*AF35</f>
        <v>874</v>
      </c>
      <c r="AL35" s="136" t="str" cm="1">
        <f t="array" ref="AL35">_xlfn.IFS(
AI35&lt;3,"Ligera",
AI35&lt;=6,"Moderada",
AI35&gt;6,"Vigorosa"
)</f>
        <v>Moderada</v>
      </c>
      <c r="AM35" s="45" t="s">
        <v>48</v>
      </c>
      <c r="AN35" s="46" t="s">
        <v>60</v>
      </c>
      <c r="AO35" s="46" t="s">
        <v>61</v>
      </c>
      <c r="AP35" s="289" t="s">
        <v>62</v>
      </c>
      <c r="AQ35" s="139">
        <v>0</v>
      </c>
      <c r="AS35" s="156" t="s">
        <v>111</v>
      </c>
    </row>
    <row r="36" spans="1:45" ht="70.5" customHeight="1" thickBot="1">
      <c r="A36" s="138" t="s">
        <v>96</v>
      </c>
      <c r="B36" s="12">
        <v>74</v>
      </c>
      <c r="C36" s="12">
        <v>89.2</v>
      </c>
      <c r="D36" s="12">
        <v>43.5</v>
      </c>
      <c r="E36" s="12" t="s">
        <v>97</v>
      </c>
      <c r="F36" s="12" t="s">
        <v>97</v>
      </c>
      <c r="G36" s="12" t="s">
        <v>46</v>
      </c>
      <c r="H36" s="12"/>
      <c r="I36" s="12" t="s">
        <v>98</v>
      </c>
      <c r="J36" s="12" t="s">
        <v>47</v>
      </c>
      <c r="K36" s="12" t="s">
        <v>49</v>
      </c>
      <c r="L36" s="12" t="s">
        <v>48</v>
      </c>
      <c r="M36" s="11" t="s">
        <v>50</v>
      </c>
      <c r="N36" s="11" t="s">
        <v>50</v>
      </c>
      <c r="O36" s="11" t="s">
        <v>50</v>
      </c>
      <c r="P36" s="11" t="s">
        <v>51</v>
      </c>
      <c r="Q36" s="50" t="s">
        <v>92</v>
      </c>
      <c r="R36" s="65">
        <v>23</v>
      </c>
      <c r="S36" s="70">
        <v>17.600000000000001</v>
      </c>
      <c r="T36" s="70">
        <v>5.75</v>
      </c>
      <c r="U36" s="65">
        <v>23</v>
      </c>
      <c r="V36" s="65">
        <v>13.6</v>
      </c>
      <c r="W36" s="82">
        <v>6.24</v>
      </c>
      <c r="X36" s="130">
        <f t="shared" si="0"/>
        <v>-4.0000000000000018</v>
      </c>
      <c r="Y36" s="16">
        <f t="shared" si="2"/>
        <v>1.2531716284830194</v>
      </c>
      <c r="Z36" s="130" t="s">
        <v>53</v>
      </c>
      <c r="AA36" s="131" t="s">
        <v>53</v>
      </c>
      <c r="AB36" s="16">
        <v>1.2531716284830194</v>
      </c>
      <c r="AC36" s="66" t="s">
        <v>49</v>
      </c>
      <c r="AD36" s="51" t="s">
        <v>99</v>
      </c>
      <c r="AE36" s="13">
        <v>52</v>
      </c>
      <c r="AF36" s="13">
        <v>0</v>
      </c>
      <c r="AG36" s="13">
        <v>0</v>
      </c>
      <c r="AH36" s="146">
        <v>0</v>
      </c>
      <c r="AI36" s="13">
        <v>0</v>
      </c>
      <c r="AJ36" s="135">
        <v>0</v>
      </c>
      <c r="AK36" s="136">
        <f t="shared" si="1"/>
        <v>0</v>
      </c>
      <c r="AL36" s="136" t="str" cm="1">
        <f t="array" ref="AL36">_xlfn.IFS(
AI36&lt;3,"Ligera",
AI36&lt;=6,"Moderada",
AI36&gt;6,"Vigorosa"
)</f>
        <v>Ligera</v>
      </c>
      <c r="AM36" s="45" t="s">
        <v>49</v>
      </c>
      <c r="AN36" s="46" t="s">
        <v>49</v>
      </c>
      <c r="AO36" s="46" t="s">
        <v>49</v>
      </c>
      <c r="AP36" s="46" t="s">
        <v>49</v>
      </c>
      <c r="AQ36" s="139">
        <v>0</v>
      </c>
      <c r="AS36" s="156" t="s">
        <v>112</v>
      </c>
    </row>
    <row r="37" spans="1:45" ht="70.5" customHeight="1" thickBot="1">
      <c r="A37" s="138" t="s">
        <v>96</v>
      </c>
      <c r="B37" s="12">
        <v>74</v>
      </c>
      <c r="C37" s="12">
        <v>90.3</v>
      </c>
      <c r="D37" s="12">
        <v>13</v>
      </c>
      <c r="E37" s="12" t="s">
        <v>97</v>
      </c>
      <c r="F37" s="12" t="s">
        <v>97</v>
      </c>
      <c r="G37" s="12" t="s">
        <v>46</v>
      </c>
      <c r="H37" s="12"/>
      <c r="I37" s="12" t="s">
        <v>98</v>
      </c>
      <c r="J37" s="12" t="s">
        <v>47</v>
      </c>
      <c r="K37" s="12" t="s">
        <v>49</v>
      </c>
      <c r="L37" s="12" t="s">
        <v>48</v>
      </c>
      <c r="M37" s="11" t="s">
        <v>56</v>
      </c>
      <c r="N37" s="11" t="s">
        <v>76</v>
      </c>
      <c r="O37" s="11" t="s">
        <v>100</v>
      </c>
      <c r="P37" s="11" t="s">
        <v>51</v>
      </c>
      <c r="Q37" s="50" t="s">
        <v>92</v>
      </c>
      <c r="R37" s="65">
        <v>23</v>
      </c>
      <c r="S37" s="71">
        <v>15.4</v>
      </c>
      <c r="T37" s="70">
        <v>7.22</v>
      </c>
      <c r="U37" s="65">
        <v>23</v>
      </c>
      <c r="V37" s="65">
        <v>16</v>
      </c>
      <c r="W37" s="155">
        <v>7.22</v>
      </c>
      <c r="X37" s="130">
        <f t="shared" si="0"/>
        <v>0.59999999999999964</v>
      </c>
      <c r="Y37" s="16">
        <f t="shared" si="2"/>
        <v>1.5054740694920798</v>
      </c>
      <c r="Z37" s="15">
        <f t="shared" si="4"/>
        <v>4.6000000000000014</v>
      </c>
      <c r="AA37" s="16">
        <f t="shared" si="5"/>
        <v>45.533000000000001</v>
      </c>
      <c r="AB37" s="16">
        <f t="shared" si="6"/>
        <v>1.9898219277985219</v>
      </c>
      <c r="AC37" s="66" t="s">
        <v>49</v>
      </c>
      <c r="AD37" s="51" t="s">
        <v>101</v>
      </c>
      <c r="AE37" s="13">
        <v>52</v>
      </c>
      <c r="AF37" s="13">
        <v>5</v>
      </c>
      <c r="AG37" s="13">
        <v>40</v>
      </c>
      <c r="AH37" s="146" t="s">
        <v>102</v>
      </c>
      <c r="AI37" s="13">
        <v>4.4000000000000004</v>
      </c>
      <c r="AJ37" s="13">
        <v>176</v>
      </c>
      <c r="AK37" s="136">
        <f t="shared" si="1"/>
        <v>880</v>
      </c>
      <c r="AL37" s="136" t="str" cm="1">
        <f t="array" ref="AL37">_xlfn.IFS(
AI37&lt;3,"Ligera",
AI37&lt;=6,"Moderada",
AI37&gt;6,"Vigorosa"
)</f>
        <v>Moderada</v>
      </c>
      <c r="AM37" s="45" t="s">
        <v>48</v>
      </c>
      <c r="AN37" s="46" t="s">
        <v>60</v>
      </c>
      <c r="AO37" s="46" t="s">
        <v>61</v>
      </c>
      <c r="AP37" s="289" t="s">
        <v>62</v>
      </c>
      <c r="AQ37" s="139">
        <v>0</v>
      </c>
      <c r="AS37" s="156" t="s">
        <v>113</v>
      </c>
    </row>
    <row r="38" spans="1:45" ht="70.5" customHeight="1" thickBot="1">
      <c r="A38" s="138" t="s">
        <v>96</v>
      </c>
      <c r="B38" s="12">
        <v>74</v>
      </c>
      <c r="C38" s="12">
        <v>89.6</v>
      </c>
      <c r="D38" s="12">
        <v>26.1</v>
      </c>
      <c r="E38" s="12" t="s">
        <v>97</v>
      </c>
      <c r="F38" s="12" t="s">
        <v>97</v>
      </c>
      <c r="G38" s="12" t="s">
        <v>46</v>
      </c>
      <c r="H38" s="12"/>
      <c r="I38" s="12" t="s">
        <v>98</v>
      </c>
      <c r="J38" s="12" t="s">
        <v>47</v>
      </c>
      <c r="K38" s="12" t="s">
        <v>49</v>
      </c>
      <c r="L38" s="12" t="s">
        <v>48</v>
      </c>
      <c r="M38" s="11" t="s">
        <v>56</v>
      </c>
      <c r="N38" s="11" t="s">
        <v>76</v>
      </c>
      <c r="O38" s="11" t="s">
        <v>103</v>
      </c>
      <c r="P38" s="11" t="s">
        <v>51</v>
      </c>
      <c r="Q38" s="50" t="s">
        <v>92</v>
      </c>
      <c r="R38" s="65">
        <v>23</v>
      </c>
      <c r="S38" s="70">
        <v>16.2</v>
      </c>
      <c r="T38" s="70">
        <v>5.26</v>
      </c>
      <c r="U38" s="65">
        <v>23</v>
      </c>
      <c r="V38" s="65">
        <v>19.100000000000001</v>
      </c>
      <c r="W38" s="82">
        <v>5.99</v>
      </c>
      <c r="X38" s="130">
        <f t="shared" si="0"/>
        <v>2.9000000000000021</v>
      </c>
      <c r="Y38" s="16">
        <f t="shared" si="2"/>
        <v>1.1802781543937559</v>
      </c>
      <c r="Z38" s="15">
        <f>X38-X36</f>
        <v>6.9000000000000039</v>
      </c>
      <c r="AA38" s="16">
        <f>((U38-1)*W38^2+(U36-1)*W36^2)/((U38-1)+(U36-1))</f>
        <v>37.408850000000008</v>
      </c>
      <c r="AB38" s="16">
        <f>SQRT(AA38*((1/U38)+(1/U36)))</f>
        <v>1.8035918269555531</v>
      </c>
      <c r="AC38" s="66" t="s">
        <v>49</v>
      </c>
      <c r="AD38" s="51" t="s">
        <v>104</v>
      </c>
      <c r="AE38" s="13">
        <v>52</v>
      </c>
      <c r="AF38" s="13">
        <v>5</v>
      </c>
      <c r="AG38" s="13">
        <v>40</v>
      </c>
      <c r="AH38" s="146" t="s">
        <v>105</v>
      </c>
      <c r="AI38" s="13">
        <v>4.37</v>
      </c>
      <c r="AJ38" s="135">
        <f t="shared" ref="AJ38" si="11">AI38*AG38</f>
        <v>174.8</v>
      </c>
      <c r="AK38" s="136">
        <f t="shared" ref="AK38" si="12">AJ38*AF38</f>
        <v>874</v>
      </c>
      <c r="AL38" s="136" t="str" cm="1">
        <f t="array" ref="AL38">_xlfn.IFS(
AI38&lt;3,"Ligera",
AI38&lt;=6,"Moderada",
AI38&gt;6,"Vigorosa"
)</f>
        <v>Moderada</v>
      </c>
      <c r="AM38" s="45" t="s">
        <v>48</v>
      </c>
      <c r="AN38" s="46" t="s">
        <v>60</v>
      </c>
      <c r="AO38" s="46" t="s">
        <v>61</v>
      </c>
      <c r="AP38" s="289" t="s">
        <v>62</v>
      </c>
      <c r="AQ38" s="139">
        <v>0</v>
      </c>
      <c r="AS38" s="156" t="s">
        <v>114</v>
      </c>
    </row>
    <row r="39" spans="1:45" ht="70.5" customHeight="1" thickBot="1">
      <c r="A39" s="138" t="s">
        <v>96</v>
      </c>
      <c r="B39" s="12">
        <v>74</v>
      </c>
      <c r="C39" s="12">
        <v>89.2</v>
      </c>
      <c r="D39" s="12">
        <v>43.5</v>
      </c>
      <c r="E39" s="12" t="s">
        <v>97</v>
      </c>
      <c r="F39" s="12" t="s">
        <v>97</v>
      </c>
      <c r="G39" s="12" t="s">
        <v>46</v>
      </c>
      <c r="H39" s="12"/>
      <c r="I39" s="12" t="s">
        <v>98</v>
      </c>
      <c r="J39" s="12" t="s">
        <v>47</v>
      </c>
      <c r="K39" s="12" t="s">
        <v>49</v>
      </c>
      <c r="L39" s="12" t="s">
        <v>48</v>
      </c>
      <c r="M39" s="11" t="s">
        <v>50</v>
      </c>
      <c r="N39" s="11" t="s">
        <v>50</v>
      </c>
      <c r="O39" s="11" t="s">
        <v>50</v>
      </c>
      <c r="P39" s="11" t="s">
        <v>51</v>
      </c>
      <c r="Q39" s="50" t="s">
        <v>115</v>
      </c>
      <c r="R39" s="65">
        <v>23</v>
      </c>
      <c r="S39" s="71">
        <v>48.4</v>
      </c>
      <c r="T39" s="70">
        <v>23.86</v>
      </c>
      <c r="U39" s="65">
        <v>23</v>
      </c>
      <c r="V39" s="65">
        <v>33.9</v>
      </c>
      <c r="W39" s="155">
        <v>25.32</v>
      </c>
      <c r="X39" s="130">
        <f t="shared" si="0"/>
        <v>-14.5</v>
      </c>
      <c r="Y39" s="16">
        <f t="shared" si="2"/>
        <v>5.1341431696979907</v>
      </c>
      <c r="Z39" s="130" t="s">
        <v>53</v>
      </c>
      <c r="AA39" s="131" t="s">
        <v>53</v>
      </c>
      <c r="AB39" s="16">
        <v>5.1341431696979907</v>
      </c>
      <c r="AC39" s="66" t="s">
        <v>49</v>
      </c>
      <c r="AD39" s="51" t="s">
        <v>99</v>
      </c>
      <c r="AE39" s="13">
        <v>52</v>
      </c>
      <c r="AF39" s="13">
        <v>0</v>
      </c>
      <c r="AG39" s="13">
        <v>0</v>
      </c>
      <c r="AH39" s="146">
        <v>0</v>
      </c>
      <c r="AI39" s="13">
        <v>0</v>
      </c>
      <c r="AJ39" s="135">
        <f t="shared" si="3"/>
        <v>0</v>
      </c>
      <c r="AK39" s="136">
        <f t="shared" si="1"/>
        <v>0</v>
      </c>
      <c r="AL39" s="136" t="str" cm="1">
        <f t="array" ref="AL39">_xlfn.IFS(
AI39&lt;3,"Ligera",
AI39&lt;=6,"Moderada",
AI39&gt;6,"Vigorosa"
)</f>
        <v>Ligera</v>
      </c>
      <c r="AM39" s="45" t="s">
        <v>49</v>
      </c>
      <c r="AN39" s="46" t="s">
        <v>49</v>
      </c>
      <c r="AO39" s="46" t="s">
        <v>49</v>
      </c>
      <c r="AP39" s="46" t="s">
        <v>49</v>
      </c>
      <c r="AQ39" s="139">
        <v>0</v>
      </c>
      <c r="AS39" s="156" t="s">
        <v>116</v>
      </c>
    </row>
    <row r="40" spans="1:45" ht="70.5" customHeight="1" thickBot="1">
      <c r="A40" s="138" t="s">
        <v>96</v>
      </c>
      <c r="B40" s="12">
        <v>74</v>
      </c>
      <c r="C40" s="12">
        <v>90.3</v>
      </c>
      <c r="D40" s="12">
        <v>13</v>
      </c>
      <c r="E40" s="12" t="s">
        <v>97</v>
      </c>
      <c r="F40" s="12" t="s">
        <v>97</v>
      </c>
      <c r="G40" s="12" t="s">
        <v>46</v>
      </c>
      <c r="H40" s="12"/>
      <c r="I40" s="12" t="s">
        <v>98</v>
      </c>
      <c r="J40" s="12" t="s">
        <v>47</v>
      </c>
      <c r="K40" s="12" t="s">
        <v>49</v>
      </c>
      <c r="L40" s="12" t="s">
        <v>48</v>
      </c>
      <c r="M40" s="11" t="s">
        <v>56</v>
      </c>
      <c r="N40" s="11" t="s">
        <v>76</v>
      </c>
      <c r="O40" s="11" t="s">
        <v>100</v>
      </c>
      <c r="P40" s="11" t="s">
        <v>51</v>
      </c>
      <c r="Q40" s="50" t="s">
        <v>115</v>
      </c>
      <c r="R40" s="65">
        <v>23</v>
      </c>
      <c r="S40" s="70">
        <v>55.5</v>
      </c>
      <c r="T40" s="70">
        <v>31.67</v>
      </c>
      <c r="U40" s="65">
        <v>23</v>
      </c>
      <c r="V40" s="65">
        <v>59.6</v>
      </c>
      <c r="W40" s="82">
        <v>35.229999999999997</v>
      </c>
      <c r="X40" s="130">
        <f t="shared" si="0"/>
        <v>4.1000000000000014</v>
      </c>
      <c r="Y40" s="16">
        <f t="shared" si="2"/>
        <v>7.0043703748321375</v>
      </c>
      <c r="Z40" s="15">
        <f t="shared" si="4"/>
        <v>18.600000000000001</v>
      </c>
      <c r="AA40" s="16">
        <f>((U40-1)*W40^2+(U39-1)*W39^2)/((U40-1)+(U39-1))</f>
        <v>941.1276499999999</v>
      </c>
      <c r="AB40" s="16">
        <f t="shared" si="6"/>
        <v>9.0463908248826908</v>
      </c>
      <c r="AC40" s="66" t="s">
        <v>49</v>
      </c>
      <c r="AD40" s="51" t="s">
        <v>101</v>
      </c>
      <c r="AE40" s="13">
        <v>52</v>
      </c>
      <c r="AF40" s="13">
        <v>5</v>
      </c>
      <c r="AG40" s="13">
        <v>40</v>
      </c>
      <c r="AH40" s="146" t="s">
        <v>102</v>
      </c>
      <c r="AI40" s="13">
        <v>4.4000000000000004</v>
      </c>
      <c r="AJ40" s="13">
        <v>176</v>
      </c>
      <c r="AK40" s="136">
        <f t="shared" si="1"/>
        <v>880</v>
      </c>
      <c r="AL40" s="136" t="str" cm="1">
        <f t="array" ref="AL40">_xlfn.IFS(
AI40&lt;3,"Ligera",
AI40&lt;=6,"Moderada",
AI40&gt;6,"Vigorosa"
)</f>
        <v>Moderada</v>
      </c>
      <c r="AM40" s="45" t="s">
        <v>48</v>
      </c>
      <c r="AN40" s="46" t="s">
        <v>60</v>
      </c>
      <c r="AO40" s="46" t="s">
        <v>61</v>
      </c>
      <c r="AP40" s="289" t="s">
        <v>62</v>
      </c>
      <c r="AQ40" s="139">
        <v>0</v>
      </c>
      <c r="AS40" s="156" t="s">
        <v>117</v>
      </c>
    </row>
    <row r="41" spans="1:45" ht="70.5" customHeight="1" thickBot="1">
      <c r="A41" s="138" t="s">
        <v>96</v>
      </c>
      <c r="B41" s="12">
        <v>74</v>
      </c>
      <c r="C41" s="12">
        <v>89.6</v>
      </c>
      <c r="D41" s="12">
        <v>26.1</v>
      </c>
      <c r="E41" s="12" t="s">
        <v>97</v>
      </c>
      <c r="F41" s="12" t="s">
        <v>97</v>
      </c>
      <c r="G41" s="12" t="s">
        <v>46</v>
      </c>
      <c r="H41" s="12"/>
      <c r="I41" s="12" t="s">
        <v>98</v>
      </c>
      <c r="J41" s="12" t="s">
        <v>47</v>
      </c>
      <c r="K41" s="12" t="s">
        <v>49</v>
      </c>
      <c r="L41" s="12" t="s">
        <v>48</v>
      </c>
      <c r="M41" s="11" t="s">
        <v>56</v>
      </c>
      <c r="N41" s="11" t="s">
        <v>76</v>
      </c>
      <c r="O41" s="11" t="s">
        <v>103</v>
      </c>
      <c r="P41" s="11" t="s">
        <v>51</v>
      </c>
      <c r="Q41" s="72" t="s">
        <v>115</v>
      </c>
      <c r="R41" s="65">
        <v>23</v>
      </c>
      <c r="S41" s="71">
        <v>53</v>
      </c>
      <c r="T41" s="70">
        <v>29.12</v>
      </c>
      <c r="U41" s="65">
        <v>23</v>
      </c>
      <c r="V41" s="65">
        <v>68</v>
      </c>
      <c r="W41" s="82">
        <v>27.16</v>
      </c>
      <c r="X41" s="130">
        <f t="shared" si="0"/>
        <v>15</v>
      </c>
      <c r="Y41" s="16">
        <f t="shared" si="2"/>
        <v>5.8782606122973968</v>
      </c>
      <c r="Z41" s="15">
        <f>X41-X39</f>
        <v>29.5</v>
      </c>
      <c r="AA41" s="16">
        <f>((U41-1)*W41^2+(U39-1)*W39^2)/((U41-1)+(U39-1))</f>
        <v>689.38400000000001</v>
      </c>
      <c r="AB41" s="16">
        <f>SQRT(AA41*((1/U41)+(1/U39)))</f>
        <v>7.7425083004546202</v>
      </c>
      <c r="AC41" s="66" t="s">
        <v>49</v>
      </c>
      <c r="AD41" s="51" t="s">
        <v>104</v>
      </c>
      <c r="AE41" s="13">
        <v>52</v>
      </c>
      <c r="AF41" s="13">
        <v>5</v>
      </c>
      <c r="AG41" s="13">
        <v>40</v>
      </c>
      <c r="AH41" s="146" t="s">
        <v>105</v>
      </c>
      <c r="AI41" s="13">
        <v>4.37</v>
      </c>
      <c r="AJ41" s="135">
        <f t="shared" ref="AJ41" si="13">AI41*AG41</f>
        <v>174.8</v>
      </c>
      <c r="AK41" s="136">
        <f t="shared" ref="AK41" si="14">AJ41*AF41</f>
        <v>874</v>
      </c>
      <c r="AL41" s="136" t="str" cm="1">
        <f t="array" ref="AL41">_xlfn.IFS(
AI41&lt;3,"Ligera",
AI41&lt;=6,"Moderada",
AI41&gt;6,"Vigorosa"
)</f>
        <v>Moderada</v>
      </c>
      <c r="AM41" s="45" t="s">
        <v>48</v>
      </c>
      <c r="AN41" s="46" t="s">
        <v>60</v>
      </c>
      <c r="AO41" s="46" t="s">
        <v>61</v>
      </c>
      <c r="AP41" s="289" t="s">
        <v>62</v>
      </c>
      <c r="AQ41" s="139">
        <v>0</v>
      </c>
      <c r="AS41" s="156" t="s">
        <v>118</v>
      </c>
    </row>
    <row r="42" spans="1:45" ht="70.5" customHeight="1" thickBot="1">
      <c r="A42" s="138" t="s">
        <v>96</v>
      </c>
      <c r="B42" s="12">
        <v>74</v>
      </c>
      <c r="C42" s="12">
        <v>89.2</v>
      </c>
      <c r="D42" s="12">
        <v>43.5</v>
      </c>
      <c r="E42" s="12" t="s">
        <v>97</v>
      </c>
      <c r="F42" s="12" t="s">
        <v>97</v>
      </c>
      <c r="G42" s="12" t="s">
        <v>46</v>
      </c>
      <c r="H42" s="12"/>
      <c r="I42" s="12" t="s">
        <v>98</v>
      </c>
      <c r="J42" s="12" t="s">
        <v>47</v>
      </c>
      <c r="K42" s="12" t="s">
        <v>49</v>
      </c>
      <c r="L42" s="12" t="s">
        <v>48</v>
      </c>
      <c r="M42" s="11" t="s">
        <v>50</v>
      </c>
      <c r="N42" s="11" t="s">
        <v>50</v>
      </c>
      <c r="O42" s="11" t="s">
        <v>50</v>
      </c>
      <c r="P42" s="11" t="s">
        <v>94</v>
      </c>
      <c r="Q42" s="72" t="s">
        <v>119</v>
      </c>
      <c r="R42" s="65">
        <v>23</v>
      </c>
      <c r="S42" s="70">
        <v>18.399999999999999</v>
      </c>
      <c r="T42" s="70">
        <v>5.75</v>
      </c>
      <c r="U42" s="65">
        <v>23</v>
      </c>
      <c r="V42" s="65">
        <v>16</v>
      </c>
      <c r="W42" s="82">
        <v>6.48</v>
      </c>
      <c r="X42" s="130">
        <f t="shared" si="0"/>
        <v>-2.3999999999999986</v>
      </c>
      <c r="Y42" s="16">
        <f t="shared" si="2"/>
        <v>1.2818617574517899</v>
      </c>
      <c r="Z42" s="130" t="s">
        <v>53</v>
      </c>
      <c r="AA42" s="131" t="s">
        <v>53</v>
      </c>
      <c r="AB42" s="16">
        <v>1.2818617574517899</v>
      </c>
      <c r="AC42" s="66" t="s">
        <v>49</v>
      </c>
      <c r="AD42" s="51" t="s">
        <v>99</v>
      </c>
      <c r="AE42" s="13">
        <v>52</v>
      </c>
      <c r="AF42" s="13">
        <v>0</v>
      </c>
      <c r="AG42" s="13">
        <v>0</v>
      </c>
      <c r="AH42" s="146">
        <v>0</v>
      </c>
      <c r="AI42" s="13">
        <v>0</v>
      </c>
      <c r="AJ42" s="135">
        <f t="shared" si="3"/>
        <v>0</v>
      </c>
      <c r="AK42" s="136">
        <f t="shared" si="1"/>
        <v>0</v>
      </c>
      <c r="AL42" s="136" t="str" cm="1">
        <f t="array" ref="AL42">_xlfn.IFS(
AI42&lt;3,"Ligera",
AI42&lt;=6,"Moderada",
AI42&gt;6,"Vigorosa"
)</f>
        <v>Ligera</v>
      </c>
      <c r="AM42" s="45" t="s">
        <v>49</v>
      </c>
      <c r="AN42" s="46" t="s">
        <v>49</v>
      </c>
      <c r="AO42" s="46" t="s">
        <v>49</v>
      </c>
      <c r="AP42" s="46" t="s">
        <v>49</v>
      </c>
      <c r="AQ42" s="139">
        <v>0</v>
      </c>
      <c r="AS42" s="156" t="s">
        <v>120</v>
      </c>
    </row>
    <row r="43" spans="1:45" ht="70.5" customHeight="1" thickBot="1">
      <c r="A43" s="138" t="s">
        <v>96</v>
      </c>
      <c r="B43" s="12">
        <v>74</v>
      </c>
      <c r="C43" s="12">
        <v>90.3</v>
      </c>
      <c r="D43" s="12">
        <v>13</v>
      </c>
      <c r="E43" s="12" t="s">
        <v>97</v>
      </c>
      <c r="F43" s="12" t="s">
        <v>97</v>
      </c>
      <c r="G43" s="12" t="s">
        <v>46</v>
      </c>
      <c r="H43" s="12"/>
      <c r="I43" s="12" t="s">
        <v>98</v>
      </c>
      <c r="J43" s="12" t="s">
        <v>47</v>
      </c>
      <c r="K43" s="12" t="s">
        <v>49</v>
      </c>
      <c r="L43" s="12" t="s">
        <v>48</v>
      </c>
      <c r="M43" s="11" t="s">
        <v>56</v>
      </c>
      <c r="N43" s="11" t="s">
        <v>76</v>
      </c>
      <c r="O43" s="11" t="s">
        <v>100</v>
      </c>
      <c r="P43" s="11" t="s">
        <v>94</v>
      </c>
      <c r="Q43" s="72" t="s">
        <v>119</v>
      </c>
      <c r="R43" s="65">
        <v>23</v>
      </c>
      <c r="S43" s="70">
        <v>19.8</v>
      </c>
      <c r="T43" s="70">
        <v>4.04</v>
      </c>
      <c r="U43" s="65">
        <v>23</v>
      </c>
      <c r="V43" s="65">
        <v>20</v>
      </c>
      <c r="W43" s="82">
        <v>3.79</v>
      </c>
      <c r="X43" s="130">
        <f t="shared" si="0"/>
        <v>0.19999999999999929</v>
      </c>
      <c r="Y43" s="16">
        <f t="shared" si="2"/>
        <v>0.81758126839769429</v>
      </c>
      <c r="Z43" s="15">
        <f t="shared" si="4"/>
        <v>2.5999999999999979</v>
      </c>
      <c r="AA43" s="16">
        <f t="shared" si="5"/>
        <v>28.177250000000004</v>
      </c>
      <c r="AB43" s="16">
        <f t="shared" si="6"/>
        <v>1.5653100817965473</v>
      </c>
      <c r="AC43" s="66" t="s">
        <v>49</v>
      </c>
      <c r="AD43" s="51" t="s">
        <v>101</v>
      </c>
      <c r="AE43" s="13">
        <v>52</v>
      </c>
      <c r="AF43" s="13">
        <v>5</v>
      </c>
      <c r="AG43" s="13">
        <v>40</v>
      </c>
      <c r="AH43" s="146" t="s">
        <v>102</v>
      </c>
      <c r="AI43" s="13">
        <v>4.4000000000000004</v>
      </c>
      <c r="AJ43" s="13">
        <v>176</v>
      </c>
      <c r="AK43" s="136">
        <f t="shared" si="1"/>
        <v>880</v>
      </c>
      <c r="AL43" s="136" t="str" cm="1">
        <f t="array" ref="AL43">_xlfn.IFS(
AI43&lt;3,"Ligera",
AI43&lt;=6,"Moderada",
AI43&gt;6,"Vigorosa"
)</f>
        <v>Moderada</v>
      </c>
      <c r="AM43" s="45" t="s">
        <v>48</v>
      </c>
      <c r="AN43" s="46" t="s">
        <v>60</v>
      </c>
      <c r="AO43" s="46" t="s">
        <v>61</v>
      </c>
      <c r="AP43" s="289" t="s">
        <v>62</v>
      </c>
      <c r="AQ43" s="139">
        <v>0</v>
      </c>
      <c r="AS43" s="156" t="s">
        <v>121</v>
      </c>
    </row>
    <row r="44" spans="1:45" ht="70.5" customHeight="1" thickBot="1">
      <c r="A44" s="140" t="s">
        <v>96</v>
      </c>
      <c r="B44" s="141">
        <v>74</v>
      </c>
      <c r="C44" s="141">
        <v>89.6</v>
      </c>
      <c r="D44" s="141">
        <v>26.1</v>
      </c>
      <c r="E44" s="141" t="s">
        <v>97</v>
      </c>
      <c r="F44" s="141" t="s">
        <v>97</v>
      </c>
      <c r="G44" s="141" t="s">
        <v>46</v>
      </c>
      <c r="H44" s="141"/>
      <c r="I44" s="141" t="s">
        <v>98</v>
      </c>
      <c r="J44" s="141" t="s">
        <v>47</v>
      </c>
      <c r="K44" s="141" t="s">
        <v>49</v>
      </c>
      <c r="L44" s="141" t="s">
        <v>48</v>
      </c>
      <c r="M44" s="142" t="s">
        <v>56</v>
      </c>
      <c r="N44" s="142" t="s">
        <v>76</v>
      </c>
      <c r="O44" s="142" t="s">
        <v>103</v>
      </c>
      <c r="P44" s="142" t="s">
        <v>94</v>
      </c>
      <c r="Q44" s="153" t="s">
        <v>119</v>
      </c>
      <c r="R44" s="144">
        <v>23</v>
      </c>
      <c r="S44" s="144">
        <v>17.7</v>
      </c>
      <c r="T44" s="144">
        <v>6.24</v>
      </c>
      <c r="U44" s="144">
        <v>23</v>
      </c>
      <c r="V44" s="154">
        <v>18.7</v>
      </c>
      <c r="W44" s="145">
        <v>5.38</v>
      </c>
      <c r="X44" s="130">
        <f t="shared" si="0"/>
        <v>1</v>
      </c>
      <c r="Y44" s="16">
        <f t="shared" si="2"/>
        <v>1.2213819685272411</v>
      </c>
      <c r="Z44" s="15">
        <f>X44-X42</f>
        <v>3.3999999999999986</v>
      </c>
      <c r="AA44" s="16">
        <f>((U44-1)*W44^2+(U42-1)*W42^2)/((U44-1)+(U42-1))</f>
        <v>35.467400000000005</v>
      </c>
      <c r="AB44" s="16">
        <f>SQRT(AA44*((1/U44)+(1/U42)))</f>
        <v>1.7561667742929301</v>
      </c>
      <c r="AC44" s="66" t="s">
        <v>49</v>
      </c>
      <c r="AD44" s="151" t="s">
        <v>104</v>
      </c>
      <c r="AE44" s="146">
        <v>52</v>
      </c>
      <c r="AF44" s="146">
        <v>5</v>
      </c>
      <c r="AG44" s="146">
        <v>40</v>
      </c>
      <c r="AH44" s="146" t="s">
        <v>105</v>
      </c>
      <c r="AI44" s="13">
        <v>4.37</v>
      </c>
      <c r="AJ44" s="135">
        <f t="shared" ref="AJ44" si="15">AI44*AG44</f>
        <v>174.8</v>
      </c>
      <c r="AK44" s="136">
        <f t="shared" ref="AK44" si="16">AJ44*AF44</f>
        <v>874</v>
      </c>
      <c r="AL44" s="136" t="str" cm="1">
        <f t="array" ref="AL44">_xlfn.IFS(
AI44&lt;3,"Ligera",
AI44&lt;=6,"Moderada",
AI44&gt;6,"Vigorosa"
)</f>
        <v>Moderada</v>
      </c>
      <c r="AM44" s="147" t="s">
        <v>48</v>
      </c>
      <c r="AN44" s="148" t="s">
        <v>60</v>
      </c>
      <c r="AO44" s="148" t="s">
        <v>61</v>
      </c>
      <c r="AP44" s="290" t="s">
        <v>62</v>
      </c>
      <c r="AQ44" s="149">
        <v>0</v>
      </c>
      <c r="AS44" s="156" t="s">
        <v>122</v>
      </c>
    </row>
    <row r="45" spans="1:45" ht="70.5" customHeight="1" thickBot="1">
      <c r="A45" s="124" t="s">
        <v>123</v>
      </c>
      <c r="B45" s="125">
        <v>45</v>
      </c>
      <c r="C45" s="125">
        <v>83.6</v>
      </c>
      <c r="D45" s="125">
        <v>34.799999999999997</v>
      </c>
      <c r="E45" s="125" t="s">
        <v>45</v>
      </c>
      <c r="F45" s="125" t="s">
        <v>45</v>
      </c>
      <c r="G45" s="125" t="s">
        <v>46</v>
      </c>
      <c r="H45" s="125"/>
      <c r="I45" s="125" t="s">
        <v>45</v>
      </c>
      <c r="J45" s="125" t="s">
        <v>47</v>
      </c>
      <c r="K45" s="125" t="s">
        <v>49</v>
      </c>
      <c r="L45" s="125" t="s">
        <v>49</v>
      </c>
      <c r="M45" s="126" t="s">
        <v>50</v>
      </c>
      <c r="N45" s="126" t="s">
        <v>50</v>
      </c>
      <c r="O45" s="126" t="s">
        <v>50</v>
      </c>
      <c r="P45" s="126" t="s">
        <v>51</v>
      </c>
      <c r="Q45" s="157" t="s">
        <v>124</v>
      </c>
      <c r="R45" s="128">
        <v>23</v>
      </c>
      <c r="S45" s="152">
        <v>9.94</v>
      </c>
      <c r="T45" s="152">
        <v>2.21</v>
      </c>
      <c r="U45" s="128">
        <v>23</v>
      </c>
      <c r="V45" s="128">
        <v>12.41</v>
      </c>
      <c r="W45" s="152">
        <v>7.42</v>
      </c>
      <c r="X45" s="130">
        <f t="shared" si="0"/>
        <v>2.4700000000000006</v>
      </c>
      <c r="Y45" s="16">
        <f t="shared" si="2"/>
        <v>1.3759155054947487</v>
      </c>
      <c r="Z45" s="130" t="s">
        <v>53</v>
      </c>
      <c r="AA45" s="131" t="s">
        <v>53</v>
      </c>
      <c r="AB45" s="16">
        <v>1.3759155054947487</v>
      </c>
      <c r="AC45" s="66" t="s">
        <v>48</v>
      </c>
      <c r="AD45" s="133" t="s">
        <v>125</v>
      </c>
      <c r="AE45" s="134">
        <v>16</v>
      </c>
      <c r="AF45" s="134">
        <v>0</v>
      </c>
      <c r="AG45" s="134">
        <v>0</v>
      </c>
      <c r="AH45" s="134">
        <v>0</v>
      </c>
      <c r="AI45" s="134">
        <v>0</v>
      </c>
      <c r="AJ45" s="135">
        <f t="shared" si="3"/>
        <v>0</v>
      </c>
      <c r="AK45" s="136">
        <f t="shared" si="1"/>
        <v>0</v>
      </c>
      <c r="AL45" s="136" t="str" cm="1">
        <f t="array" ref="AL45">_xlfn.IFS(
AI45&lt;3,"Ligera",
AI45&lt;=6,"Moderada",
AI45&gt;6,"Vigorosa"
)</f>
        <v>Ligera</v>
      </c>
      <c r="AM45" s="136" t="s">
        <v>49</v>
      </c>
      <c r="AN45" s="135" t="s">
        <v>49</v>
      </c>
      <c r="AO45" s="135" t="s">
        <v>49</v>
      </c>
      <c r="AP45" s="288" t="s">
        <v>49</v>
      </c>
      <c r="AQ45" s="137">
        <v>0</v>
      </c>
    </row>
    <row r="46" spans="1:45" ht="70.5" customHeight="1" thickBot="1">
      <c r="A46" s="138" t="s">
        <v>123</v>
      </c>
      <c r="B46" s="12">
        <v>45</v>
      </c>
      <c r="C46" s="12">
        <v>85.5</v>
      </c>
      <c r="D46" s="12">
        <v>31.9</v>
      </c>
      <c r="E46" s="12" t="s">
        <v>45</v>
      </c>
      <c r="F46" s="12" t="s">
        <v>45</v>
      </c>
      <c r="G46" s="12" t="s">
        <v>46</v>
      </c>
      <c r="H46" s="12"/>
      <c r="I46" s="12" t="s">
        <v>45</v>
      </c>
      <c r="J46" s="12" t="s">
        <v>47</v>
      </c>
      <c r="K46" s="12" t="s">
        <v>49</v>
      </c>
      <c r="L46" s="12" t="s">
        <v>49</v>
      </c>
      <c r="M46" s="11" t="s">
        <v>56</v>
      </c>
      <c r="N46" s="11" t="s">
        <v>57</v>
      </c>
      <c r="O46" s="11" t="s">
        <v>126</v>
      </c>
      <c r="P46" s="11" t="s">
        <v>51</v>
      </c>
      <c r="Q46" s="72" t="s">
        <v>124</v>
      </c>
      <c r="R46" s="73">
        <v>22</v>
      </c>
      <c r="S46" s="65">
        <v>13.01</v>
      </c>
      <c r="T46" s="65">
        <v>5.96</v>
      </c>
      <c r="U46" s="73">
        <v>22</v>
      </c>
      <c r="V46" s="73">
        <v>10.97</v>
      </c>
      <c r="W46" s="65">
        <v>3.09</v>
      </c>
      <c r="X46" s="130">
        <f t="shared" si="0"/>
        <v>-2.0399999999999991</v>
      </c>
      <c r="Y46" s="16">
        <f t="shared" si="2"/>
        <v>1.1006878014966988</v>
      </c>
      <c r="Z46" s="15">
        <f t="shared" si="4"/>
        <v>-4.51</v>
      </c>
      <c r="AA46" s="16">
        <f t="shared" si="5"/>
        <v>32.831416279069771</v>
      </c>
      <c r="AB46" s="16">
        <f t="shared" si="6"/>
        <v>1.7087392970528787</v>
      </c>
      <c r="AC46" s="66" t="s">
        <v>48</v>
      </c>
      <c r="AD46" s="51" t="s">
        <v>127</v>
      </c>
      <c r="AE46" s="13">
        <v>16</v>
      </c>
      <c r="AF46" s="49">
        <v>3</v>
      </c>
      <c r="AG46" s="13">
        <v>32.5</v>
      </c>
      <c r="AH46" s="13">
        <v>205460</v>
      </c>
      <c r="AI46" s="49">
        <v>4.3</v>
      </c>
      <c r="AJ46" s="135">
        <f t="shared" si="3"/>
        <v>139.75</v>
      </c>
      <c r="AK46" s="136">
        <f t="shared" si="1"/>
        <v>419.25</v>
      </c>
      <c r="AL46" s="136" t="str" cm="1">
        <f t="array" ref="AL46">_xlfn.IFS(
AI46&lt;3,"Ligera",
AI46&lt;=6,"Moderada",
AI46&gt;6,"Vigorosa"
)</f>
        <v>Moderada</v>
      </c>
      <c r="AM46" s="45" t="s">
        <v>49</v>
      </c>
      <c r="AN46" s="46" t="s">
        <v>49</v>
      </c>
      <c r="AO46" s="46" t="s">
        <v>61</v>
      </c>
      <c r="AP46" s="289" t="s">
        <v>128</v>
      </c>
      <c r="AQ46" s="139">
        <v>0</v>
      </c>
    </row>
    <row r="47" spans="1:45" ht="70.5" customHeight="1" thickBot="1">
      <c r="A47" s="138" t="s">
        <v>123</v>
      </c>
      <c r="B47" s="12">
        <v>45</v>
      </c>
      <c r="C47" s="12">
        <v>83.6</v>
      </c>
      <c r="D47" s="12">
        <v>34.799999999999997</v>
      </c>
      <c r="E47" s="12" t="s">
        <v>45</v>
      </c>
      <c r="F47" s="12" t="s">
        <v>45</v>
      </c>
      <c r="G47" s="12" t="s">
        <v>46</v>
      </c>
      <c r="H47" s="12"/>
      <c r="I47" s="12" t="s">
        <v>45</v>
      </c>
      <c r="J47" s="12" t="s">
        <v>47</v>
      </c>
      <c r="K47" s="12" t="s">
        <v>49</v>
      </c>
      <c r="L47" s="12" t="s">
        <v>49</v>
      </c>
      <c r="M47" s="11" t="s">
        <v>50</v>
      </c>
      <c r="N47" s="11" t="s">
        <v>50</v>
      </c>
      <c r="O47" s="11" t="s">
        <v>50</v>
      </c>
      <c r="P47" s="11" t="s">
        <v>51</v>
      </c>
      <c r="Q47" s="50" t="s">
        <v>92</v>
      </c>
      <c r="R47" s="65">
        <v>23</v>
      </c>
      <c r="S47" s="70">
        <v>22.38</v>
      </c>
      <c r="T47" s="70">
        <v>7.3</v>
      </c>
      <c r="U47" s="65">
        <v>23</v>
      </c>
      <c r="V47" s="65">
        <v>20.149999999999999</v>
      </c>
      <c r="W47" s="70">
        <v>7.7</v>
      </c>
      <c r="X47" s="130">
        <f t="shared" si="0"/>
        <v>-2.2300000000000004</v>
      </c>
      <c r="Y47" s="16">
        <f t="shared" si="2"/>
        <v>1.5655253320267266</v>
      </c>
      <c r="Z47" s="130" t="s">
        <v>53</v>
      </c>
      <c r="AA47" s="131" t="s">
        <v>53</v>
      </c>
      <c r="AB47" s="16">
        <v>1.5655253320267266</v>
      </c>
      <c r="AC47" s="66" t="s">
        <v>49</v>
      </c>
      <c r="AD47" s="51" t="s">
        <v>125</v>
      </c>
      <c r="AE47" s="13">
        <v>16</v>
      </c>
      <c r="AF47" s="13">
        <v>0</v>
      </c>
      <c r="AG47" s="13">
        <v>0</v>
      </c>
      <c r="AH47" s="134">
        <v>0</v>
      </c>
      <c r="AI47" s="134">
        <v>0</v>
      </c>
      <c r="AJ47" s="135">
        <f t="shared" si="3"/>
        <v>0</v>
      </c>
      <c r="AK47" s="136">
        <f t="shared" si="1"/>
        <v>0</v>
      </c>
      <c r="AL47" s="136" t="str" cm="1">
        <f t="array" ref="AL47">_xlfn.IFS(
AI47&lt;3,"Ligera",
AI47&lt;=6,"Moderada",
AI47&gt;6,"Vigorosa"
)</f>
        <v>Ligera</v>
      </c>
      <c r="AM47" s="45" t="s">
        <v>49</v>
      </c>
      <c r="AN47" s="46" t="s">
        <v>49</v>
      </c>
      <c r="AO47" s="46" t="s">
        <v>49</v>
      </c>
      <c r="AP47" s="289" t="s">
        <v>49</v>
      </c>
      <c r="AQ47" s="139">
        <v>0</v>
      </c>
    </row>
    <row r="48" spans="1:45" ht="70.5" customHeight="1" thickBot="1">
      <c r="A48" s="138" t="s">
        <v>123</v>
      </c>
      <c r="B48" s="12">
        <v>45</v>
      </c>
      <c r="C48" s="12">
        <v>85.5</v>
      </c>
      <c r="D48" s="12">
        <v>31.9</v>
      </c>
      <c r="E48" s="12" t="s">
        <v>45</v>
      </c>
      <c r="F48" s="12" t="s">
        <v>45</v>
      </c>
      <c r="G48" s="12" t="s">
        <v>46</v>
      </c>
      <c r="H48" s="12"/>
      <c r="I48" s="12" t="s">
        <v>45</v>
      </c>
      <c r="J48" s="12" t="s">
        <v>47</v>
      </c>
      <c r="K48" s="12" t="s">
        <v>49</v>
      </c>
      <c r="L48" s="12" t="s">
        <v>49</v>
      </c>
      <c r="M48" s="11" t="s">
        <v>56</v>
      </c>
      <c r="N48" s="11" t="s">
        <v>57</v>
      </c>
      <c r="O48" s="11" t="s">
        <v>126</v>
      </c>
      <c r="P48" s="11" t="s">
        <v>51</v>
      </c>
      <c r="Q48" s="50" t="s">
        <v>92</v>
      </c>
      <c r="R48" s="73">
        <v>22</v>
      </c>
      <c r="S48" s="65">
        <v>18.82</v>
      </c>
      <c r="T48" s="65">
        <v>4.97</v>
      </c>
      <c r="U48" s="73">
        <v>22</v>
      </c>
      <c r="V48" s="73">
        <v>18.760000000000002</v>
      </c>
      <c r="W48" s="65">
        <v>5.73</v>
      </c>
      <c r="X48" s="130">
        <f t="shared" si="0"/>
        <v>-5.9999999999998721E-2</v>
      </c>
      <c r="Y48" s="16">
        <f t="shared" si="2"/>
        <v>1.149223057706221</v>
      </c>
      <c r="Z48" s="15">
        <f t="shared" si="4"/>
        <v>2.1700000000000017</v>
      </c>
      <c r="AA48" s="16">
        <f t="shared" si="5"/>
        <v>46.369090697674423</v>
      </c>
      <c r="AB48" s="16">
        <f t="shared" si="6"/>
        <v>2.0306977526065766</v>
      </c>
      <c r="AC48" s="66" t="s">
        <v>49</v>
      </c>
      <c r="AD48" s="51" t="s">
        <v>127</v>
      </c>
      <c r="AE48" s="13">
        <v>16</v>
      </c>
      <c r="AF48" s="49">
        <v>3</v>
      </c>
      <c r="AG48" s="13">
        <v>32.5</v>
      </c>
      <c r="AH48" s="13">
        <v>205460</v>
      </c>
      <c r="AI48" s="49">
        <v>4.3</v>
      </c>
      <c r="AJ48" s="135">
        <f t="shared" si="3"/>
        <v>139.75</v>
      </c>
      <c r="AK48" s="136">
        <f t="shared" si="1"/>
        <v>419.25</v>
      </c>
      <c r="AL48" s="136" t="str" cm="1">
        <f t="array" ref="AL48">_xlfn.IFS(
AI48&lt;3,"Ligera",
AI48&lt;=6,"Moderada",
AI48&gt;6,"Vigorosa"
)</f>
        <v>Moderada</v>
      </c>
      <c r="AM48" s="45" t="s">
        <v>49</v>
      </c>
      <c r="AN48" s="46" t="s">
        <v>49</v>
      </c>
      <c r="AO48" s="46" t="s">
        <v>61</v>
      </c>
      <c r="AP48" s="289" t="s">
        <v>128</v>
      </c>
      <c r="AQ48" s="139">
        <v>0</v>
      </c>
    </row>
    <row r="49" spans="1:43" ht="70.5" customHeight="1" thickBot="1">
      <c r="A49" s="138" t="s">
        <v>123</v>
      </c>
      <c r="B49" s="12">
        <v>45</v>
      </c>
      <c r="C49" s="12">
        <v>83.6</v>
      </c>
      <c r="D49" s="12">
        <v>34.799999999999997</v>
      </c>
      <c r="E49" s="12" t="s">
        <v>45</v>
      </c>
      <c r="F49" s="12" t="s">
        <v>45</v>
      </c>
      <c r="G49" s="12" t="s">
        <v>46</v>
      </c>
      <c r="H49" s="12"/>
      <c r="I49" s="12" t="s">
        <v>45</v>
      </c>
      <c r="J49" s="12" t="s">
        <v>47</v>
      </c>
      <c r="K49" s="12" t="s">
        <v>49</v>
      </c>
      <c r="L49" s="12" t="s">
        <v>49</v>
      </c>
      <c r="M49" s="11" t="s">
        <v>50</v>
      </c>
      <c r="N49" s="11" t="s">
        <v>50</v>
      </c>
      <c r="O49" s="11" t="s">
        <v>50</v>
      </c>
      <c r="P49" s="11" t="s">
        <v>86</v>
      </c>
      <c r="Q49" s="50" t="s">
        <v>87</v>
      </c>
      <c r="R49" s="65">
        <v>23</v>
      </c>
      <c r="S49" s="70">
        <v>49.38</v>
      </c>
      <c r="T49" s="70">
        <v>4.8499999999999996</v>
      </c>
      <c r="U49" s="65">
        <v>23</v>
      </c>
      <c r="V49" s="65">
        <v>48.53</v>
      </c>
      <c r="W49" s="70">
        <v>5.75</v>
      </c>
      <c r="X49" s="130">
        <f t="shared" si="0"/>
        <v>-0.85000000000000142</v>
      </c>
      <c r="Y49" s="16">
        <f t="shared" si="2"/>
        <v>1.1170127086583876</v>
      </c>
      <c r="Z49" s="130" t="s">
        <v>53</v>
      </c>
      <c r="AA49" s="131" t="s">
        <v>53</v>
      </c>
      <c r="AB49" s="16">
        <v>1.1170127086583876</v>
      </c>
      <c r="AC49" s="66" t="s">
        <v>49</v>
      </c>
      <c r="AD49" s="51" t="s">
        <v>125</v>
      </c>
      <c r="AE49" s="13">
        <v>16</v>
      </c>
      <c r="AF49" s="13">
        <v>0</v>
      </c>
      <c r="AG49" s="13">
        <v>0</v>
      </c>
      <c r="AH49" s="134">
        <v>0</v>
      </c>
      <c r="AI49" s="134">
        <v>0</v>
      </c>
      <c r="AJ49" s="135">
        <f t="shared" si="3"/>
        <v>0</v>
      </c>
      <c r="AK49" s="136">
        <f t="shared" si="1"/>
        <v>0</v>
      </c>
      <c r="AL49" s="136" t="str" cm="1">
        <f t="array" ref="AL49">_xlfn.IFS(
AI49&lt;3,"Ligera",
AI49&lt;=6,"Moderada",
AI49&gt;6,"Vigorosa"
)</f>
        <v>Ligera</v>
      </c>
      <c r="AM49" s="45" t="s">
        <v>49</v>
      </c>
      <c r="AN49" s="46" t="s">
        <v>49</v>
      </c>
      <c r="AO49" s="46" t="s">
        <v>49</v>
      </c>
      <c r="AP49" s="289" t="s">
        <v>49</v>
      </c>
      <c r="AQ49" s="139">
        <v>0</v>
      </c>
    </row>
    <row r="50" spans="1:43" ht="70.5" customHeight="1" thickBot="1">
      <c r="A50" s="138" t="s">
        <v>123</v>
      </c>
      <c r="B50" s="12">
        <v>45</v>
      </c>
      <c r="C50" s="12">
        <v>85.5</v>
      </c>
      <c r="D50" s="12">
        <v>31.9</v>
      </c>
      <c r="E50" s="12" t="s">
        <v>45</v>
      </c>
      <c r="F50" s="12" t="s">
        <v>45</v>
      </c>
      <c r="G50" s="12" t="s">
        <v>46</v>
      </c>
      <c r="H50" s="12"/>
      <c r="I50" s="12" t="s">
        <v>45</v>
      </c>
      <c r="J50" s="12" t="s">
        <v>47</v>
      </c>
      <c r="K50" s="12" t="s">
        <v>49</v>
      </c>
      <c r="L50" s="12" t="s">
        <v>49</v>
      </c>
      <c r="M50" s="11" t="s">
        <v>56</v>
      </c>
      <c r="N50" s="11" t="s">
        <v>57</v>
      </c>
      <c r="O50" s="11" t="s">
        <v>126</v>
      </c>
      <c r="P50" s="11" t="s">
        <v>86</v>
      </c>
      <c r="Q50" s="50" t="s">
        <v>87</v>
      </c>
      <c r="R50" s="73">
        <v>22</v>
      </c>
      <c r="S50" s="65">
        <v>46.64</v>
      </c>
      <c r="T50" s="65">
        <v>5.09</v>
      </c>
      <c r="U50" s="73">
        <v>22</v>
      </c>
      <c r="V50" s="73">
        <v>48.29</v>
      </c>
      <c r="W50" s="65">
        <v>6.61</v>
      </c>
      <c r="X50" s="130">
        <f t="shared" si="0"/>
        <v>1.6499999999999986</v>
      </c>
      <c r="Y50" s="16">
        <f t="shared" si="2"/>
        <v>1.2784098787876359</v>
      </c>
      <c r="Z50" s="15">
        <f t="shared" si="4"/>
        <v>2.5</v>
      </c>
      <c r="AA50" s="16">
        <f t="shared" si="5"/>
        <v>38.253700000000002</v>
      </c>
      <c r="AB50" s="16">
        <f t="shared" si="6"/>
        <v>1.8444535486914906</v>
      </c>
      <c r="AC50" s="66" t="s">
        <v>49</v>
      </c>
      <c r="AD50" s="51" t="s">
        <v>127</v>
      </c>
      <c r="AE50" s="13">
        <v>16</v>
      </c>
      <c r="AF50" s="49">
        <v>3</v>
      </c>
      <c r="AG50" s="13">
        <v>32.5</v>
      </c>
      <c r="AH50" s="13">
        <v>205460</v>
      </c>
      <c r="AI50" s="49">
        <v>4.3</v>
      </c>
      <c r="AJ50" s="135">
        <f t="shared" si="3"/>
        <v>139.75</v>
      </c>
      <c r="AK50" s="136">
        <f t="shared" si="1"/>
        <v>419.25</v>
      </c>
      <c r="AL50" s="136" t="str" cm="1">
        <f t="array" ref="AL50">_xlfn.IFS(
AI50&lt;3,"Ligera",
AI50&lt;=6,"Moderada",
AI50&gt;6,"Vigorosa"
)</f>
        <v>Moderada</v>
      </c>
      <c r="AM50" s="45" t="s">
        <v>49</v>
      </c>
      <c r="AN50" s="46" t="s">
        <v>49</v>
      </c>
      <c r="AO50" s="46" t="s">
        <v>61</v>
      </c>
      <c r="AP50" s="289" t="s">
        <v>128</v>
      </c>
      <c r="AQ50" s="139">
        <v>0</v>
      </c>
    </row>
    <row r="51" spans="1:43" ht="70.5" customHeight="1" thickBot="1">
      <c r="A51" s="138" t="s">
        <v>123</v>
      </c>
      <c r="B51" s="12">
        <v>45</v>
      </c>
      <c r="C51" s="12">
        <v>83.6</v>
      </c>
      <c r="D51" s="12">
        <v>34.799999999999997</v>
      </c>
      <c r="E51" s="12" t="s">
        <v>45</v>
      </c>
      <c r="F51" s="12" t="s">
        <v>45</v>
      </c>
      <c r="G51" s="12" t="s">
        <v>46</v>
      </c>
      <c r="H51" s="12"/>
      <c r="I51" s="12" t="s">
        <v>45</v>
      </c>
      <c r="J51" s="12" t="s">
        <v>47</v>
      </c>
      <c r="K51" s="12" t="s">
        <v>49</v>
      </c>
      <c r="L51" s="12" t="s">
        <v>49</v>
      </c>
      <c r="M51" s="11" t="s">
        <v>50</v>
      </c>
      <c r="N51" s="11" t="s">
        <v>50</v>
      </c>
      <c r="O51" s="11" t="s">
        <v>50</v>
      </c>
      <c r="P51" s="11" t="s">
        <v>51</v>
      </c>
      <c r="Q51" s="50" t="s">
        <v>82</v>
      </c>
      <c r="R51" s="65">
        <v>23</v>
      </c>
      <c r="S51" s="70">
        <v>311.27999999999997</v>
      </c>
      <c r="T51" s="70">
        <v>101.63</v>
      </c>
      <c r="U51" s="65">
        <v>23</v>
      </c>
      <c r="V51" s="65">
        <v>297.5</v>
      </c>
      <c r="W51" s="70">
        <v>111.18</v>
      </c>
      <c r="X51" s="130">
        <f t="shared" si="0"/>
        <v>-13.779999999999973</v>
      </c>
      <c r="Y51" s="16">
        <f t="shared" si="2"/>
        <v>22.253896483439753</v>
      </c>
      <c r="Z51" s="130" t="s">
        <v>53</v>
      </c>
      <c r="AA51" s="131" t="s">
        <v>53</v>
      </c>
      <c r="AB51" s="16">
        <v>22.253896483439753</v>
      </c>
      <c r="AC51" s="66" t="s">
        <v>49</v>
      </c>
      <c r="AD51" s="51" t="s">
        <v>125</v>
      </c>
      <c r="AE51" s="13">
        <v>16</v>
      </c>
      <c r="AF51" s="13">
        <v>0</v>
      </c>
      <c r="AG51" s="13">
        <v>0</v>
      </c>
      <c r="AH51" s="134">
        <v>0</v>
      </c>
      <c r="AI51" s="134">
        <v>0</v>
      </c>
      <c r="AJ51" s="135">
        <f t="shared" si="3"/>
        <v>0</v>
      </c>
      <c r="AK51" s="136">
        <f t="shared" si="1"/>
        <v>0</v>
      </c>
      <c r="AL51" s="136" t="str" cm="1">
        <f t="array" ref="AL51">_xlfn.IFS(
AI51&lt;3,"Ligera",
AI51&lt;=6,"Moderada",
AI51&gt;6,"Vigorosa"
)</f>
        <v>Ligera</v>
      </c>
      <c r="AM51" s="45" t="s">
        <v>49</v>
      </c>
      <c r="AN51" s="46" t="s">
        <v>49</v>
      </c>
      <c r="AO51" s="46" t="s">
        <v>49</v>
      </c>
      <c r="AP51" s="289" t="s">
        <v>49</v>
      </c>
      <c r="AQ51" s="139">
        <v>0</v>
      </c>
    </row>
    <row r="52" spans="1:43" ht="70.5" customHeight="1" thickBot="1">
      <c r="A52" s="138" t="s">
        <v>123</v>
      </c>
      <c r="B52" s="12">
        <v>45</v>
      </c>
      <c r="C52" s="12">
        <v>85.5</v>
      </c>
      <c r="D52" s="12">
        <v>31.9</v>
      </c>
      <c r="E52" s="12" t="s">
        <v>45</v>
      </c>
      <c r="F52" s="12" t="s">
        <v>45</v>
      </c>
      <c r="G52" s="12" t="s">
        <v>46</v>
      </c>
      <c r="H52" s="12"/>
      <c r="I52" s="12" t="s">
        <v>45</v>
      </c>
      <c r="J52" s="12" t="s">
        <v>47</v>
      </c>
      <c r="K52" s="12" t="s">
        <v>49</v>
      </c>
      <c r="L52" s="12" t="s">
        <v>49</v>
      </c>
      <c r="M52" s="11" t="s">
        <v>56</v>
      </c>
      <c r="N52" s="11" t="s">
        <v>57</v>
      </c>
      <c r="O52" s="11" t="s">
        <v>126</v>
      </c>
      <c r="P52" s="11" t="s">
        <v>51</v>
      </c>
      <c r="Q52" s="50" t="s">
        <v>82</v>
      </c>
      <c r="R52" s="73">
        <v>22</v>
      </c>
      <c r="S52" s="65">
        <v>270.11</v>
      </c>
      <c r="T52" s="65">
        <v>105.4</v>
      </c>
      <c r="U52" s="73">
        <v>22</v>
      </c>
      <c r="V52" s="73">
        <v>277.88</v>
      </c>
      <c r="W52" s="65">
        <v>11.18</v>
      </c>
      <c r="X52" s="130">
        <f t="shared" ref="X52:X96" si="17">V52-S52</f>
        <v>7.7699999999999818</v>
      </c>
      <c r="Y52" s="16">
        <f t="shared" si="2"/>
        <v>21.37945105171616</v>
      </c>
      <c r="Z52" s="15">
        <f t="shared" si="4"/>
        <v>21.549999999999955</v>
      </c>
      <c r="AA52" s="16">
        <f t="shared" si="5"/>
        <v>6385.2714697674419</v>
      </c>
      <c r="AB52" s="16">
        <f t="shared" si="6"/>
        <v>23.829815587781987</v>
      </c>
      <c r="AC52" s="66" t="s">
        <v>49</v>
      </c>
      <c r="AD52" s="51" t="s">
        <v>127</v>
      </c>
      <c r="AE52" s="13">
        <v>16</v>
      </c>
      <c r="AF52" s="49">
        <v>3</v>
      </c>
      <c r="AG52" s="13">
        <v>32.5</v>
      </c>
      <c r="AH52" s="13">
        <v>205460</v>
      </c>
      <c r="AI52" s="49">
        <v>4.3</v>
      </c>
      <c r="AJ52" s="135">
        <f t="shared" ref="AJ52:AJ96" si="18">AI52*AG52</f>
        <v>139.75</v>
      </c>
      <c r="AK52" s="136">
        <f t="shared" ref="AK52:AK96" si="19">AJ52*AF52</f>
        <v>419.25</v>
      </c>
      <c r="AL52" s="136" t="str" cm="1">
        <f t="array" ref="AL52">_xlfn.IFS(
AI52&lt;3,"Ligera",
AI52&lt;=6,"Moderada",
AI52&gt;6,"Vigorosa"
)</f>
        <v>Moderada</v>
      </c>
      <c r="AM52" s="45" t="s">
        <v>49</v>
      </c>
      <c r="AN52" s="46" t="s">
        <v>49</v>
      </c>
      <c r="AO52" s="46" t="s">
        <v>61</v>
      </c>
      <c r="AP52" s="289" t="s">
        <v>128</v>
      </c>
      <c r="AQ52" s="139">
        <v>0</v>
      </c>
    </row>
    <row r="53" spans="1:43" ht="70.5" customHeight="1" thickBot="1">
      <c r="A53" s="124" t="s">
        <v>129</v>
      </c>
      <c r="B53" s="125">
        <v>79</v>
      </c>
      <c r="C53" s="125">
        <v>86.2</v>
      </c>
      <c r="D53" s="125">
        <v>0</v>
      </c>
      <c r="E53" s="125" t="s">
        <v>45</v>
      </c>
      <c r="F53" s="125" t="s">
        <v>45</v>
      </c>
      <c r="G53" s="125" t="s">
        <v>46</v>
      </c>
      <c r="H53" s="125"/>
      <c r="I53" s="125" t="s">
        <v>45</v>
      </c>
      <c r="J53" s="125" t="s">
        <v>47</v>
      </c>
      <c r="K53" s="125" t="s">
        <v>49</v>
      </c>
      <c r="L53" s="125" t="s">
        <v>49</v>
      </c>
      <c r="M53" s="126" t="s">
        <v>50</v>
      </c>
      <c r="N53" s="126" t="s">
        <v>50</v>
      </c>
      <c r="O53" s="126" t="s">
        <v>50</v>
      </c>
      <c r="P53" s="126" t="s">
        <v>51</v>
      </c>
      <c r="Q53" s="159" t="s">
        <v>64</v>
      </c>
      <c r="R53" s="160">
        <v>31</v>
      </c>
      <c r="S53" s="128">
        <v>6.9</v>
      </c>
      <c r="T53" s="128">
        <v>4.5</v>
      </c>
      <c r="U53" s="160">
        <v>31</v>
      </c>
      <c r="V53" s="160">
        <v>5.6</v>
      </c>
      <c r="W53" s="128">
        <v>4.5999999999999996</v>
      </c>
      <c r="X53" s="130">
        <f t="shared" si="17"/>
        <v>-1.3000000000000007</v>
      </c>
      <c r="Y53" s="16">
        <f t="shared" ref="Y53:Y96" si="20">SQRT((T53^2+W53^2-(2*0.5*T53*W53)))/SQRT(U53)</f>
        <v>0.81735213716551347</v>
      </c>
      <c r="Z53" s="130" t="s">
        <v>53</v>
      </c>
      <c r="AA53" s="131" t="s">
        <v>53</v>
      </c>
      <c r="AB53" s="16">
        <v>0.81735213716551347</v>
      </c>
      <c r="AC53" s="66" t="s">
        <v>49</v>
      </c>
      <c r="AD53" s="133" t="s">
        <v>130</v>
      </c>
      <c r="AE53" s="134">
        <v>24</v>
      </c>
      <c r="AF53" s="161">
        <v>0</v>
      </c>
      <c r="AG53" s="161">
        <v>0</v>
      </c>
      <c r="AH53" s="134">
        <v>0</v>
      </c>
      <c r="AI53" s="134">
        <v>0</v>
      </c>
      <c r="AJ53" s="135">
        <f t="shared" si="18"/>
        <v>0</v>
      </c>
      <c r="AK53" s="136">
        <f t="shared" si="19"/>
        <v>0</v>
      </c>
      <c r="AL53" s="136" t="str" cm="1">
        <f t="array" ref="AL53">_xlfn.IFS(
AI53&lt;3,"Ligera",
AI53&lt;=6,"Moderada",
AI53&gt;6,"Vigorosa"
)</f>
        <v>Ligera</v>
      </c>
      <c r="AM53" s="136" t="s">
        <v>49</v>
      </c>
      <c r="AN53" s="135" t="s">
        <v>49</v>
      </c>
      <c r="AO53" s="135" t="s">
        <v>49</v>
      </c>
      <c r="AP53" s="135" t="s">
        <v>49</v>
      </c>
      <c r="AQ53" s="137">
        <v>0</v>
      </c>
    </row>
    <row r="54" spans="1:43" ht="70.5" customHeight="1" thickBot="1">
      <c r="A54" s="138" t="s">
        <v>129</v>
      </c>
      <c r="B54" s="12">
        <v>79</v>
      </c>
      <c r="C54" s="12">
        <v>86.2</v>
      </c>
      <c r="D54" s="12">
        <v>0</v>
      </c>
      <c r="E54" s="12" t="s">
        <v>45</v>
      </c>
      <c r="F54" s="12" t="s">
        <v>45</v>
      </c>
      <c r="G54" s="12" t="s">
        <v>46</v>
      </c>
      <c r="H54" s="12"/>
      <c r="I54" s="12" t="s">
        <v>45</v>
      </c>
      <c r="J54" s="12" t="s">
        <v>47</v>
      </c>
      <c r="K54" s="12" t="s">
        <v>49</v>
      </c>
      <c r="L54" s="12" t="s">
        <v>49</v>
      </c>
      <c r="M54" s="11" t="s">
        <v>56</v>
      </c>
      <c r="N54" s="11" t="s">
        <v>76</v>
      </c>
      <c r="O54" s="11" t="s">
        <v>77</v>
      </c>
      <c r="P54" s="11" t="s">
        <v>51</v>
      </c>
      <c r="Q54" s="50" t="s">
        <v>64</v>
      </c>
      <c r="R54" s="73">
        <v>28</v>
      </c>
      <c r="S54" s="65">
        <v>7.9</v>
      </c>
      <c r="T54" s="65">
        <v>3.6</v>
      </c>
      <c r="U54" s="73">
        <v>28</v>
      </c>
      <c r="V54" s="73">
        <v>9.8000000000000007</v>
      </c>
      <c r="W54" s="65">
        <v>3.5</v>
      </c>
      <c r="X54" s="130">
        <f t="shared" si="17"/>
        <v>1.9000000000000004</v>
      </c>
      <c r="Y54" s="16">
        <f t="shared" si="20"/>
        <v>0.67108653902245941</v>
      </c>
      <c r="Z54" s="15">
        <f t="shared" ref="Z54:Z96" si="21">X54-X53</f>
        <v>3.2000000000000011</v>
      </c>
      <c r="AA54" s="16">
        <f t="shared" ref="AA54:AA96" si="22">((U54-1)*W54^2+(U53-1)*W53^2)/((U54-1)+(U53-1))</f>
        <v>16.939473684210526</v>
      </c>
      <c r="AB54" s="16">
        <f t="shared" ref="AB54:AB96" si="23">SQRT(AA54*((1/U54)+(1/U53)))</f>
        <v>1.0730404642799132</v>
      </c>
      <c r="AC54" s="66" t="s">
        <v>49</v>
      </c>
      <c r="AD54" s="51" t="s">
        <v>131</v>
      </c>
      <c r="AE54" s="13">
        <v>24</v>
      </c>
      <c r="AF54" s="49">
        <v>2</v>
      </c>
      <c r="AG54" s="49">
        <v>45</v>
      </c>
      <c r="AH54" s="13" t="s">
        <v>79</v>
      </c>
      <c r="AI54" s="13">
        <v>3.53</v>
      </c>
      <c r="AJ54" s="135">
        <v>193</v>
      </c>
      <c r="AK54" s="136">
        <f t="shared" si="19"/>
        <v>386</v>
      </c>
      <c r="AL54" s="136" t="str" cm="1">
        <f t="array" ref="AL54">_xlfn.IFS(
AI54&lt;3,"Ligera",
AI54&lt;=6,"Moderada",
AI54&gt;6,"Vigorosa"
)</f>
        <v>Moderada</v>
      </c>
      <c r="AM54" s="45" t="s">
        <v>48</v>
      </c>
      <c r="AN54" s="46" t="s">
        <v>60</v>
      </c>
      <c r="AO54" s="46" t="s">
        <v>61</v>
      </c>
      <c r="AP54" s="289" t="s">
        <v>62</v>
      </c>
      <c r="AQ54" s="139">
        <v>0</v>
      </c>
    </row>
    <row r="55" spans="1:43" ht="70.5" customHeight="1" thickBot="1">
      <c r="A55" s="138" t="s">
        <v>129</v>
      </c>
      <c r="B55" s="12">
        <v>79</v>
      </c>
      <c r="C55" s="12">
        <v>86.2</v>
      </c>
      <c r="D55" s="12">
        <v>0</v>
      </c>
      <c r="E55" s="12" t="s">
        <v>45</v>
      </c>
      <c r="F55" s="12" t="s">
        <v>45</v>
      </c>
      <c r="G55" s="12" t="s">
        <v>46</v>
      </c>
      <c r="H55" s="12"/>
      <c r="I55" s="12" t="s">
        <v>45</v>
      </c>
      <c r="J55" s="12" t="s">
        <v>47</v>
      </c>
      <c r="K55" s="12" t="s">
        <v>49</v>
      </c>
      <c r="L55" s="12" t="s">
        <v>49</v>
      </c>
      <c r="M55" s="11" t="s">
        <v>50</v>
      </c>
      <c r="N55" s="11" t="s">
        <v>50</v>
      </c>
      <c r="O55" s="11" t="s">
        <v>50</v>
      </c>
      <c r="P55" s="11" t="s">
        <v>51</v>
      </c>
      <c r="Q55" s="50" t="s">
        <v>81</v>
      </c>
      <c r="R55" s="73">
        <v>31</v>
      </c>
      <c r="S55" s="70">
        <v>10.8</v>
      </c>
      <c r="T55" s="71">
        <v>3.6</v>
      </c>
      <c r="U55" s="73">
        <v>31</v>
      </c>
      <c r="V55" s="73">
        <v>10.4</v>
      </c>
      <c r="W55" s="71">
        <v>4.5</v>
      </c>
      <c r="X55" s="130">
        <f t="shared" si="17"/>
        <v>-0.40000000000000036</v>
      </c>
      <c r="Y55" s="16">
        <f t="shared" si="20"/>
        <v>0.74074940257779143</v>
      </c>
      <c r="Z55" s="130" t="s">
        <v>53</v>
      </c>
      <c r="AA55" s="131" t="s">
        <v>53</v>
      </c>
      <c r="AB55" s="16">
        <v>0.74074940257779143</v>
      </c>
      <c r="AC55" s="66" t="s">
        <v>49</v>
      </c>
      <c r="AD55" s="51" t="s">
        <v>130</v>
      </c>
      <c r="AE55" s="13">
        <v>24</v>
      </c>
      <c r="AF55" s="49">
        <v>0</v>
      </c>
      <c r="AG55" s="49">
        <v>0</v>
      </c>
      <c r="AH55" s="134">
        <v>0</v>
      </c>
      <c r="AI55" s="134">
        <v>0</v>
      </c>
      <c r="AJ55" s="135">
        <f t="shared" si="18"/>
        <v>0</v>
      </c>
      <c r="AK55" s="136">
        <f t="shared" si="19"/>
        <v>0</v>
      </c>
      <c r="AL55" s="136" t="str" cm="1">
        <f t="array" ref="AL55">_xlfn.IFS(
AI55&lt;3,"Ligera",
AI55&lt;=6,"Moderada",
AI55&gt;6,"Vigorosa"
)</f>
        <v>Ligera</v>
      </c>
      <c r="AM55" s="45" t="s">
        <v>49</v>
      </c>
      <c r="AN55" s="46" t="s">
        <v>49</v>
      </c>
      <c r="AO55" s="46" t="s">
        <v>49</v>
      </c>
      <c r="AP55" s="46" t="s">
        <v>49</v>
      </c>
      <c r="AQ55" s="139">
        <v>0</v>
      </c>
    </row>
    <row r="56" spans="1:43" ht="70.5" customHeight="1" thickBot="1">
      <c r="A56" s="138" t="s">
        <v>129</v>
      </c>
      <c r="B56" s="12">
        <v>79</v>
      </c>
      <c r="C56" s="12">
        <v>86.2</v>
      </c>
      <c r="D56" s="12">
        <v>0</v>
      </c>
      <c r="E56" s="12" t="s">
        <v>45</v>
      </c>
      <c r="F56" s="12" t="s">
        <v>45</v>
      </c>
      <c r="G56" s="12" t="s">
        <v>46</v>
      </c>
      <c r="H56" s="12"/>
      <c r="I56" s="12" t="s">
        <v>45</v>
      </c>
      <c r="J56" s="12" t="s">
        <v>47</v>
      </c>
      <c r="K56" s="12" t="s">
        <v>49</v>
      </c>
      <c r="L56" s="12" t="s">
        <v>49</v>
      </c>
      <c r="M56" s="11" t="s">
        <v>56</v>
      </c>
      <c r="N56" s="11" t="s">
        <v>76</v>
      </c>
      <c r="O56" s="11" t="s">
        <v>77</v>
      </c>
      <c r="P56" s="11" t="s">
        <v>51</v>
      </c>
      <c r="Q56" s="50" t="s">
        <v>81</v>
      </c>
      <c r="R56" s="73">
        <v>28</v>
      </c>
      <c r="S56" s="70">
        <v>13.1</v>
      </c>
      <c r="T56" s="70">
        <v>3.8</v>
      </c>
      <c r="U56" s="73">
        <v>28</v>
      </c>
      <c r="V56" s="73">
        <v>15.6</v>
      </c>
      <c r="W56" s="70">
        <v>3.1</v>
      </c>
      <c r="X56" s="130">
        <f t="shared" si="17"/>
        <v>2.5</v>
      </c>
      <c r="Y56" s="16">
        <f t="shared" si="20"/>
        <v>0.66197755680558057</v>
      </c>
      <c r="Z56" s="15">
        <f t="shared" si="21"/>
        <v>2.9000000000000004</v>
      </c>
      <c r="AA56" s="16">
        <f t="shared" si="22"/>
        <v>15.21</v>
      </c>
      <c r="AB56" s="16">
        <f t="shared" si="23"/>
        <v>1.0167887917382883</v>
      </c>
      <c r="AC56" s="66" t="s">
        <v>49</v>
      </c>
      <c r="AD56" s="51" t="s">
        <v>131</v>
      </c>
      <c r="AE56" s="13">
        <v>24</v>
      </c>
      <c r="AF56" s="49">
        <v>2</v>
      </c>
      <c r="AG56" s="49">
        <v>45</v>
      </c>
      <c r="AH56" s="13" t="s">
        <v>79</v>
      </c>
      <c r="AI56" s="13">
        <v>3.53</v>
      </c>
      <c r="AJ56" s="135">
        <v>193</v>
      </c>
      <c r="AK56" s="136">
        <f t="shared" si="19"/>
        <v>386</v>
      </c>
      <c r="AL56" s="136" t="str" cm="1">
        <f t="array" ref="AL56">_xlfn.IFS(
AI56&lt;3,"Ligera",
AI56&lt;=6,"Moderada",
AI56&gt;6,"Vigorosa"
)</f>
        <v>Moderada</v>
      </c>
      <c r="AM56" s="45" t="s">
        <v>48</v>
      </c>
      <c r="AN56" s="46" t="s">
        <v>60</v>
      </c>
      <c r="AO56" s="46" t="s">
        <v>61</v>
      </c>
      <c r="AP56" s="289" t="s">
        <v>62</v>
      </c>
      <c r="AQ56" s="139">
        <v>0</v>
      </c>
    </row>
    <row r="57" spans="1:43" ht="70.5" customHeight="1" thickBot="1">
      <c r="A57" s="138" t="s">
        <v>129</v>
      </c>
      <c r="B57" s="12">
        <v>79</v>
      </c>
      <c r="C57" s="12">
        <v>86.2</v>
      </c>
      <c r="D57" s="12">
        <v>0</v>
      </c>
      <c r="E57" s="12" t="s">
        <v>45</v>
      </c>
      <c r="F57" s="12" t="s">
        <v>45</v>
      </c>
      <c r="G57" s="12" t="s">
        <v>46</v>
      </c>
      <c r="H57" s="12"/>
      <c r="I57" s="12" t="s">
        <v>45</v>
      </c>
      <c r="J57" s="12" t="s">
        <v>47</v>
      </c>
      <c r="K57" s="12" t="s">
        <v>49</v>
      </c>
      <c r="L57" s="12" t="s">
        <v>49</v>
      </c>
      <c r="M57" s="11" t="s">
        <v>50</v>
      </c>
      <c r="N57" s="11" t="s">
        <v>50</v>
      </c>
      <c r="O57" s="11" t="s">
        <v>50</v>
      </c>
      <c r="P57" s="11" t="s">
        <v>51</v>
      </c>
      <c r="Q57" s="50" t="s">
        <v>52</v>
      </c>
      <c r="R57" s="73">
        <v>31</v>
      </c>
      <c r="S57" s="70">
        <v>17.399999999999999</v>
      </c>
      <c r="T57" s="74">
        <v>10.1</v>
      </c>
      <c r="U57" s="73">
        <v>31</v>
      </c>
      <c r="V57" s="73">
        <v>22.6</v>
      </c>
      <c r="W57" s="71">
        <v>16.600000000000001</v>
      </c>
      <c r="X57" s="130">
        <f t="shared" si="17"/>
        <v>5.2000000000000028</v>
      </c>
      <c r="Y57" s="16">
        <f t="shared" si="20"/>
        <v>2.6021703100643987</v>
      </c>
      <c r="Z57" s="130" t="s">
        <v>53</v>
      </c>
      <c r="AA57" s="131" t="s">
        <v>53</v>
      </c>
      <c r="AB57" s="16">
        <v>2.6021703100643987</v>
      </c>
      <c r="AC57" s="66" t="s">
        <v>48</v>
      </c>
      <c r="AD57" s="51" t="s">
        <v>130</v>
      </c>
      <c r="AE57" s="13">
        <v>24</v>
      </c>
      <c r="AF57" s="49">
        <v>0</v>
      </c>
      <c r="AG57" s="49">
        <v>0</v>
      </c>
      <c r="AH57" s="134">
        <v>0</v>
      </c>
      <c r="AI57" s="134">
        <v>0</v>
      </c>
      <c r="AJ57" s="135">
        <f t="shared" si="18"/>
        <v>0</v>
      </c>
      <c r="AK57" s="136">
        <f t="shared" si="19"/>
        <v>0</v>
      </c>
      <c r="AL57" s="136" t="str" cm="1">
        <f t="array" ref="AL57">_xlfn.IFS(
AI57&lt;3,"Ligera",
AI57&lt;=6,"Moderada",
AI57&gt;6,"Vigorosa"
)</f>
        <v>Ligera</v>
      </c>
      <c r="AM57" s="45" t="s">
        <v>49</v>
      </c>
      <c r="AN57" s="46" t="s">
        <v>49</v>
      </c>
      <c r="AO57" s="46" t="s">
        <v>49</v>
      </c>
      <c r="AP57" s="46" t="s">
        <v>49</v>
      </c>
      <c r="AQ57" s="139">
        <v>0</v>
      </c>
    </row>
    <row r="58" spans="1:43" ht="70.5" customHeight="1" thickBot="1">
      <c r="A58" s="138" t="s">
        <v>129</v>
      </c>
      <c r="B58" s="12">
        <v>79</v>
      </c>
      <c r="C58" s="12">
        <v>86.2</v>
      </c>
      <c r="D58" s="12">
        <v>0</v>
      </c>
      <c r="E58" s="12" t="s">
        <v>45</v>
      </c>
      <c r="F58" s="12" t="s">
        <v>45</v>
      </c>
      <c r="G58" s="12" t="s">
        <v>46</v>
      </c>
      <c r="H58" s="12"/>
      <c r="I58" s="12" t="s">
        <v>45</v>
      </c>
      <c r="J58" s="12" t="s">
        <v>47</v>
      </c>
      <c r="K58" s="12" t="s">
        <v>49</v>
      </c>
      <c r="L58" s="12" t="s">
        <v>49</v>
      </c>
      <c r="M58" s="11" t="s">
        <v>56</v>
      </c>
      <c r="N58" s="11" t="s">
        <v>76</v>
      </c>
      <c r="O58" s="11" t="s">
        <v>77</v>
      </c>
      <c r="P58" s="11" t="s">
        <v>51</v>
      </c>
      <c r="Q58" s="50" t="s">
        <v>52</v>
      </c>
      <c r="R58" s="73">
        <v>28</v>
      </c>
      <c r="S58" s="70">
        <v>14.2</v>
      </c>
      <c r="T58" s="70">
        <v>5.9</v>
      </c>
      <c r="U58" s="73">
        <v>28</v>
      </c>
      <c r="V58" s="73">
        <v>14</v>
      </c>
      <c r="W58" s="70">
        <v>6.6</v>
      </c>
      <c r="X58" s="130">
        <f t="shared" si="17"/>
        <v>-0.19999999999999929</v>
      </c>
      <c r="Y58" s="16">
        <f t="shared" si="20"/>
        <v>1.1866820491244847</v>
      </c>
      <c r="Z58" s="15">
        <f t="shared" si="21"/>
        <v>-5.4000000000000021</v>
      </c>
      <c r="AA58" s="16">
        <f t="shared" si="22"/>
        <v>165.66526315789477</v>
      </c>
      <c r="AB58" s="16">
        <f t="shared" si="23"/>
        <v>3.3556902849312911</v>
      </c>
      <c r="AC58" s="66" t="s">
        <v>48</v>
      </c>
      <c r="AD58" s="51" t="s">
        <v>131</v>
      </c>
      <c r="AE58" s="13">
        <v>24</v>
      </c>
      <c r="AF58" s="49">
        <v>2</v>
      </c>
      <c r="AG58" s="49">
        <v>45</v>
      </c>
      <c r="AH58" s="13" t="s">
        <v>79</v>
      </c>
      <c r="AI58" s="13">
        <v>3.53</v>
      </c>
      <c r="AJ58" s="135">
        <v>193</v>
      </c>
      <c r="AK58" s="136">
        <f t="shared" si="19"/>
        <v>386</v>
      </c>
      <c r="AL58" s="136" t="str" cm="1">
        <f t="array" ref="AL58">_xlfn.IFS(
AI58&lt;3,"Ligera",
AI58&lt;=6,"Moderada",
AI58&gt;6,"Vigorosa"
)</f>
        <v>Moderada</v>
      </c>
      <c r="AM58" s="45" t="s">
        <v>48</v>
      </c>
      <c r="AN58" s="46" t="s">
        <v>60</v>
      </c>
      <c r="AO58" s="46" t="s">
        <v>61</v>
      </c>
      <c r="AP58" s="289" t="s">
        <v>62</v>
      </c>
      <c r="AQ58" s="139">
        <v>0</v>
      </c>
    </row>
    <row r="59" spans="1:43" ht="70.5" customHeight="1" thickBot="1">
      <c r="A59" s="138" t="s">
        <v>129</v>
      </c>
      <c r="B59" s="12">
        <v>79</v>
      </c>
      <c r="C59" s="12">
        <v>86.2</v>
      </c>
      <c r="D59" s="12">
        <v>0</v>
      </c>
      <c r="E59" s="12" t="s">
        <v>45</v>
      </c>
      <c r="F59" s="12" t="s">
        <v>45</v>
      </c>
      <c r="G59" s="12" t="s">
        <v>46</v>
      </c>
      <c r="H59" s="12"/>
      <c r="I59" s="12" t="s">
        <v>45</v>
      </c>
      <c r="J59" s="12" t="s">
        <v>47</v>
      </c>
      <c r="K59" s="12" t="s">
        <v>49</v>
      </c>
      <c r="L59" s="12" t="s">
        <v>49</v>
      </c>
      <c r="M59" s="11" t="s">
        <v>50</v>
      </c>
      <c r="N59" s="11" t="s">
        <v>50</v>
      </c>
      <c r="O59" s="11" t="s">
        <v>50</v>
      </c>
      <c r="P59" s="11" t="s">
        <v>51</v>
      </c>
      <c r="Q59" s="50" t="s">
        <v>82</v>
      </c>
      <c r="R59" s="73">
        <v>31</v>
      </c>
      <c r="S59" s="70">
        <v>198</v>
      </c>
      <c r="T59" s="71">
        <v>81</v>
      </c>
      <c r="U59" s="73">
        <v>31</v>
      </c>
      <c r="V59" s="73">
        <v>175</v>
      </c>
      <c r="W59" s="71">
        <v>82</v>
      </c>
      <c r="X59" s="130">
        <f t="shared" si="17"/>
        <v>-23</v>
      </c>
      <c r="Y59" s="16">
        <f t="shared" si="20"/>
        <v>14.638658496619326</v>
      </c>
      <c r="Z59" s="130" t="s">
        <v>53</v>
      </c>
      <c r="AA59" s="131" t="s">
        <v>53</v>
      </c>
      <c r="AB59" s="16">
        <v>14.638658496619326</v>
      </c>
      <c r="AC59" s="66" t="s">
        <v>49</v>
      </c>
      <c r="AD59" s="51" t="s">
        <v>130</v>
      </c>
      <c r="AE59" s="13">
        <v>24</v>
      </c>
      <c r="AF59" s="49">
        <v>0</v>
      </c>
      <c r="AG59" s="49">
        <v>0</v>
      </c>
      <c r="AH59" s="134">
        <v>0</v>
      </c>
      <c r="AI59" s="134">
        <v>0</v>
      </c>
      <c r="AJ59" s="135">
        <f t="shared" si="18"/>
        <v>0</v>
      </c>
      <c r="AK59" s="136">
        <f t="shared" si="19"/>
        <v>0</v>
      </c>
      <c r="AL59" s="136" t="str" cm="1">
        <f t="array" ref="AL59">_xlfn.IFS(
AI59&lt;3,"Ligera",
AI59&lt;=6,"Moderada",
AI59&gt;6,"Vigorosa"
)</f>
        <v>Ligera</v>
      </c>
      <c r="AM59" s="45" t="s">
        <v>49</v>
      </c>
      <c r="AN59" s="46" t="s">
        <v>49</v>
      </c>
      <c r="AO59" s="46" t="s">
        <v>49</v>
      </c>
      <c r="AP59" s="46" t="s">
        <v>49</v>
      </c>
      <c r="AQ59" s="139">
        <v>0</v>
      </c>
    </row>
    <row r="60" spans="1:43" ht="70.5" customHeight="1" thickBot="1">
      <c r="A60" s="138" t="s">
        <v>129</v>
      </c>
      <c r="B60" s="12">
        <v>79</v>
      </c>
      <c r="C60" s="12">
        <v>86.2</v>
      </c>
      <c r="D60" s="12">
        <v>0</v>
      </c>
      <c r="E60" s="12" t="s">
        <v>45</v>
      </c>
      <c r="F60" s="12" t="s">
        <v>45</v>
      </c>
      <c r="G60" s="12" t="s">
        <v>46</v>
      </c>
      <c r="H60" s="12"/>
      <c r="I60" s="12" t="s">
        <v>45</v>
      </c>
      <c r="J60" s="12" t="s">
        <v>47</v>
      </c>
      <c r="K60" s="12" t="s">
        <v>49</v>
      </c>
      <c r="L60" s="12" t="s">
        <v>49</v>
      </c>
      <c r="M60" s="11" t="s">
        <v>56</v>
      </c>
      <c r="N60" s="11" t="s">
        <v>76</v>
      </c>
      <c r="O60" s="11" t="s">
        <v>77</v>
      </c>
      <c r="P60" s="11" t="s">
        <v>51</v>
      </c>
      <c r="Q60" s="50" t="s">
        <v>82</v>
      </c>
      <c r="R60" s="73">
        <v>28</v>
      </c>
      <c r="S60" s="70">
        <v>229</v>
      </c>
      <c r="T60" s="70">
        <v>81</v>
      </c>
      <c r="U60" s="73">
        <v>28</v>
      </c>
      <c r="V60" s="73">
        <v>219</v>
      </c>
      <c r="W60" s="70">
        <v>84</v>
      </c>
      <c r="X60" s="130">
        <f t="shared" si="17"/>
        <v>-10</v>
      </c>
      <c r="Y60" s="16">
        <f t="shared" si="20"/>
        <v>15.59876368727434</v>
      </c>
      <c r="Z60" s="15">
        <f t="shared" si="21"/>
        <v>13</v>
      </c>
      <c r="AA60" s="16">
        <f t="shared" si="22"/>
        <v>6881.2631578947367</v>
      </c>
      <c r="AB60" s="16">
        <f t="shared" si="23"/>
        <v>21.627196521881213</v>
      </c>
      <c r="AC60" s="66" t="s">
        <v>49</v>
      </c>
      <c r="AD60" s="51" t="s">
        <v>131</v>
      </c>
      <c r="AE60" s="13">
        <v>24</v>
      </c>
      <c r="AF60" s="49">
        <v>2</v>
      </c>
      <c r="AG60" s="49">
        <v>45</v>
      </c>
      <c r="AH60" s="13" t="s">
        <v>79</v>
      </c>
      <c r="AI60" s="13">
        <v>3.53</v>
      </c>
      <c r="AJ60" s="135">
        <v>193</v>
      </c>
      <c r="AK60" s="136">
        <f t="shared" si="19"/>
        <v>386</v>
      </c>
      <c r="AL60" s="136" t="str" cm="1">
        <f t="array" ref="AL60">_xlfn.IFS(
AI60&lt;3,"Ligera",
AI60&lt;=6,"Moderada",
AI60&gt;6,"Vigorosa"
)</f>
        <v>Moderada</v>
      </c>
      <c r="AM60" s="45" t="s">
        <v>48</v>
      </c>
      <c r="AN60" s="46" t="s">
        <v>60</v>
      </c>
      <c r="AO60" s="46" t="s">
        <v>61</v>
      </c>
      <c r="AP60" s="289" t="s">
        <v>62</v>
      </c>
      <c r="AQ60" s="139">
        <v>0</v>
      </c>
    </row>
    <row r="61" spans="1:43" ht="70.5" customHeight="1" thickBot="1">
      <c r="A61" s="138" t="s">
        <v>129</v>
      </c>
      <c r="B61" s="12">
        <v>79</v>
      </c>
      <c r="C61" s="12">
        <v>86.2</v>
      </c>
      <c r="D61" s="12">
        <v>0</v>
      </c>
      <c r="E61" s="12" t="s">
        <v>45</v>
      </c>
      <c r="F61" s="12" t="s">
        <v>45</v>
      </c>
      <c r="G61" s="12" t="s">
        <v>46</v>
      </c>
      <c r="H61" s="12"/>
      <c r="I61" s="12" t="s">
        <v>45</v>
      </c>
      <c r="J61" s="12" t="s">
        <v>47</v>
      </c>
      <c r="K61" s="12" t="s">
        <v>49</v>
      </c>
      <c r="L61" s="12" t="s">
        <v>49</v>
      </c>
      <c r="M61" s="11" t="s">
        <v>50</v>
      </c>
      <c r="N61" s="11" t="s">
        <v>50</v>
      </c>
      <c r="O61" s="11" t="s">
        <v>50</v>
      </c>
      <c r="P61" s="11" t="s">
        <v>51</v>
      </c>
      <c r="Q61" s="64" t="s">
        <v>83</v>
      </c>
      <c r="R61" s="73">
        <v>31</v>
      </c>
      <c r="S61" s="65">
        <v>-10.3</v>
      </c>
      <c r="T61" s="65">
        <v>10.9</v>
      </c>
      <c r="U61" s="73">
        <v>31</v>
      </c>
      <c r="V61" s="65">
        <v>-9.6</v>
      </c>
      <c r="W61" s="65">
        <v>11.7</v>
      </c>
      <c r="X61" s="130">
        <f t="shared" si="17"/>
        <v>0.70000000000000107</v>
      </c>
      <c r="Y61" s="16">
        <f t="shared" si="20"/>
        <v>2.0333509606145856</v>
      </c>
      <c r="Z61" s="130" t="s">
        <v>53</v>
      </c>
      <c r="AA61" s="131" t="s">
        <v>53</v>
      </c>
      <c r="AB61" s="16">
        <v>2.0333509606145856</v>
      </c>
      <c r="AC61" s="66" t="s">
        <v>49</v>
      </c>
      <c r="AD61" s="51" t="s">
        <v>130</v>
      </c>
      <c r="AE61" s="13">
        <v>24</v>
      </c>
      <c r="AF61" s="49">
        <v>0</v>
      </c>
      <c r="AG61" s="49">
        <v>0</v>
      </c>
      <c r="AH61" s="134">
        <v>0</v>
      </c>
      <c r="AI61" s="134">
        <v>0</v>
      </c>
      <c r="AJ61" s="135">
        <f t="shared" si="18"/>
        <v>0</v>
      </c>
      <c r="AK61" s="136">
        <f t="shared" si="19"/>
        <v>0</v>
      </c>
      <c r="AL61" s="136" t="str" cm="1">
        <f t="array" ref="AL61">_xlfn.IFS(
AI61&lt;3,"Ligera",
AI61&lt;=6,"Moderada",
AI61&gt;6,"Vigorosa"
)</f>
        <v>Ligera</v>
      </c>
      <c r="AM61" s="45" t="s">
        <v>49</v>
      </c>
      <c r="AN61" s="46" t="s">
        <v>49</v>
      </c>
      <c r="AO61" s="46" t="s">
        <v>49</v>
      </c>
      <c r="AP61" s="46" t="s">
        <v>49</v>
      </c>
      <c r="AQ61" s="139">
        <v>0</v>
      </c>
    </row>
    <row r="62" spans="1:43" ht="70.5" customHeight="1" thickBot="1">
      <c r="A62" s="138" t="s">
        <v>129</v>
      </c>
      <c r="B62" s="12">
        <v>79</v>
      </c>
      <c r="C62" s="12">
        <v>86.2</v>
      </c>
      <c r="D62" s="12">
        <v>0</v>
      </c>
      <c r="E62" s="12" t="s">
        <v>45</v>
      </c>
      <c r="F62" s="12" t="s">
        <v>45</v>
      </c>
      <c r="G62" s="12" t="s">
        <v>46</v>
      </c>
      <c r="H62" s="12"/>
      <c r="I62" s="12" t="s">
        <v>45</v>
      </c>
      <c r="J62" s="12" t="s">
        <v>47</v>
      </c>
      <c r="K62" s="12" t="s">
        <v>49</v>
      </c>
      <c r="L62" s="12" t="s">
        <v>49</v>
      </c>
      <c r="M62" s="11" t="s">
        <v>56</v>
      </c>
      <c r="N62" s="11" t="s">
        <v>76</v>
      </c>
      <c r="O62" s="11" t="s">
        <v>77</v>
      </c>
      <c r="P62" s="11" t="s">
        <v>51</v>
      </c>
      <c r="Q62" s="64" t="s">
        <v>83</v>
      </c>
      <c r="R62" s="73">
        <v>28</v>
      </c>
      <c r="S62" s="65">
        <v>-10.199999999999999</v>
      </c>
      <c r="T62" s="65">
        <v>9.6</v>
      </c>
      <c r="U62" s="73">
        <v>28</v>
      </c>
      <c r="V62" s="65">
        <v>-7.7</v>
      </c>
      <c r="W62" s="65">
        <v>12.7</v>
      </c>
      <c r="X62" s="130">
        <f t="shared" si="17"/>
        <v>2.4999999999999991</v>
      </c>
      <c r="Y62" s="16">
        <f t="shared" si="20"/>
        <v>2.1673716801693241</v>
      </c>
      <c r="Z62" s="15">
        <f t="shared" si="21"/>
        <v>1.799999999999998</v>
      </c>
      <c r="AA62" s="16">
        <f t="shared" si="22"/>
        <v>148.44789473684207</v>
      </c>
      <c r="AB62" s="16">
        <f t="shared" si="23"/>
        <v>3.1765314876481821</v>
      </c>
      <c r="AC62" s="66" t="s">
        <v>49</v>
      </c>
      <c r="AD62" s="51" t="s">
        <v>131</v>
      </c>
      <c r="AE62" s="13">
        <v>24</v>
      </c>
      <c r="AF62" s="49">
        <v>2</v>
      </c>
      <c r="AG62" s="49">
        <v>45</v>
      </c>
      <c r="AH62" s="13" t="s">
        <v>79</v>
      </c>
      <c r="AI62" s="13">
        <v>3.53</v>
      </c>
      <c r="AJ62" s="135">
        <v>193</v>
      </c>
      <c r="AK62" s="136">
        <f t="shared" si="19"/>
        <v>386</v>
      </c>
      <c r="AL62" s="136" t="str" cm="1">
        <f t="array" ref="AL62">_xlfn.IFS(
AI62&lt;3,"Ligera",
AI62&lt;=6,"Moderada",
AI62&gt;6,"Vigorosa"
)</f>
        <v>Moderada</v>
      </c>
      <c r="AM62" s="45" t="s">
        <v>48</v>
      </c>
      <c r="AN62" s="46" t="s">
        <v>60</v>
      </c>
      <c r="AO62" s="46" t="s">
        <v>61</v>
      </c>
      <c r="AP62" s="289" t="s">
        <v>62</v>
      </c>
      <c r="AQ62" s="139">
        <v>0</v>
      </c>
    </row>
    <row r="63" spans="1:43" ht="70.5" customHeight="1" thickBot="1">
      <c r="A63" s="138" t="s">
        <v>133</v>
      </c>
      <c r="B63" s="12">
        <v>112</v>
      </c>
      <c r="C63" s="12">
        <v>84.7</v>
      </c>
      <c r="D63" s="12">
        <v>32.700000000000003</v>
      </c>
      <c r="E63" s="12" t="s">
        <v>45</v>
      </c>
      <c r="F63" s="12" t="s">
        <v>45</v>
      </c>
      <c r="G63" s="12" t="s">
        <v>46</v>
      </c>
      <c r="H63" s="12"/>
      <c r="I63" s="12" t="s">
        <v>45</v>
      </c>
      <c r="J63" s="12" t="s">
        <v>47</v>
      </c>
      <c r="K63" s="12" t="s">
        <v>49</v>
      </c>
      <c r="L63" s="12" t="s">
        <v>49</v>
      </c>
      <c r="M63" s="11" t="s">
        <v>50</v>
      </c>
      <c r="N63" s="11" t="s">
        <v>50</v>
      </c>
      <c r="O63" s="11" t="s">
        <v>50</v>
      </c>
      <c r="P63" s="11" t="s">
        <v>94</v>
      </c>
      <c r="Q63" s="64" t="s">
        <v>95</v>
      </c>
      <c r="R63" s="73">
        <v>45</v>
      </c>
      <c r="S63" s="65">
        <v>28</v>
      </c>
      <c r="T63" s="65">
        <v>3.5</v>
      </c>
      <c r="U63" s="73">
        <v>45</v>
      </c>
      <c r="V63" s="73" t="s">
        <v>47</v>
      </c>
      <c r="W63" s="65" t="s">
        <v>47</v>
      </c>
      <c r="X63" s="130"/>
      <c r="Y63" s="16"/>
      <c r="Z63" s="130"/>
      <c r="AA63" s="131"/>
      <c r="AB63" s="16"/>
      <c r="AC63" s="66" t="s">
        <v>49</v>
      </c>
      <c r="AD63" s="51" t="s">
        <v>134</v>
      </c>
      <c r="AE63" s="13">
        <v>24</v>
      </c>
      <c r="AF63" s="49">
        <v>0</v>
      </c>
      <c r="AG63" s="49">
        <v>0</v>
      </c>
      <c r="AH63" s="134">
        <v>0</v>
      </c>
      <c r="AI63" s="134">
        <v>0</v>
      </c>
      <c r="AJ63" s="135">
        <f t="shared" si="18"/>
        <v>0</v>
      </c>
      <c r="AK63" s="136">
        <f t="shared" si="19"/>
        <v>0</v>
      </c>
      <c r="AL63" s="136" t="str" cm="1">
        <f t="array" ref="AL63">_xlfn.IFS(
AI63&lt;3,"Ligera",
AI63&lt;=6,"Moderada",
AI63&gt;6,"Vigorosa"
)</f>
        <v>Ligera</v>
      </c>
      <c r="AM63" s="45" t="s">
        <v>49</v>
      </c>
      <c r="AN63" s="289" t="s">
        <v>49</v>
      </c>
      <c r="AO63" s="289" t="s">
        <v>49</v>
      </c>
      <c r="AP63" s="289" t="s">
        <v>49</v>
      </c>
      <c r="AQ63" s="139">
        <v>0</v>
      </c>
    </row>
    <row r="64" spans="1:43" ht="70.5" customHeight="1" thickBot="1">
      <c r="A64" s="138" t="s">
        <v>133</v>
      </c>
      <c r="B64" s="12">
        <v>112</v>
      </c>
      <c r="C64" s="12">
        <v>85.1</v>
      </c>
      <c r="D64" s="12">
        <v>26.3</v>
      </c>
      <c r="E64" s="12" t="s">
        <v>45</v>
      </c>
      <c r="F64" s="12" t="s">
        <v>45</v>
      </c>
      <c r="G64" s="12" t="s">
        <v>46</v>
      </c>
      <c r="H64" s="12"/>
      <c r="I64" s="12" t="s">
        <v>45</v>
      </c>
      <c r="J64" s="12" t="s">
        <v>47</v>
      </c>
      <c r="K64" s="12" t="s">
        <v>49</v>
      </c>
      <c r="L64" s="12" t="s">
        <v>49</v>
      </c>
      <c r="M64" s="11" t="s">
        <v>56</v>
      </c>
      <c r="N64" s="11" t="s">
        <v>76</v>
      </c>
      <c r="O64" s="11" t="s">
        <v>77</v>
      </c>
      <c r="P64" s="11" t="s">
        <v>94</v>
      </c>
      <c r="Q64" s="64" t="s">
        <v>95</v>
      </c>
      <c r="R64" s="73">
        <v>43</v>
      </c>
      <c r="S64" s="69">
        <v>27</v>
      </c>
      <c r="T64" s="69">
        <v>4</v>
      </c>
      <c r="U64" s="73">
        <v>43</v>
      </c>
      <c r="V64" s="73" t="s">
        <v>47</v>
      </c>
      <c r="W64" s="69" t="s">
        <v>47</v>
      </c>
      <c r="X64" s="130"/>
      <c r="Y64" s="16"/>
      <c r="Z64" s="15"/>
      <c r="AA64" s="16"/>
      <c r="AB64" s="16"/>
      <c r="AC64" s="66" t="s">
        <v>49</v>
      </c>
      <c r="AD64" s="51" t="s">
        <v>135</v>
      </c>
      <c r="AE64" s="13">
        <v>24</v>
      </c>
      <c r="AF64" s="49">
        <v>2</v>
      </c>
      <c r="AG64" s="49">
        <v>60</v>
      </c>
      <c r="AH64" s="13" t="s">
        <v>79</v>
      </c>
      <c r="AI64" s="13">
        <v>3.53</v>
      </c>
      <c r="AJ64" s="135">
        <v>193</v>
      </c>
      <c r="AK64" s="136">
        <f t="shared" si="19"/>
        <v>386</v>
      </c>
      <c r="AL64" s="136" t="str" cm="1">
        <f t="array" ref="AL64">_xlfn.IFS(
AI64&lt;3,"Ligera",
AI64&lt;=6,"Moderada",
AI64&gt;6,"Vigorosa"
)</f>
        <v>Moderada</v>
      </c>
      <c r="AM64" s="45" t="s">
        <v>48</v>
      </c>
      <c r="AN64" s="46" t="s">
        <v>60</v>
      </c>
      <c r="AO64" s="46" t="s">
        <v>61</v>
      </c>
      <c r="AP64" s="289" t="s">
        <v>62</v>
      </c>
      <c r="AQ64" s="139">
        <v>0</v>
      </c>
    </row>
    <row r="65" spans="1:43" ht="70.5" customHeight="1" thickBot="1">
      <c r="A65" s="138" t="s">
        <v>133</v>
      </c>
      <c r="B65" s="12">
        <v>112</v>
      </c>
      <c r="C65" s="12">
        <v>84.7</v>
      </c>
      <c r="D65" s="12">
        <v>32.700000000000003</v>
      </c>
      <c r="E65" s="12" t="s">
        <v>45</v>
      </c>
      <c r="F65" s="12" t="s">
        <v>45</v>
      </c>
      <c r="G65" s="12" t="s">
        <v>46</v>
      </c>
      <c r="H65" s="12"/>
      <c r="I65" s="12" t="s">
        <v>45</v>
      </c>
      <c r="J65" s="12" t="s">
        <v>47</v>
      </c>
      <c r="K65" s="12" t="s">
        <v>49</v>
      </c>
      <c r="L65" s="12" t="s">
        <v>49</v>
      </c>
      <c r="M65" s="11" t="s">
        <v>50</v>
      </c>
      <c r="N65" s="11" t="s">
        <v>50</v>
      </c>
      <c r="O65" s="11" t="s">
        <v>50</v>
      </c>
      <c r="P65" s="11" t="s">
        <v>94</v>
      </c>
      <c r="Q65" s="64" t="s">
        <v>136</v>
      </c>
      <c r="R65" s="73">
        <v>45</v>
      </c>
      <c r="S65" s="65">
        <v>14.3</v>
      </c>
      <c r="T65" s="65">
        <v>3.7</v>
      </c>
      <c r="U65" s="73">
        <v>45</v>
      </c>
      <c r="V65" s="73">
        <v>13</v>
      </c>
      <c r="W65" s="65">
        <v>5.0999999999999996</v>
      </c>
      <c r="X65" s="130">
        <f t="shared" si="17"/>
        <v>-1.3000000000000007</v>
      </c>
      <c r="Y65" s="16">
        <f t="shared" si="20"/>
        <v>0.68035938215687808</v>
      </c>
      <c r="Z65" s="130" t="s">
        <v>53</v>
      </c>
      <c r="AA65" s="131" t="s">
        <v>53</v>
      </c>
      <c r="AB65" s="16">
        <v>0.68035938215687808</v>
      </c>
      <c r="AC65" s="66" t="s">
        <v>49</v>
      </c>
      <c r="AD65" s="51" t="s">
        <v>134</v>
      </c>
      <c r="AE65" s="13">
        <v>24</v>
      </c>
      <c r="AF65" s="49">
        <v>0</v>
      </c>
      <c r="AG65" s="49">
        <v>0</v>
      </c>
      <c r="AH65" s="134">
        <v>0</v>
      </c>
      <c r="AI65" s="134">
        <v>0</v>
      </c>
      <c r="AJ65" s="135">
        <f t="shared" si="18"/>
        <v>0</v>
      </c>
      <c r="AK65" s="136">
        <f t="shared" si="19"/>
        <v>0</v>
      </c>
      <c r="AL65" s="136" t="str" cm="1">
        <f t="array" ref="AL65">_xlfn.IFS(
AI65&lt;3,"Ligera",
AI65&lt;=6,"Moderada",
AI65&gt;6,"Vigorosa"
)</f>
        <v>Ligera</v>
      </c>
      <c r="AM65" s="45" t="s">
        <v>49</v>
      </c>
      <c r="AN65" s="289" t="s">
        <v>49</v>
      </c>
      <c r="AO65" s="289" t="s">
        <v>49</v>
      </c>
      <c r="AP65" s="289" t="s">
        <v>49</v>
      </c>
      <c r="AQ65" s="139">
        <v>0</v>
      </c>
    </row>
    <row r="66" spans="1:43" ht="70.5" customHeight="1" thickBot="1">
      <c r="A66" s="138" t="s">
        <v>133</v>
      </c>
      <c r="B66" s="12">
        <v>112</v>
      </c>
      <c r="C66" s="12">
        <v>85.1</v>
      </c>
      <c r="D66" s="12">
        <v>26.3</v>
      </c>
      <c r="E66" s="12" t="s">
        <v>45</v>
      </c>
      <c r="F66" s="12" t="s">
        <v>45</v>
      </c>
      <c r="G66" s="12" t="s">
        <v>46</v>
      </c>
      <c r="H66" s="12"/>
      <c r="I66" s="12" t="s">
        <v>45</v>
      </c>
      <c r="J66" s="12" t="s">
        <v>47</v>
      </c>
      <c r="K66" s="12" t="s">
        <v>49</v>
      </c>
      <c r="L66" s="12" t="s">
        <v>49</v>
      </c>
      <c r="M66" s="11" t="s">
        <v>56</v>
      </c>
      <c r="N66" s="11" t="s">
        <v>76</v>
      </c>
      <c r="O66" s="11" t="s">
        <v>77</v>
      </c>
      <c r="P66" s="11" t="s">
        <v>94</v>
      </c>
      <c r="Q66" s="64" t="s">
        <v>136</v>
      </c>
      <c r="R66" s="73">
        <v>43</v>
      </c>
      <c r="S66" s="69">
        <v>14.2</v>
      </c>
      <c r="T66" s="69">
        <v>4.5</v>
      </c>
      <c r="U66" s="73">
        <v>43</v>
      </c>
      <c r="V66" s="73">
        <v>14.9</v>
      </c>
      <c r="W66" s="69">
        <v>5.0999999999999996</v>
      </c>
      <c r="X66" s="130">
        <f t="shared" si="17"/>
        <v>0.70000000000000107</v>
      </c>
      <c r="Y66" s="16">
        <f t="shared" si="20"/>
        <v>0.73626966748319456</v>
      </c>
      <c r="Z66" s="15">
        <f t="shared" si="21"/>
        <v>2.0000000000000018</v>
      </c>
      <c r="AA66" s="16">
        <f t="shared" si="22"/>
        <v>26.009999999999994</v>
      </c>
      <c r="AB66" s="16">
        <f t="shared" si="23"/>
        <v>1.0876045793073108</v>
      </c>
      <c r="AC66" s="66" t="s">
        <v>49</v>
      </c>
      <c r="AD66" s="51" t="s">
        <v>135</v>
      </c>
      <c r="AE66" s="13">
        <v>24</v>
      </c>
      <c r="AF66" s="49">
        <v>2</v>
      </c>
      <c r="AG66" s="49">
        <v>60</v>
      </c>
      <c r="AH66" s="13" t="s">
        <v>79</v>
      </c>
      <c r="AI66" s="13">
        <v>3.53</v>
      </c>
      <c r="AJ66" s="135">
        <v>193</v>
      </c>
      <c r="AK66" s="136">
        <f t="shared" si="19"/>
        <v>386</v>
      </c>
      <c r="AL66" s="136" t="str" cm="1">
        <f t="array" ref="AL66">_xlfn.IFS(
AI66&lt;3,"Ligera",
AI66&lt;=6,"Moderada",
AI66&gt;6,"Vigorosa"
)</f>
        <v>Moderada</v>
      </c>
      <c r="AM66" s="45" t="s">
        <v>48</v>
      </c>
      <c r="AN66" s="46" t="s">
        <v>60</v>
      </c>
      <c r="AO66" s="46" t="s">
        <v>61</v>
      </c>
      <c r="AP66" s="289" t="s">
        <v>62</v>
      </c>
      <c r="AQ66" s="139">
        <v>0</v>
      </c>
    </row>
    <row r="67" spans="1:43" ht="70.5" customHeight="1" thickBot="1">
      <c r="A67" s="138" t="s">
        <v>133</v>
      </c>
      <c r="B67" s="12">
        <v>112</v>
      </c>
      <c r="C67" s="12">
        <v>84.7</v>
      </c>
      <c r="D67" s="12">
        <v>32.700000000000003</v>
      </c>
      <c r="E67" s="12" t="s">
        <v>45</v>
      </c>
      <c r="F67" s="12" t="s">
        <v>45</v>
      </c>
      <c r="G67" s="12" t="s">
        <v>46</v>
      </c>
      <c r="H67" s="12"/>
      <c r="I67" s="12" t="s">
        <v>45</v>
      </c>
      <c r="J67" s="12" t="s">
        <v>47</v>
      </c>
      <c r="K67" s="12" t="s">
        <v>49</v>
      </c>
      <c r="L67" s="12" t="s">
        <v>49</v>
      </c>
      <c r="M67" s="11" t="s">
        <v>50</v>
      </c>
      <c r="N67" s="11" t="s">
        <v>50</v>
      </c>
      <c r="O67" s="11" t="s">
        <v>50</v>
      </c>
      <c r="P67" s="11" t="s">
        <v>94</v>
      </c>
      <c r="Q67" s="64" t="s">
        <v>137</v>
      </c>
      <c r="R67" s="73">
        <v>45</v>
      </c>
      <c r="S67" s="69">
        <v>19.2</v>
      </c>
      <c r="T67" s="65">
        <v>8.4</v>
      </c>
      <c r="U67" s="73">
        <v>45</v>
      </c>
      <c r="V67" s="73">
        <v>20.7</v>
      </c>
      <c r="W67" s="65">
        <v>11.5</v>
      </c>
      <c r="X67" s="130">
        <f t="shared" si="17"/>
        <v>1.5</v>
      </c>
      <c r="Y67" s="16">
        <f t="shared" si="20"/>
        <v>1.5363014750439516</v>
      </c>
      <c r="Z67" s="130" t="s">
        <v>53</v>
      </c>
      <c r="AA67" s="131" t="s">
        <v>53</v>
      </c>
      <c r="AB67" s="16">
        <v>1.5363014750439516</v>
      </c>
      <c r="AC67" s="66" t="s">
        <v>49</v>
      </c>
      <c r="AD67" s="51" t="s">
        <v>134</v>
      </c>
      <c r="AE67" s="13">
        <v>24</v>
      </c>
      <c r="AF67" s="49">
        <v>0</v>
      </c>
      <c r="AG67" s="49">
        <v>0</v>
      </c>
      <c r="AH67" s="134">
        <v>0</v>
      </c>
      <c r="AI67" s="134">
        <v>0</v>
      </c>
      <c r="AJ67" s="135">
        <f t="shared" si="18"/>
        <v>0</v>
      </c>
      <c r="AK67" s="136">
        <f t="shared" si="19"/>
        <v>0</v>
      </c>
      <c r="AL67" s="136" t="str" cm="1">
        <f t="array" ref="AL67">_xlfn.IFS(
AI67&lt;3,"Ligera",
AI67&lt;=6,"Moderada",
AI67&gt;6,"Vigorosa"
)</f>
        <v>Ligera</v>
      </c>
      <c r="AM67" s="45" t="s">
        <v>49</v>
      </c>
      <c r="AN67" s="289" t="s">
        <v>49</v>
      </c>
      <c r="AO67" s="289" t="s">
        <v>49</v>
      </c>
      <c r="AP67" s="289" t="s">
        <v>49</v>
      </c>
      <c r="AQ67" s="139">
        <v>0</v>
      </c>
    </row>
    <row r="68" spans="1:43" ht="70.5" customHeight="1" thickBot="1">
      <c r="A68" s="138" t="s">
        <v>133</v>
      </c>
      <c r="B68" s="12">
        <v>112</v>
      </c>
      <c r="C68" s="12">
        <v>85.1</v>
      </c>
      <c r="D68" s="12">
        <v>26.3</v>
      </c>
      <c r="E68" s="12" t="s">
        <v>45</v>
      </c>
      <c r="F68" s="12" t="s">
        <v>45</v>
      </c>
      <c r="G68" s="12" t="s">
        <v>46</v>
      </c>
      <c r="H68" s="12"/>
      <c r="I68" s="12" t="s">
        <v>45</v>
      </c>
      <c r="J68" s="12" t="s">
        <v>47</v>
      </c>
      <c r="K68" s="12" t="s">
        <v>49</v>
      </c>
      <c r="L68" s="12" t="s">
        <v>49</v>
      </c>
      <c r="M68" s="11" t="s">
        <v>56</v>
      </c>
      <c r="N68" s="11" t="s">
        <v>76</v>
      </c>
      <c r="O68" s="11" t="s">
        <v>77</v>
      </c>
      <c r="P68" s="11" t="s">
        <v>94</v>
      </c>
      <c r="Q68" s="64" t="s">
        <v>137</v>
      </c>
      <c r="R68" s="73">
        <v>43</v>
      </c>
      <c r="S68" s="69">
        <v>18</v>
      </c>
      <c r="T68" s="69">
        <v>8.6999999999999993</v>
      </c>
      <c r="U68" s="73">
        <v>43</v>
      </c>
      <c r="V68" s="73">
        <v>19.899999999999999</v>
      </c>
      <c r="W68" s="69">
        <v>12.1</v>
      </c>
      <c r="X68" s="130">
        <f t="shared" si="17"/>
        <v>1.8999999999999986</v>
      </c>
      <c r="Y68" s="16">
        <f t="shared" si="20"/>
        <v>1.6483254363705142</v>
      </c>
      <c r="Z68" s="15">
        <f t="shared" si="21"/>
        <v>0.39999999999999858</v>
      </c>
      <c r="AA68" s="16">
        <f t="shared" si="22"/>
        <v>139.16534883720931</v>
      </c>
      <c r="AB68" s="16">
        <f t="shared" si="23"/>
        <v>2.5157437804402876</v>
      </c>
      <c r="AC68" s="66" t="s">
        <v>49</v>
      </c>
      <c r="AD68" s="51" t="s">
        <v>135</v>
      </c>
      <c r="AE68" s="13">
        <v>24</v>
      </c>
      <c r="AF68" s="49">
        <v>2</v>
      </c>
      <c r="AG68" s="49">
        <v>60</v>
      </c>
      <c r="AH68" s="13" t="s">
        <v>79</v>
      </c>
      <c r="AI68" s="13">
        <v>3.53</v>
      </c>
      <c r="AJ68" s="135">
        <v>193</v>
      </c>
      <c r="AK68" s="136">
        <f t="shared" si="19"/>
        <v>386</v>
      </c>
      <c r="AL68" s="136" t="str" cm="1">
        <f t="array" ref="AL68">_xlfn.IFS(
AI68&lt;3,"Ligera",
AI68&lt;=6,"Moderada",
AI68&gt;6,"Vigorosa"
)</f>
        <v>Moderada</v>
      </c>
      <c r="AM68" s="45" t="s">
        <v>48</v>
      </c>
      <c r="AN68" s="46" t="s">
        <v>60</v>
      </c>
      <c r="AO68" s="46" t="s">
        <v>61</v>
      </c>
      <c r="AP68" s="289" t="s">
        <v>62</v>
      </c>
      <c r="AQ68" s="139">
        <v>0</v>
      </c>
    </row>
    <row r="69" spans="1:43" ht="70.5" customHeight="1" thickBot="1">
      <c r="A69" s="138" t="s">
        <v>133</v>
      </c>
      <c r="B69" s="12">
        <v>112</v>
      </c>
      <c r="C69" s="12">
        <v>84.7</v>
      </c>
      <c r="D69" s="12">
        <v>32.700000000000003</v>
      </c>
      <c r="E69" s="12" t="s">
        <v>45</v>
      </c>
      <c r="F69" s="12" t="s">
        <v>45</v>
      </c>
      <c r="G69" s="12" t="s">
        <v>46</v>
      </c>
      <c r="H69" s="12"/>
      <c r="I69" s="12" t="s">
        <v>45</v>
      </c>
      <c r="J69" s="12" t="s">
        <v>47</v>
      </c>
      <c r="K69" s="12" t="s">
        <v>49</v>
      </c>
      <c r="L69" s="12" t="s">
        <v>49</v>
      </c>
      <c r="M69" s="11" t="s">
        <v>50</v>
      </c>
      <c r="N69" s="11" t="s">
        <v>50</v>
      </c>
      <c r="O69" s="11" t="s">
        <v>50</v>
      </c>
      <c r="P69" s="11" t="s">
        <v>94</v>
      </c>
      <c r="Q69" s="64" t="s">
        <v>138</v>
      </c>
      <c r="R69" s="73">
        <v>45</v>
      </c>
      <c r="S69" s="69">
        <v>124</v>
      </c>
      <c r="T69" s="65">
        <v>54</v>
      </c>
      <c r="U69" s="73">
        <v>45</v>
      </c>
      <c r="V69" s="73">
        <v>136</v>
      </c>
      <c r="W69" s="65">
        <v>72</v>
      </c>
      <c r="X69" s="130">
        <f t="shared" si="17"/>
        <v>12</v>
      </c>
      <c r="Y69" s="16">
        <f t="shared" si="20"/>
        <v>9.674709297958259</v>
      </c>
      <c r="Z69" s="130" t="s">
        <v>53</v>
      </c>
      <c r="AA69" s="131" t="s">
        <v>53</v>
      </c>
      <c r="AB69" s="16">
        <v>9.674709297958259</v>
      </c>
      <c r="AC69" s="66" t="s">
        <v>48</v>
      </c>
      <c r="AD69" s="51" t="s">
        <v>134</v>
      </c>
      <c r="AE69" s="13">
        <v>24</v>
      </c>
      <c r="AF69" s="49">
        <v>0</v>
      </c>
      <c r="AG69" s="49">
        <v>0</v>
      </c>
      <c r="AH69" s="134">
        <v>0</v>
      </c>
      <c r="AI69" s="134">
        <v>0</v>
      </c>
      <c r="AJ69" s="135">
        <f t="shared" si="18"/>
        <v>0</v>
      </c>
      <c r="AK69" s="136">
        <f t="shared" si="19"/>
        <v>0</v>
      </c>
      <c r="AL69" s="136" t="str" cm="1">
        <f t="array" ref="AL69">_xlfn.IFS(
AI69&lt;3,"Ligera",
AI69&lt;=6,"Moderada",
AI69&gt;6,"Vigorosa"
)</f>
        <v>Ligera</v>
      </c>
      <c r="AM69" s="45" t="s">
        <v>49</v>
      </c>
      <c r="AN69" s="289" t="s">
        <v>49</v>
      </c>
      <c r="AO69" s="289" t="s">
        <v>49</v>
      </c>
      <c r="AP69" s="289" t="s">
        <v>49</v>
      </c>
      <c r="AQ69" s="139">
        <v>0</v>
      </c>
    </row>
    <row r="70" spans="1:43" ht="70.5" customHeight="1" thickBot="1">
      <c r="A70" s="138" t="s">
        <v>133</v>
      </c>
      <c r="B70" s="12">
        <v>112</v>
      </c>
      <c r="C70" s="12">
        <v>85.1</v>
      </c>
      <c r="D70" s="12">
        <v>26.3</v>
      </c>
      <c r="E70" s="12" t="s">
        <v>45</v>
      </c>
      <c r="F70" s="12" t="s">
        <v>45</v>
      </c>
      <c r="G70" s="12" t="s">
        <v>46</v>
      </c>
      <c r="H70" s="12"/>
      <c r="I70" s="12" t="s">
        <v>45</v>
      </c>
      <c r="J70" s="12" t="s">
        <v>47</v>
      </c>
      <c r="K70" s="12" t="s">
        <v>49</v>
      </c>
      <c r="L70" s="12" t="s">
        <v>49</v>
      </c>
      <c r="M70" s="11" t="s">
        <v>56</v>
      </c>
      <c r="N70" s="11" t="s">
        <v>76</v>
      </c>
      <c r="O70" s="11" t="s">
        <v>77</v>
      </c>
      <c r="P70" s="11" t="s">
        <v>94</v>
      </c>
      <c r="Q70" s="64" t="s">
        <v>138</v>
      </c>
      <c r="R70" s="73">
        <v>43</v>
      </c>
      <c r="S70" s="69">
        <v>120</v>
      </c>
      <c r="T70" s="69">
        <v>45</v>
      </c>
      <c r="U70" s="73">
        <v>43</v>
      </c>
      <c r="V70" s="73">
        <v>107</v>
      </c>
      <c r="W70" s="65">
        <v>40</v>
      </c>
      <c r="X70" s="130">
        <f t="shared" si="17"/>
        <v>-13</v>
      </c>
      <c r="Y70" s="16">
        <f t="shared" si="20"/>
        <v>6.514741780386716</v>
      </c>
      <c r="Z70" s="15">
        <f t="shared" si="21"/>
        <v>-25</v>
      </c>
      <c r="AA70" s="16">
        <f t="shared" si="22"/>
        <v>3433.6744186046512</v>
      </c>
      <c r="AB70" s="16">
        <f t="shared" si="23"/>
        <v>12.496270220546384</v>
      </c>
      <c r="AC70" s="66" t="s">
        <v>48</v>
      </c>
      <c r="AD70" s="51" t="s">
        <v>135</v>
      </c>
      <c r="AE70" s="13">
        <v>24</v>
      </c>
      <c r="AF70" s="49">
        <v>2</v>
      </c>
      <c r="AG70" s="49">
        <v>60</v>
      </c>
      <c r="AH70" s="13" t="s">
        <v>79</v>
      </c>
      <c r="AI70" s="13">
        <v>3.53</v>
      </c>
      <c r="AJ70" s="135">
        <v>193</v>
      </c>
      <c r="AK70" s="136">
        <f t="shared" si="19"/>
        <v>386</v>
      </c>
      <c r="AL70" s="136" t="str" cm="1">
        <f t="array" ref="AL70">_xlfn.IFS(
AI70&lt;3,"Ligera",
AI70&lt;=6,"Moderada",
AI70&gt;6,"Vigorosa"
)</f>
        <v>Moderada</v>
      </c>
      <c r="AM70" s="45" t="s">
        <v>48</v>
      </c>
      <c r="AN70" s="46" t="s">
        <v>60</v>
      </c>
      <c r="AO70" s="46" t="s">
        <v>61</v>
      </c>
      <c r="AP70" s="289" t="s">
        <v>62</v>
      </c>
      <c r="AQ70" s="139">
        <v>0</v>
      </c>
    </row>
    <row r="71" spans="1:43" ht="70.5" customHeight="1" thickBot="1">
      <c r="A71" s="138" t="s">
        <v>133</v>
      </c>
      <c r="B71" s="12">
        <v>112</v>
      </c>
      <c r="C71" s="12">
        <v>84.7</v>
      </c>
      <c r="D71" s="12">
        <v>32.700000000000003</v>
      </c>
      <c r="E71" s="12" t="s">
        <v>45</v>
      </c>
      <c r="F71" s="12" t="s">
        <v>45</v>
      </c>
      <c r="G71" s="12" t="s">
        <v>46</v>
      </c>
      <c r="H71" s="12"/>
      <c r="I71" s="12" t="s">
        <v>45</v>
      </c>
      <c r="J71" s="12" t="s">
        <v>47</v>
      </c>
      <c r="K71" s="12" t="s">
        <v>49</v>
      </c>
      <c r="L71" s="12" t="s">
        <v>49</v>
      </c>
      <c r="M71" s="11" t="s">
        <v>50</v>
      </c>
      <c r="N71" s="11" t="s">
        <v>50</v>
      </c>
      <c r="O71" s="11" t="s">
        <v>50</v>
      </c>
      <c r="P71" s="11" t="s">
        <v>94</v>
      </c>
      <c r="Q71" s="64" t="s">
        <v>139</v>
      </c>
      <c r="R71" s="73">
        <v>45</v>
      </c>
      <c r="S71" s="69">
        <v>13.8</v>
      </c>
      <c r="T71" s="65">
        <v>9.5</v>
      </c>
      <c r="U71" s="73">
        <v>45</v>
      </c>
      <c r="V71" s="73">
        <v>10.9</v>
      </c>
      <c r="W71" s="69">
        <v>8.8000000000000007</v>
      </c>
      <c r="X71" s="130">
        <f t="shared" si="17"/>
        <v>-2.9000000000000004</v>
      </c>
      <c r="Y71" s="16">
        <f t="shared" si="20"/>
        <v>1.366991831236261</v>
      </c>
      <c r="Z71" s="130" t="s">
        <v>53</v>
      </c>
      <c r="AA71" s="131" t="s">
        <v>53</v>
      </c>
      <c r="AB71" s="16">
        <v>1.366991831236261</v>
      </c>
      <c r="AC71" s="66" t="s">
        <v>49</v>
      </c>
      <c r="AD71" s="51" t="s">
        <v>134</v>
      </c>
      <c r="AE71" s="13">
        <v>24</v>
      </c>
      <c r="AF71" s="49">
        <v>0</v>
      </c>
      <c r="AG71" s="49">
        <v>0</v>
      </c>
      <c r="AH71" s="134">
        <v>0</v>
      </c>
      <c r="AI71" s="134">
        <v>0</v>
      </c>
      <c r="AJ71" s="135">
        <f t="shared" si="18"/>
        <v>0</v>
      </c>
      <c r="AK71" s="136">
        <f t="shared" si="19"/>
        <v>0</v>
      </c>
      <c r="AL71" s="136" t="str" cm="1">
        <f t="array" ref="AL71">_xlfn.IFS(
AI71&lt;3,"Ligera",
AI71&lt;=6,"Moderada",
AI71&gt;6,"Vigorosa"
)</f>
        <v>Ligera</v>
      </c>
      <c r="AM71" s="45" t="s">
        <v>49</v>
      </c>
      <c r="AN71" s="289" t="s">
        <v>49</v>
      </c>
      <c r="AO71" s="289" t="s">
        <v>49</v>
      </c>
      <c r="AP71" s="289" t="s">
        <v>49</v>
      </c>
      <c r="AQ71" s="139">
        <v>0</v>
      </c>
    </row>
    <row r="72" spans="1:43" ht="70.5" customHeight="1" thickBot="1">
      <c r="A72" s="138" t="s">
        <v>133</v>
      </c>
      <c r="B72" s="12">
        <v>112</v>
      </c>
      <c r="C72" s="12">
        <v>85.1</v>
      </c>
      <c r="D72" s="12">
        <v>26.3</v>
      </c>
      <c r="E72" s="12" t="s">
        <v>45</v>
      </c>
      <c r="F72" s="12" t="s">
        <v>45</v>
      </c>
      <c r="G72" s="12" t="s">
        <v>46</v>
      </c>
      <c r="H72" s="12"/>
      <c r="I72" s="12" t="s">
        <v>45</v>
      </c>
      <c r="J72" s="12" t="s">
        <v>47</v>
      </c>
      <c r="K72" s="12" t="s">
        <v>49</v>
      </c>
      <c r="L72" s="12" t="s">
        <v>49</v>
      </c>
      <c r="M72" s="11" t="s">
        <v>56</v>
      </c>
      <c r="N72" s="11" t="s">
        <v>76</v>
      </c>
      <c r="O72" s="11" t="s">
        <v>77</v>
      </c>
      <c r="P72" s="11" t="s">
        <v>94</v>
      </c>
      <c r="Q72" s="64" t="s">
        <v>139</v>
      </c>
      <c r="R72" s="73">
        <v>43</v>
      </c>
      <c r="S72" s="69">
        <v>11.7</v>
      </c>
      <c r="T72" s="69">
        <v>7.8</v>
      </c>
      <c r="U72" s="73">
        <v>43</v>
      </c>
      <c r="V72" s="73">
        <v>10.1</v>
      </c>
      <c r="W72" s="65">
        <v>8.4</v>
      </c>
      <c r="X72" s="130">
        <f t="shared" si="17"/>
        <v>-1.5999999999999996</v>
      </c>
      <c r="Y72" s="16">
        <f t="shared" si="20"/>
        <v>1.2377774530406565</v>
      </c>
      <c r="Z72" s="15">
        <f t="shared" si="21"/>
        <v>1.3000000000000007</v>
      </c>
      <c r="AA72" s="16">
        <f t="shared" si="22"/>
        <v>74.080000000000013</v>
      </c>
      <c r="AB72" s="16">
        <f t="shared" si="23"/>
        <v>1.835487106981861</v>
      </c>
      <c r="AC72" s="66" t="s">
        <v>49</v>
      </c>
      <c r="AD72" s="51" t="s">
        <v>135</v>
      </c>
      <c r="AE72" s="13">
        <v>24</v>
      </c>
      <c r="AF72" s="49">
        <v>2</v>
      </c>
      <c r="AG72" s="49">
        <v>60</v>
      </c>
      <c r="AH72" s="13" t="s">
        <v>79</v>
      </c>
      <c r="AI72" s="13">
        <v>3.53</v>
      </c>
      <c r="AJ72" s="135">
        <v>193</v>
      </c>
      <c r="AK72" s="136">
        <f t="shared" si="19"/>
        <v>386</v>
      </c>
      <c r="AL72" s="136" t="str" cm="1">
        <f t="array" ref="AL72">_xlfn.IFS(
AI72&lt;3,"Ligera",
AI72&lt;=6,"Moderada",
AI72&gt;6,"Vigorosa"
)</f>
        <v>Moderada</v>
      </c>
      <c r="AM72" s="45" t="s">
        <v>48</v>
      </c>
      <c r="AN72" s="46" t="s">
        <v>60</v>
      </c>
      <c r="AO72" s="46" t="s">
        <v>61</v>
      </c>
      <c r="AP72" s="289" t="s">
        <v>62</v>
      </c>
      <c r="AQ72" s="139">
        <v>0</v>
      </c>
    </row>
    <row r="73" spans="1:43" ht="70.5" customHeight="1" thickBot="1">
      <c r="A73" s="138" t="s">
        <v>133</v>
      </c>
      <c r="B73" s="12">
        <v>112</v>
      </c>
      <c r="C73" s="12">
        <v>84.7</v>
      </c>
      <c r="D73" s="12">
        <v>32.700000000000003</v>
      </c>
      <c r="E73" s="12" t="s">
        <v>45</v>
      </c>
      <c r="F73" s="12" t="s">
        <v>45</v>
      </c>
      <c r="G73" s="12" t="s">
        <v>46</v>
      </c>
      <c r="H73" s="12"/>
      <c r="I73" s="12" t="s">
        <v>45</v>
      </c>
      <c r="J73" s="12" t="s">
        <v>47</v>
      </c>
      <c r="K73" s="12" t="s">
        <v>49</v>
      </c>
      <c r="L73" s="12" t="s">
        <v>49</v>
      </c>
      <c r="M73" s="11" t="s">
        <v>50</v>
      </c>
      <c r="N73" s="11" t="s">
        <v>50</v>
      </c>
      <c r="O73" s="11" t="s">
        <v>50</v>
      </c>
      <c r="P73" s="11" t="s">
        <v>94</v>
      </c>
      <c r="Q73" s="64" t="s">
        <v>140</v>
      </c>
      <c r="R73" s="73">
        <v>45</v>
      </c>
      <c r="S73" s="69">
        <v>9</v>
      </c>
      <c r="T73" s="65">
        <v>4.4000000000000004</v>
      </c>
      <c r="U73" s="73">
        <v>45</v>
      </c>
      <c r="V73" s="73">
        <v>6.6</v>
      </c>
      <c r="W73" s="65">
        <v>5.4</v>
      </c>
      <c r="X73" s="130">
        <f t="shared" si="17"/>
        <v>-2.4000000000000004</v>
      </c>
      <c r="Y73" s="16">
        <f t="shared" si="20"/>
        <v>0.74176965577072662</v>
      </c>
      <c r="Z73" s="130" t="s">
        <v>53</v>
      </c>
      <c r="AA73" s="131" t="s">
        <v>53</v>
      </c>
      <c r="AB73" s="16">
        <v>0.74176965577072662</v>
      </c>
      <c r="AC73" s="66" t="s">
        <v>49</v>
      </c>
      <c r="AD73" s="51" t="s">
        <v>134</v>
      </c>
      <c r="AE73" s="13">
        <v>24</v>
      </c>
      <c r="AF73" s="49">
        <v>0</v>
      </c>
      <c r="AG73" s="49">
        <v>0</v>
      </c>
      <c r="AH73" s="134">
        <v>0</v>
      </c>
      <c r="AI73" s="134">
        <v>0</v>
      </c>
      <c r="AJ73" s="135">
        <f t="shared" si="18"/>
        <v>0</v>
      </c>
      <c r="AK73" s="136">
        <f t="shared" si="19"/>
        <v>0</v>
      </c>
      <c r="AL73" s="136" t="str" cm="1">
        <f t="array" ref="AL73">_xlfn.IFS(
AI73&lt;3,"Ligera",
AI73&lt;=6,"Moderada",
AI73&gt;6,"Vigorosa"
)</f>
        <v>Ligera</v>
      </c>
      <c r="AM73" s="45" t="s">
        <v>49</v>
      </c>
      <c r="AN73" s="289" t="s">
        <v>49</v>
      </c>
      <c r="AO73" s="289" t="s">
        <v>49</v>
      </c>
      <c r="AP73" s="289" t="s">
        <v>49</v>
      </c>
      <c r="AQ73" s="139">
        <v>0</v>
      </c>
    </row>
    <row r="74" spans="1:43" ht="70.5" customHeight="1" thickBot="1">
      <c r="A74" s="138" t="s">
        <v>133</v>
      </c>
      <c r="B74" s="12">
        <v>112</v>
      </c>
      <c r="C74" s="12">
        <v>85.1</v>
      </c>
      <c r="D74" s="12">
        <v>26.3</v>
      </c>
      <c r="E74" s="12" t="s">
        <v>45</v>
      </c>
      <c r="F74" s="12" t="s">
        <v>45</v>
      </c>
      <c r="G74" s="12" t="s">
        <v>46</v>
      </c>
      <c r="H74" s="12"/>
      <c r="I74" s="12" t="s">
        <v>45</v>
      </c>
      <c r="J74" s="12" t="s">
        <v>47</v>
      </c>
      <c r="K74" s="12" t="s">
        <v>49</v>
      </c>
      <c r="L74" s="12" t="s">
        <v>49</v>
      </c>
      <c r="M74" s="11" t="s">
        <v>56</v>
      </c>
      <c r="N74" s="11" t="s">
        <v>76</v>
      </c>
      <c r="O74" s="11" t="s">
        <v>77</v>
      </c>
      <c r="P74" s="11" t="s">
        <v>94</v>
      </c>
      <c r="Q74" s="64" t="s">
        <v>140</v>
      </c>
      <c r="R74" s="73">
        <v>43</v>
      </c>
      <c r="S74" s="69">
        <v>7</v>
      </c>
      <c r="T74" s="69">
        <v>5.3</v>
      </c>
      <c r="U74" s="73">
        <v>43</v>
      </c>
      <c r="V74" s="73">
        <v>6.7</v>
      </c>
      <c r="W74" s="65">
        <v>5.9</v>
      </c>
      <c r="X74" s="130">
        <f t="shared" si="17"/>
        <v>-0.29999999999999982</v>
      </c>
      <c r="Y74" s="16">
        <f t="shared" si="20"/>
        <v>0.8576604196002271</v>
      </c>
      <c r="Z74" s="15">
        <f t="shared" si="21"/>
        <v>2.1000000000000005</v>
      </c>
      <c r="AA74" s="16">
        <f t="shared" si="22"/>
        <v>31.919302325581398</v>
      </c>
      <c r="AB74" s="16">
        <f t="shared" si="23"/>
        <v>1.2048349205871458</v>
      </c>
      <c r="AC74" s="66" t="s">
        <v>49</v>
      </c>
      <c r="AD74" s="51" t="s">
        <v>135</v>
      </c>
      <c r="AE74" s="13">
        <v>24</v>
      </c>
      <c r="AF74" s="49">
        <v>2</v>
      </c>
      <c r="AG74" s="49">
        <v>60</v>
      </c>
      <c r="AH74" s="13" t="s">
        <v>79</v>
      </c>
      <c r="AI74" s="13">
        <v>3.53</v>
      </c>
      <c r="AJ74" s="135">
        <v>193</v>
      </c>
      <c r="AK74" s="136">
        <f t="shared" si="19"/>
        <v>386</v>
      </c>
      <c r="AL74" s="136" t="str" cm="1">
        <f t="array" ref="AL74">_xlfn.IFS(
AI74&lt;3,"Ligera",
AI74&lt;=6,"Moderada",
AI74&gt;6,"Vigorosa"
)</f>
        <v>Moderada</v>
      </c>
      <c r="AM74" s="45" t="s">
        <v>48</v>
      </c>
      <c r="AN74" s="46" t="s">
        <v>60</v>
      </c>
      <c r="AO74" s="46" t="s">
        <v>61</v>
      </c>
      <c r="AP74" s="289" t="s">
        <v>62</v>
      </c>
      <c r="AQ74" s="139">
        <v>0</v>
      </c>
    </row>
    <row r="75" spans="1:43" ht="70.5" customHeight="1" thickBot="1">
      <c r="A75" s="138" t="s">
        <v>133</v>
      </c>
      <c r="B75" s="12">
        <v>112</v>
      </c>
      <c r="C75" s="12">
        <v>84.7</v>
      </c>
      <c r="D75" s="12">
        <v>32.700000000000003</v>
      </c>
      <c r="E75" s="12" t="s">
        <v>45</v>
      </c>
      <c r="F75" s="12" t="s">
        <v>45</v>
      </c>
      <c r="G75" s="12" t="s">
        <v>46</v>
      </c>
      <c r="H75" s="12"/>
      <c r="I75" s="12" t="s">
        <v>45</v>
      </c>
      <c r="J75" s="12" t="s">
        <v>47</v>
      </c>
      <c r="K75" s="12" t="s">
        <v>49</v>
      </c>
      <c r="L75" s="12" t="s">
        <v>49</v>
      </c>
      <c r="M75" s="11" t="s">
        <v>50</v>
      </c>
      <c r="N75" s="11" t="s">
        <v>50</v>
      </c>
      <c r="O75" s="11" t="s">
        <v>50</v>
      </c>
      <c r="P75" s="11" t="s">
        <v>94</v>
      </c>
      <c r="Q75" s="64" t="s">
        <v>141</v>
      </c>
      <c r="R75" s="73">
        <v>45</v>
      </c>
      <c r="S75" s="69">
        <v>7.3</v>
      </c>
      <c r="T75" s="65">
        <v>3.9</v>
      </c>
      <c r="U75" s="73">
        <v>45</v>
      </c>
      <c r="V75" s="65">
        <v>6.5</v>
      </c>
      <c r="W75" s="65">
        <v>4.0999999999999996</v>
      </c>
      <c r="X75" s="130">
        <f t="shared" si="17"/>
        <v>-0.79999999999999982</v>
      </c>
      <c r="Y75" s="16">
        <f t="shared" si="20"/>
        <v>0.596843549200477</v>
      </c>
      <c r="Z75" s="130" t="s">
        <v>53</v>
      </c>
      <c r="AA75" s="131" t="s">
        <v>53</v>
      </c>
      <c r="AB75" s="16">
        <v>0.596843549200477</v>
      </c>
      <c r="AC75" s="66" t="s">
        <v>49</v>
      </c>
      <c r="AD75" s="51" t="s">
        <v>134</v>
      </c>
      <c r="AE75" s="13">
        <v>24</v>
      </c>
      <c r="AF75" s="49">
        <v>0</v>
      </c>
      <c r="AG75" s="49">
        <v>0</v>
      </c>
      <c r="AH75" s="134">
        <v>0</v>
      </c>
      <c r="AI75" s="134">
        <v>0</v>
      </c>
      <c r="AJ75" s="135">
        <f t="shared" si="18"/>
        <v>0</v>
      </c>
      <c r="AK75" s="136">
        <f t="shared" si="19"/>
        <v>0</v>
      </c>
      <c r="AL75" s="136" t="str" cm="1">
        <f t="array" ref="AL75">_xlfn.IFS(
AI75&lt;3,"Ligera",
AI75&lt;=6,"Moderada",
AI75&gt;6,"Vigorosa"
)</f>
        <v>Ligera</v>
      </c>
      <c r="AM75" s="45" t="s">
        <v>49</v>
      </c>
      <c r="AN75" s="289" t="s">
        <v>49</v>
      </c>
      <c r="AO75" s="289" t="s">
        <v>49</v>
      </c>
      <c r="AP75" s="289" t="s">
        <v>49</v>
      </c>
      <c r="AQ75" s="139">
        <v>0</v>
      </c>
    </row>
    <row r="76" spans="1:43" ht="70.5" customHeight="1" thickBot="1">
      <c r="A76" s="138" t="s">
        <v>133</v>
      </c>
      <c r="B76" s="12">
        <v>112</v>
      </c>
      <c r="C76" s="12">
        <v>85.1</v>
      </c>
      <c r="D76" s="12">
        <v>26.3</v>
      </c>
      <c r="E76" s="12" t="s">
        <v>45</v>
      </c>
      <c r="F76" s="12" t="s">
        <v>45</v>
      </c>
      <c r="G76" s="12" t="s">
        <v>46</v>
      </c>
      <c r="H76" s="12"/>
      <c r="I76" s="12" t="s">
        <v>45</v>
      </c>
      <c r="J76" s="12" t="s">
        <v>47</v>
      </c>
      <c r="K76" s="12" t="s">
        <v>49</v>
      </c>
      <c r="L76" s="12" t="s">
        <v>49</v>
      </c>
      <c r="M76" s="11" t="s">
        <v>56</v>
      </c>
      <c r="N76" s="11" t="s">
        <v>76</v>
      </c>
      <c r="O76" s="11" t="s">
        <v>77</v>
      </c>
      <c r="P76" s="11" t="s">
        <v>94</v>
      </c>
      <c r="Q76" s="64" t="s">
        <v>141</v>
      </c>
      <c r="R76" s="73">
        <v>43</v>
      </c>
      <c r="S76" s="69">
        <v>6.7</v>
      </c>
      <c r="T76" s="69">
        <v>3.5</v>
      </c>
      <c r="U76" s="73">
        <v>43</v>
      </c>
      <c r="V76" s="65">
        <v>6.4</v>
      </c>
      <c r="W76" s="65">
        <v>3.7</v>
      </c>
      <c r="X76" s="130">
        <f t="shared" si="17"/>
        <v>-0.29999999999999982</v>
      </c>
      <c r="Y76" s="16">
        <f t="shared" si="20"/>
        <v>0.54962989661754569</v>
      </c>
      <c r="Z76" s="15">
        <f t="shared" si="21"/>
        <v>0.5</v>
      </c>
      <c r="AA76" s="16">
        <f t="shared" si="22"/>
        <v>15.28627906976744</v>
      </c>
      <c r="AB76" s="16">
        <f t="shared" si="23"/>
        <v>0.83378051819821952</v>
      </c>
      <c r="AC76" s="66" t="s">
        <v>49</v>
      </c>
      <c r="AD76" s="51" t="s">
        <v>135</v>
      </c>
      <c r="AE76" s="13">
        <v>24</v>
      </c>
      <c r="AF76" s="49">
        <v>2</v>
      </c>
      <c r="AG76" s="49">
        <v>60</v>
      </c>
      <c r="AH76" s="13" t="s">
        <v>79</v>
      </c>
      <c r="AI76" s="13">
        <v>3.53</v>
      </c>
      <c r="AJ76" s="135">
        <v>193</v>
      </c>
      <c r="AK76" s="136">
        <f t="shared" si="19"/>
        <v>386</v>
      </c>
      <c r="AL76" s="136" t="str" cm="1">
        <f t="array" ref="AL76">_xlfn.IFS(
AI76&lt;3,"Ligera",
AI76&lt;=6,"Moderada",
AI76&gt;6,"Vigorosa"
)</f>
        <v>Moderada</v>
      </c>
      <c r="AM76" s="45" t="s">
        <v>48</v>
      </c>
      <c r="AN76" s="46" t="s">
        <v>60</v>
      </c>
      <c r="AO76" s="46" t="s">
        <v>61</v>
      </c>
      <c r="AP76" s="289" t="s">
        <v>62</v>
      </c>
      <c r="AQ76" s="139">
        <v>0</v>
      </c>
    </row>
    <row r="77" spans="1:43" ht="70.5" customHeight="1" thickBot="1">
      <c r="A77" s="138" t="s">
        <v>133</v>
      </c>
      <c r="B77" s="12">
        <v>112</v>
      </c>
      <c r="C77" s="12">
        <v>84.7</v>
      </c>
      <c r="D77" s="12">
        <v>32.700000000000003</v>
      </c>
      <c r="E77" s="12" t="s">
        <v>45</v>
      </c>
      <c r="F77" s="12" t="s">
        <v>45</v>
      </c>
      <c r="G77" s="12" t="s">
        <v>46</v>
      </c>
      <c r="H77" s="12"/>
      <c r="I77" s="12" t="s">
        <v>45</v>
      </c>
      <c r="J77" s="12" t="s">
        <v>47</v>
      </c>
      <c r="K77" s="12" t="s">
        <v>49</v>
      </c>
      <c r="L77" s="12" t="s">
        <v>49</v>
      </c>
      <c r="M77" s="11" t="s">
        <v>50</v>
      </c>
      <c r="N77" s="11" t="s">
        <v>50</v>
      </c>
      <c r="O77" s="11" t="s">
        <v>50</v>
      </c>
      <c r="P77" s="11" t="s">
        <v>94</v>
      </c>
      <c r="Q77" s="64" t="s">
        <v>142</v>
      </c>
      <c r="R77" s="73">
        <v>45</v>
      </c>
      <c r="S77" s="69">
        <v>8.6999999999999993</v>
      </c>
      <c r="T77" s="65">
        <v>3.1</v>
      </c>
      <c r="U77" s="73">
        <v>45</v>
      </c>
      <c r="V77" s="65">
        <v>7.4</v>
      </c>
      <c r="W77" s="65">
        <v>4.2</v>
      </c>
      <c r="X77" s="130">
        <f t="shared" si="17"/>
        <v>-1.2999999999999989</v>
      </c>
      <c r="Y77" s="16">
        <f t="shared" si="20"/>
        <v>0.56233639596083607</v>
      </c>
      <c r="Z77" s="130" t="s">
        <v>53</v>
      </c>
      <c r="AA77" s="131" t="s">
        <v>53</v>
      </c>
      <c r="AB77" s="16">
        <v>0.56233639596083607</v>
      </c>
      <c r="AC77" s="66" t="s">
        <v>49</v>
      </c>
      <c r="AD77" s="51" t="s">
        <v>134</v>
      </c>
      <c r="AE77" s="13">
        <v>24</v>
      </c>
      <c r="AF77" s="49">
        <v>0</v>
      </c>
      <c r="AG77" s="49">
        <v>0</v>
      </c>
      <c r="AH77" s="134">
        <v>0</v>
      </c>
      <c r="AI77" s="134">
        <v>0</v>
      </c>
      <c r="AJ77" s="135">
        <f t="shared" si="18"/>
        <v>0</v>
      </c>
      <c r="AK77" s="136">
        <f t="shared" si="19"/>
        <v>0</v>
      </c>
      <c r="AL77" s="136" t="str" cm="1">
        <f t="array" ref="AL77">_xlfn.IFS(
AI77&lt;3,"Ligera",
AI77&lt;=6,"Moderada",
AI77&gt;6,"Vigorosa"
)</f>
        <v>Ligera</v>
      </c>
      <c r="AM77" s="45" t="s">
        <v>49</v>
      </c>
      <c r="AN77" s="289" t="s">
        <v>49</v>
      </c>
      <c r="AO77" s="289" t="s">
        <v>49</v>
      </c>
      <c r="AP77" s="289" t="s">
        <v>49</v>
      </c>
      <c r="AQ77" s="139">
        <v>0</v>
      </c>
    </row>
    <row r="78" spans="1:43" ht="70.5" customHeight="1" thickBot="1">
      <c r="A78" s="138" t="s">
        <v>133</v>
      </c>
      <c r="B78" s="12">
        <v>112</v>
      </c>
      <c r="C78" s="12">
        <v>85.1</v>
      </c>
      <c r="D78" s="12">
        <v>26.3</v>
      </c>
      <c r="E78" s="12" t="s">
        <v>45</v>
      </c>
      <c r="F78" s="12" t="s">
        <v>45</v>
      </c>
      <c r="G78" s="12" t="s">
        <v>46</v>
      </c>
      <c r="H78" s="12"/>
      <c r="I78" s="12" t="s">
        <v>45</v>
      </c>
      <c r="J78" s="12" t="s">
        <v>47</v>
      </c>
      <c r="K78" s="12" t="s">
        <v>49</v>
      </c>
      <c r="L78" s="12" t="s">
        <v>49</v>
      </c>
      <c r="M78" s="11" t="s">
        <v>56</v>
      </c>
      <c r="N78" s="11" t="s">
        <v>76</v>
      </c>
      <c r="O78" s="11" t="s">
        <v>77</v>
      </c>
      <c r="P78" s="11" t="s">
        <v>94</v>
      </c>
      <c r="Q78" s="64" t="s">
        <v>142</v>
      </c>
      <c r="R78" s="73">
        <v>43</v>
      </c>
      <c r="S78" s="69">
        <v>7.9</v>
      </c>
      <c r="T78" s="69">
        <v>3.2</v>
      </c>
      <c r="U78" s="73">
        <v>43</v>
      </c>
      <c r="V78" s="65">
        <v>7.2</v>
      </c>
      <c r="W78" s="65">
        <v>3.3</v>
      </c>
      <c r="X78" s="130">
        <f t="shared" si="17"/>
        <v>-0.70000000000000018</v>
      </c>
      <c r="Y78" s="16">
        <f t="shared" si="20"/>
        <v>0.49579628224541195</v>
      </c>
      <c r="Z78" s="15">
        <f t="shared" si="21"/>
        <v>0.59999999999999876</v>
      </c>
      <c r="AA78" s="16">
        <f t="shared" si="22"/>
        <v>14.343488372093022</v>
      </c>
      <c r="AB78" s="16">
        <f t="shared" si="23"/>
        <v>0.80765938555305028</v>
      </c>
      <c r="AC78" s="66" t="s">
        <v>49</v>
      </c>
      <c r="AD78" s="51" t="s">
        <v>135</v>
      </c>
      <c r="AE78" s="13">
        <v>24</v>
      </c>
      <c r="AF78" s="49">
        <v>2</v>
      </c>
      <c r="AG78" s="49">
        <v>60</v>
      </c>
      <c r="AH78" s="13" t="s">
        <v>79</v>
      </c>
      <c r="AI78" s="13">
        <v>3.53</v>
      </c>
      <c r="AJ78" s="135">
        <v>193</v>
      </c>
      <c r="AK78" s="136">
        <f t="shared" si="19"/>
        <v>386</v>
      </c>
      <c r="AL78" s="136" t="str" cm="1">
        <f t="array" ref="AL78">_xlfn.IFS(
AI78&lt;3,"Ligera",
AI78&lt;=6,"Moderada",
AI78&gt;6,"Vigorosa"
)</f>
        <v>Moderada</v>
      </c>
      <c r="AM78" s="45" t="s">
        <v>48</v>
      </c>
      <c r="AN78" s="46" t="s">
        <v>60</v>
      </c>
      <c r="AO78" s="46" t="s">
        <v>61</v>
      </c>
      <c r="AP78" s="289" t="s">
        <v>62</v>
      </c>
      <c r="AQ78" s="139">
        <v>0</v>
      </c>
    </row>
    <row r="79" spans="1:43" ht="70.5" customHeight="1" thickBot="1">
      <c r="A79" s="124" t="s">
        <v>144</v>
      </c>
      <c r="B79" s="125">
        <v>24</v>
      </c>
      <c r="C79" s="125">
        <v>91</v>
      </c>
      <c r="D79" s="125">
        <v>0</v>
      </c>
      <c r="E79" s="125" t="s">
        <v>97</v>
      </c>
      <c r="F79" s="125" t="s">
        <v>97</v>
      </c>
      <c r="G79" s="125" t="s">
        <v>46</v>
      </c>
      <c r="H79" s="125"/>
      <c r="I79" s="125" t="s">
        <v>145</v>
      </c>
      <c r="J79" s="125" t="s">
        <v>47</v>
      </c>
      <c r="K79" s="125" t="s">
        <v>49</v>
      </c>
      <c r="L79" s="125" t="s">
        <v>49</v>
      </c>
      <c r="M79" s="126" t="s">
        <v>50</v>
      </c>
      <c r="N79" s="126" t="s">
        <v>50</v>
      </c>
      <c r="O79" s="126" t="s">
        <v>50</v>
      </c>
      <c r="P79" s="126" t="s">
        <v>94</v>
      </c>
      <c r="Q79" s="127" t="s">
        <v>95</v>
      </c>
      <c r="R79" s="128">
        <v>13</v>
      </c>
      <c r="S79" s="128">
        <v>15.17</v>
      </c>
      <c r="T79" s="128">
        <v>6.07</v>
      </c>
      <c r="U79" s="128">
        <v>13</v>
      </c>
      <c r="V79" s="128" t="s">
        <v>47</v>
      </c>
      <c r="W79" s="128" t="s">
        <v>47</v>
      </c>
      <c r="X79" s="130"/>
      <c r="Y79" s="16"/>
      <c r="Z79" s="130"/>
      <c r="AA79" s="131"/>
      <c r="AB79" s="16"/>
      <c r="AC79" s="66" t="s">
        <v>49</v>
      </c>
      <c r="AD79" s="133" t="s">
        <v>146</v>
      </c>
      <c r="AE79" s="134">
        <v>12</v>
      </c>
      <c r="AF79" s="161">
        <v>0</v>
      </c>
      <c r="AG79" s="161">
        <v>0</v>
      </c>
      <c r="AH79" s="134">
        <v>0</v>
      </c>
      <c r="AI79" s="134">
        <v>0</v>
      </c>
      <c r="AJ79" s="135">
        <f t="shared" si="18"/>
        <v>0</v>
      </c>
      <c r="AK79" s="136">
        <f t="shared" si="19"/>
        <v>0</v>
      </c>
      <c r="AL79" s="136" t="str" cm="1">
        <f t="array" ref="AL79">_xlfn.IFS(
AI79&lt;3,"Ligera",
AI79&lt;=6,"Moderada",
AI79&gt;6,"Vigorosa"
)</f>
        <v>Ligera</v>
      </c>
      <c r="AM79" s="136" t="s">
        <v>49</v>
      </c>
      <c r="AN79" s="288" t="s">
        <v>49</v>
      </c>
      <c r="AO79" s="288" t="s">
        <v>49</v>
      </c>
      <c r="AP79" s="288" t="s">
        <v>49</v>
      </c>
      <c r="AQ79" s="137">
        <v>0</v>
      </c>
    </row>
    <row r="80" spans="1:43" ht="70.5" customHeight="1" thickBot="1">
      <c r="A80" s="138" t="s">
        <v>144</v>
      </c>
      <c r="B80" s="12">
        <v>24</v>
      </c>
      <c r="C80" s="12">
        <v>90.18</v>
      </c>
      <c r="D80" s="12">
        <v>0</v>
      </c>
      <c r="E80" s="12" t="s">
        <v>97</v>
      </c>
      <c r="F80" s="12" t="s">
        <v>97</v>
      </c>
      <c r="G80" s="12" t="s">
        <v>46</v>
      </c>
      <c r="H80" s="12"/>
      <c r="I80" s="12" t="s">
        <v>145</v>
      </c>
      <c r="J80" s="12" t="s">
        <v>47</v>
      </c>
      <c r="K80" s="12" t="s">
        <v>49</v>
      </c>
      <c r="L80" s="12" t="s">
        <v>49</v>
      </c>
      <c r="M80" s="11" t="s">
        <v>56</v>
      </c>
      <c r="N80" s="11" t="s">
        <v>57</v>
      </c>
      <c r="O80" s="11" t="s">
        <v>147</v>
      </c>
      <c r="P80" s="11" t="s">
        <v>94</v>
      </c>
      <c r="Q80" s="64" t="s">
        <v>95</v>
      </c>
      <c r="R80" s="65">
        <v>11</v>
      </c>
      <c r="S80" s="65">
        <v>13.36</v>
      </c>
      <c r="T80" s="65">
        <v>6.86</v>
      </c>
      <c r="U80" s="65">
        <v>11</v>
      </c>
      <c r="V80" s="65" t="s">
        <v>47</v>
      </c>
      <c r="W80" s="65" t="s">
        <v>47</v>
      </c>
      <c r="X80" s="130"/>
      <c r="Y80" s="16"/>
      <c r="Z80" s="15"/>
      <c r="AA80" s="16"/>
      <c r="AB80" s="16"/>
      <c r="AC80" s="66" t="s">
        <v>49</v>
      </c>
      <c r="AD80" s="51" t="s">
        <v>148</v>
      </c>
      <c r="AE80" s="13">
        <v>12</v>
      </c>
      <c r="AF80" s="13">
        <v>2</v>
      </c>
      <c r="AG80" s="13">
        <v>60</v>
      </c>
      <c r="AH80" s="13">
        <v>205460</v>
      </c>
      <c r="AI80" s="13">
        <v>4.3</v>
      </c>
      <c r="AJ80" s="135">
        <f t="shared" si="18"/>
        <v>258</v>
      </c>
      <c r="AK80" s="136">
        <f t="shared" si="19"/>
        <v>516</v>
      </c>
      <c r="AL80" s="136" t="str" cm="1">
        <f t="array" ref="AL80">_xlfn.IFS(
AI80&lt;3,"Ligera",
AI80&lt;=6,"Moderada",
AI80&gt;6,"Vigorosa"
)</f>
        <v>Moderada</v>
      </c>
      <c r="AM80" s="45" t="s">
        <v>48</v>
      </c>
      <c r="AN80" s="46" t="s">
        <v>60</v>
      </c>
      <c r="AO80" s="46" t="s">
        <v>61</v>
      </c>
      <c r="AP80" s="289" t="s">
        <v>62</v>
      </c>
      <c r="AQ80" s="139">
        <v>0</v>
      </c>
    </row>
    <row r="81" spans="1:43" ht="70.5" customHeight="1" thickBot="1">
      <c r="A81" s="138" t="s">
        <v>144</v>
      </c>
      <c r="B81" s="12">
        <v>24</v>
      </c>
      <c r="C81" s="12">
        <v>91</v>
      </c>
      <c r="D81" s="12">
        <v>0</v>
      </c>
      <c r="E81" s="12" t="s">
        <v>97</v>
      </c>
      <c r="F81" s="12" t="s">
        <v>97</v>
      </c>
      <c r="G81" s="12" t="s">
        <v>46</v>
      </c>
      <c r="H81" s="12"/>
      <c r="I81" s="12" t="s">
        <v>145</v>
      </c>
      <c r="J81" s="12" t="s">
        <v>47</v>
      </c>
      <c r="K81" s="12" t="s">
        <v>49</v>
      </c>
      <c r="L81" s="12" t="s">
        <v>49</v>
      </c>
      <c r="M81" s="11" t="s">
        <v>50</v>
      </c>
      <c r="N81" s="11" t="s">
        <v>50</v>
      </c>
      <c r="O81" s="11" t="s">
        <v>50</v>
      </c>
      <c r="P81" s="11" t="s">
        <v>51</v>
      </c>
      <c r="Q81" s="64" t="s">
        <v>149</v>
      </c>
      <c r="R81" s="65">
        <v>13</v>
      </c>
      <c r="S81" s="65">
        <v>16.170000000000002</v>
      </c>
      <c r="T81" s="65">
        <v>3.77</v>
      </c>
      <c r="U81" s="65">
        <v>13</v>
      </c>
      <c r="V81" s="65">
        <v>17.7</v>
      </c>
      <c r="W81" s="65">
        <v>4.88</v>
      </c>
      <c r="X81" s="130">
        <f t="shared" si="17"/>
        <v>1.5299999999999976</v>
      </c>
      <c r="Y81" s="16">
        <f t="shared" si="20"/>
        <v>1.2288111828417427</v>
      </c>
      <c r="Z81" s="130" t="s">
        <v>53</v>
      </c>
      <c r="AA81" s="131" t="s">
        <v>53</v>
      </c>
      <c r="AB81" s="16">
        <v>1.2288111828417427</v>
      </c>
      <c r="AC81" s="66" t="s">
        <v>48</v>
      </c>
      <c r="AD81" s="51" t="s">
        <v>146</v>
      </c>
      <c r="AE81" s="13">
        <v>12</v>
      </c>
      <c r="AF81" s="49">
        <v>0</v>
      </c>
      <c r="AG81" s="49">
        <v>0</v>
      </c>
      <c r="AH81" s="134">
        <v>0</v>
      </c>
      <c r="AI81" s="134">
        <v>0</v>
      </c>
      <c r="AJ81" s="135">
        <f t="shared" si="18"/>
        <v>0</v>
      </c>
      <c r="AK81" s="136">
        <f t="shared" si="19"/>
        <v>0</v>
      </c>
      <c r="AL81" s="136" t="str" cm="1">
        <f t="array" ref="AL81">_xlfn.IFS(
AI81&lt;3,"Ligera",
AI81&lt;=6,"Moderada",
AI81&gt;6,"Vigorosa"
)</f>
        <v>Ligera</v>
      </c>
      <c r="AM81" s="45" t="s">
        <v>49</v>
      </c>
      <c r="AN81" s="289" t="s">
        <v>49</v>
      </c>
      <c r="AO81" s="289" t="s">
        <v>49</v>
      </c>
      <c r="AP81" s="289" t="s">
        <v>49</v>
      </c>
      <c r="AQ81" s="139">
        <v>0</v>
      </c>
    </row>
    <row r="82" spans="1:43" ht="70.5" customHeight="1" thickBot="1">
      <c r="A82" s="138" t="s">
        <v>144</v>
      </c>
      <c r="B82" s="12">
        <v>24</v>
      </c>
      <c r="C82" s="12">
        <v>90.18</v>
      </c>
      <c r="D82" s="12">
        <v>0</v>
      </c>
      <c r="E82" s="12" t="s">
        <v>97</v>
      </c>
      <c r="F82" s="12" t="s">
        <v>97</v>
      </c>
      <c r="G82" s="12" t="s">
        <v>46</v>
      </c>
      <c r="H82" s="12"/>
      <c r="I82" s="12" t="s">
        <v>145</v>
      </c>
      <c r="J82" s="12" t="s">
        <v>47</v>
      </c>
      <c r="K82" s="12" t="s">
        <v>49</v>
      </c>
      <c r="L82" s="12" t="s">
        <v>49</v>
      </c>
      <c r="M82" s="11" t="s">
        <v>56</v>
      </c>
      <c r="N82" s="11" t="s">
        <v>57</v>
      </c>
      <c r="O82" s="11" t="s">
        <v>147</v>
      </c>
      <c r="P82" s="11" t="s">
        <v>51</v>
      </c>
      <c r="Q82" s="64" t="s">
        <v>149</v>
      </c>
      <c r="R82" s="65">
        <v>11</v>
      </c>
      <c r="S82" s="70">
        <v>16.53</v>
      </c>
      <c r="T82" s="70">
        <v>4.8600000000000003</v>
      </c>
      <c r="U82" s="65">
        <v>11</v>
      </c>
      <c r="V82" s="65">
        <v>12.74</v>
      </c>
      <c r="W82" s="70">
        <v>3.12</v>
      </c>
      <c r="X82" s="130">
        <f t="shared" si="17"/>
        <v>-3.7900000000000009</v>
      </c>
      <c r="Y82" s="16">
        <f t="shared" si="20"/>
        <v>1.2859662090852506</v>
      </c>
      <c r="Z82" s="15">
        <f t="shared" si="21"/>
        <v>-5.3199999999999985</v>
      </c>
      <c r="AA82" s="16">
        <f t="shared" si="22"/>
        <v>17.414399999999997</v>
      </c>
      <c r="AB82" s="16">
        <f t="shared" si="23"/>
        <v>1.7095895716506062</v>
      </c>
      <c r="AC82" s="66" t="s">
        <v>48</v>
      </c>
      <c r="AD82" s="51" t="s">
        <v>148</v>
      </c>
      <c r="AE82" s="13">
        <v>12</v>
      </c>
      <c r="AF82" s="13">
        <v>2</v>
      </c>
      <c r="AG82" s="13">
        <v>60</v>
      </c>
      <c r="AH82" s="13">
        <v>205460</v>
      </c>
      <c r="AI82" s="13">
        <v>4.3</v>
      </c>
      <c r="AJ82" s="135">
        <f t="shared" si="18"/>
        <v>258</v>
      </c>
      <c r="AK82" s="136">
        <f t="shared" si="19"/>
        <v>516</v>
      </c>
      <c r="AL82" s="136" t="str" cm="1">
        <f t="array" ref="AL82">_xlfn.IFS(
AI82&lt;3,"Ligera",
AI82&lt;=6,"Moderada",
AI82&gt;6,"Vigorosa"
)</f>
        <v>Moderada</v>
      </c>
      <c r="AM82" s="45" t="s">
        <v>48</v>
      </c>
      <c r="AN82" s="46" t="s">
        <v>60</v>
      </c>
      <c r="AO82" s="46" t="s">
        <v>61</v>
      </c>
      <c r="AP82" s="289" t="s">
        <v>62</v>
      </c>
      <c r="AQ82" s="139">
        <v>0</v>
      </c>
    </row>
    <row r="83" spans="1:43" ht="70.5" customHeight="1" thickBot="1">
      <c r="A83" s="138" t="s">
        <v>144</v>
      </c>
      <c r="B83" s="12">
        <v>24</v>
      </c>
      <c r="C83" s="12">
        <v>91</v>
      </c>
      <c r="D83" s="12">
        <v>0</v>
      </c>
      <c r="E83" s="12" t="s">
        <v>97</v>
      </c>
      <c r="F83" s="12" t="s">
        <v>97</v>
      </c>
      <c r="G83" s="12" t="s">
        <v>46</v>
      </c>
      <c r="H83" s="12"/>
      <c r="I83" s="12" t="s">
        <v>145</v>
      </c>
      <c r="J83" s="12" t="s">
        <v>47</v>
      </c>
      <c r="K83" s="12" t="s">
        <v>49</v>
      </c>
      <c r="L83" s="12" t="s">
        <v>49</v>
      </c>
      <c r="M83" s="11" t="s">
        <v>50</v>
      </c>
      <c r="N83" s="11" t="s">
        <v>50</v>
      </c>
      <c r="O83" s="11" t="s">
        <v>50</v>
      </c>
      <c r="P83" s="11" t="s">
        <v>51</v>
      </c>
      <c r="Q83" s="64" t="s">
        <v>124</v>
      </c>
      <c r="R83" s="65">
        <v>13</v>
      </c>
      <c r="S83" s="65">
        <v>35.119999999999997</v>
      </c>
      <c r="T83" s="65">
        <v>11.59</v>
      </c>
      <c r="U83" s="65">
        <v>13</v>
      </c>
      <c r="V83" s="65">
        <v>38.619999999999997</v>
      </c>
      <c r="W83" s="65">
        <v>15.44</v>
      </c>
      <c r="X83" s="130">
        <f t="shared" si="17"/>
        <v>3.5</v>
      </c>
      <c r="Y83" s="16">
        <f t="shared" si="20"/>
        <v>3.8607701503516312</v>
      </c>
      <c r="Z83" s="130" t="s">
        <v>53</v>
      </c>
      <c r="AA83" s="131" t="s">
        <v>53</v>
      </c>
      <c r="AB83" s="16">
        <v>3.8607701503516312</v>
      </c>
      <c r="AC83" s="66" t="s">
        <v>48</v>
      </c>
      <c r="AD83" s="51" t="s">
        <v>146</v>
      </c>
      <c r="AE83" s="13">
        <v>12</v>
      </c>
      <c r="AF83" s="49">
        <v>0</v>
      </c>
      <c r="AG83" s="49">
        <v>0</v>
      </c>
      <c r="AH83" s="134">
        <v>0</v>
      </c>
      <c r="AI83" s="134">
        <v>0</v>
      </c>
      <c r="AJ83" s="135">
        <f t="shared" si="18"/>
        <v>0</v>
      </c>
      <c r="AK83" s="136">
        <f t="shared" si="19"/>
        <v>0</v>
      </c>
      <c r="AL83" s="136" t="str" cm="1">
        <f t="array" ref="AL83">_xlfn.IFS(
AI83&lt;3,"Ligera",
AI83&lt;=6,"Moderada",
AI83&gt;6,"Vigorosa"
)</f>
        <v>Ligera</v>
      </c>
      <c r="AM83" s="45" t="s">
        <v>49</v>
      </c>
      <c r="AN83" s="289" t="s">
        <v>49</v>
      </c>
      <c r="AO83" s="289" t="s">
        <v>49</v>
      </c>
      <c r="AP83" s="289" t="s">
        <v>49</v>
      </c>
      <c r="AQ83" s="139">
        <v>0</v>
      </c>
    </row>
    <row r="84" spans="1:43" ht="70.5" customHeight="1" thickBot="1">
      <c r="A84" s="140" t="s">
        <v>144</v>
      </c>
      <c r="B84" s="141">
        <v>24</v>
      </c>
      <c r="C84" s="141">
        <v>90.18</v>
      </c>
      <c r="D84" s="141">
        <v>0</v>
      </c>
      <c r="E84" s="141" t="s">
        <v>97</v>
      </c>
      <c r="F84" s="141" t="s">
        <v>97</v>
      </c>
      <c r="G84" s="141" t="s">
        <v>46</v>
      </c>
      <c r="H84" s="141"/>
      <c r="I84" s="141" t="s">
        <v>145</v>
      </c>
      <c r="J84" s="141" t="s">
        <v>47</v>
      </c>
      <c r="K84" s="141" t="s">
        <v>49</v>
      </c>
      <c r="L84" s="141" t="s">
        <v>49</v>
      </c>
      <c r="M84" s="142" t="s">
        <v>56</v>
      </c>
      <c r="N84" s="142" t="s">
        <v>57</v>
      </c>
      <c r="O84" s="142" t="s">
        <v>147</v>
      </c>
      <c r="P84" s="142" t="s">
        <v>51</v>
      </c>
      <c r="Q84" s="143" t="s">
        <v>124</v>
      </c>
      <c r="R84" s="144">
        <v>11</v>
      </c>
      <c r="S84" s="162">
        <v>28.05</v>
      </c>
      <c r="T84" s="162">
        <v>9.99</v>
      </c>
      <c r="U84" s="144">
        <v>11</v>
      </c>
      <c r="V84" s="144">
        <v>27.73</v>
      </c>
      <c r="W84" s="162">
        <v>11.62</v>
      </c>
      <c r="X84" s="130">
        <f t="shared" si="17"/>
        <v>-0.32000000000000028</v>
      </c>
      <c r="Y84" s="16">
        <f t="shared" si="20"/>
        <v>3.2855150419544712</v>
      </c>
      <c r="Z84" s="15">
        <f t="shared" si="21"/>
        <v>-3.8200000000000003</v>
      </c>
      <c r="AA84" s="16">
        <f t="shared" si="22"/>
        <v>191.4076</v>
      </c>
      <c r="AB84" s="16">
        <f t="shared" si="23"/>
        <v>5.6678348994613845</v>
      </c>
      <c r="AC84" s="66" t="s">
        <v>48</v>
      </c>
      <c r="AD84" s="151" t="s">
        <v>148</v>
      </c>
      <c r="AE84" s="146">
        <v>12</v>
      </c>
      <c r="AF84" s="146">
        <v>2</v>
      </c>
      <c r="AG84" s="146">
        <v>60</v>
      </c>
      <c r="AH84" s="13">
        <v>205460</v>
      </c>
      <c r="AI84" s="13">
        <v>4.3</v>
      </c>
      <c r="AJ84" s="135">
        <f t="shared" si="18"/>
        <v>258</v>
      </c>
      <c r="AK84" s="136">
        <f t="shared" si="19"/>
        <v>516</v>
      </c>
      <c r="AL84" s="136" t="str" cm="1">
        <f t="array" ref="AL84">_xlfn.IFS(
AI84&lt;3,"Ligera",
AI84&lt;=6,"Moderada",
AI84&gt;6,"Vigorosa"
)</f>
        <v>Moderada</v>
      </c>
      <c r="AM84" s="147" t="s">
        <v>48</v>
      </c>
      <c r="AN84" s="148" t="s">
        <v>60</v>
      </c>
      <c r="AO84" s="148" t="s">
        <v>61</v>
      </c>
      <c r="AP84" s="290" t="s">
        <v>62</v>
      </c>
      <c r="AQ84" s="149">
        <v>0</v>
      </c>
    </row>
    <row r="85" spans="1:43" ht="70.5" customHeight="1" thickBot="1">
      <c r="A85" s="124" t="s">
        <v>150</v>
      </c>
      <c r="B85" s="125">
        <v>24</v>
      </c>
      <c r="C85" s="125">
        <v>84.82</v>
      </c>
      <c r="D85" s="125">
        <v>9.1</v>
      </c>
      <c r="E85" s="125" t="s">
        <v>45</v>
      </c>
      <c r="F85" s="125" t="s">
        <v>45</v>
      </c>
      <c r="G85" s="125" t="s">
        <v>46</v>
      </c>
      <c r="H85" s="125"/>
      <c r="I85" s="125" t="s">
        <v>45</v>
      </c>
      <c r="J85" s="125" t="s">
        <v>47</v>
      </c>
      <c r="K85" s="125" t="s">
        <v>49</v>
      </c>
      <c r="L85" s="125" t="s">
        <v>49</v>
      </c>
      <c r="M85" s="126" t="s">
        <v>50</v>
      </c>
      <c r="N85" s="126" t="s">
        <v>50</v>
      </c>
      <c r="O85" s="126" t="s">
        <v>50</v>
      </c>
      <c r="P85" s="126" t="s">
        <v>51</v>
      </c>
      <c r="Q85" s="127" t="s">
        <v>149</v>
      </c>
      <c r="R85" s="128">
        <v>11</v>
      </c>
      <c r="S85" s="128">
        <v>21.19</v>
      </c>
      <c r="T85" s="128">
        <v>12.63</v>
      </c>
      <c r="U85" s="163">
        <v>11</v>
      </c>
      <c r="V85" s="128">
        <v>25.57</v>
      </c>
      <c r="W85" s="128">
        <v>14.15</v>
      </c>
      <c r="X85" s="130">
        <f t="shared" si="17"/>
        <v>4.379999999999999</v>
      </c>
      <c r="Y85" s="16">
        <f t="shared" si="20"/>
        <v>4.0566992852452222</v>
      </c>
      <c r="Z85" s="130" t="s">
        <v>53</v>
      </c>
      <c r="AA85" s="131" t="s">
        <v>53</v>
      </c>
      <c r="AB85" s="16">
        <v>4.0566992852452222</v>
      </c>
      <c r="AC85" s="66" t="s">
        <v>48</v>
      </c>
      <c r="AD85" s="133" t="s">
        <v>151</v>
      </c>
      <c r="AE85" s="135">
        <v>10</v>
      </c>
      <c r="AF85" s="161">
        <v>0</v>
      </c>
      <c r="AG85" s="161">
        <v>0</v>
      </c>
      <c r="AH85" s="134">
        <v>0</v>
      </c>
      <c r="AI85" s="134">
        <v>0</v>
      </c>
      <c r="AJ85" s="135">
        <f t="shared" si="18"/>
        <v>0</v>
      </c>
      <c r="AK85" s="136">
        <f t="shared" si="19"/>
        <v>0</v>
      </c>
      <c r="AL85" s="136" t="str" cm="1">
        <f t="array" ref="AL85">_xlfn.IFS(
AI85&lt;3,"Ligera",
AI85&lt;=6,"Moderada",
AI85&gt;6,"Vigorosa"
)</f>
        <v>Ligera</v>
      </c>
      <c r="AM85" s="136" t="s">
        <v>49</v>
      </c>
      <c r="AN85" s="288" t="s">
        <v>49</v>
      </c>
      <c r="AO85" s="288" t="s">
        <v>49</v>
      </c>
      <c r="AP85" s="288" t="s">
        <v>49</v>
      </c>
      <c r="AQ85" s="137">
        <v>0</v>
      </c>
    </row>
    <row r="86" spans="1:43" ht="70.5" customHeight="1" thickBot="1">
      <c r="A86" s="138" t="s">
        <v>150</v>
      </c>
      <c r="B86" s="12">
        <v>24</v>
      </c>
      <c r="C86" s="12">
        <v>85.08</v>
      </c>
      <c r="D86" s="12">
        <v>15.39</v>
      </c>
      <c r="E86" s="12" t="s">
        <v>45</v>
      </c>
      <c r="F86" s="12" t="s">
        <v>45</v>
      </c>
      <c r="G86" s="12" t="s">
        <v>46</v>
      </c>
      <c r="H86" s="12"/>
      <c r="I86" s="12" t="s">
        <v>45</v>
      </c>
      <c r="J86" s="12" t="s">
        <v>47</v>
      </c>
      <c r="K86" s="12" t="s">
        <v>49</v>
      </c>
      <c r="L86" s="12" t="s">
        <v>49</v>
      </c>
      <c r="M86" s="11" t="s">
        <v>56</v>
      </c>
      <c r="N86" s="11" t="s">
        <v>152</v>
      </c>
      <c r="O86" s="11" t="s">
        <v>153</v>
      </c>
      <c r="P86" s="11" t="s">
        <v>51</v>
      </c>
      <c r="Q86" s="64" t="s">
        <v>149</v>
      </c>
      <c r="R86" s="65">
        <v>13</v>
      </c>
      <c r="S86" s="69">
        <v>15.56</v>
      </c>
      <c r="T86" s="69">
        <v>4.5199999999999996</v>
      </c>
      <c r="U86" s="75">
        <v>13</v>
      </c>
      <c r="V86" s="65">
        <v>13.81</v>
      </c>
      <c r="W86" s="65">
        <v>3.46</v>
      </c>
      <c r="X86" s="130">
        <f t="shared" si="17"/>
        <v>-1.75</v>
      </c>
      <c r="Y86" s="16">
        <f t="shared" si="20"/>
        <v>1.135537825810375</v>
      </c>
      <c r="Z86" s="15">
        <f t="shared" si="21"/>
        <v>-6.129999999999999</v>
      </c>
      <c r="AA86" s="16">
        <f t="shared" si="22"/>
        <v>97.54019090909091</v>
      </c>
      <c r="AB86" s="16">
        <f t="shared" si="23"/>
        <v>4.0460328336577094</v>
      </c>
      <c r="AC86" s="66" t="s">
        <v>48</v>
      </c>
      <c r="AD86" s="51" t="s">
        <v>154</v>
      </c>
      <c r="AE86" s="13">
        <v>10</v>
      </c>
      <c r="AF86" s="13">
        <v>3</v>
      </c>
      <c r="AG86" s="13">
        <v>6</v>
      </c>
      <c r="AH86" s="13">
        <v>2240060</v>
      </c>
      <c r="AI86" s="13">
        <v>5.5</v>
      </c>
      <c r="AJ86" s="135">
        <f t="shared" si="18"/>
        <v>33</v>
      </c>
      <c r="AK86" s="136">
        <f t="shared" si="19"/>
        <v>99</v>
      </c>
      <c r="AL86" s="136" t="str" cm="1">
        <f t="array" ref="AL86">_xlfn.IFS(
AI86&lt;3,"Ligera",
AI86&lt;=6,"Moderada",
AI86&gt;6,"Vigorosa"
)</f>
        <v>Moderada</v>
      </c>
      <c r="AM86" s="45" t="s">
        <v>49</v>
      </c>
      <c r="AN86" s="46" t="s">
        <v>49</v>
      </c>
      <c r="AO86" s="46" t="s">
        <v>61</v>
      </c>
      <c r="AP86" s="289" t="s">
        <v>155</v>
      </c>
      <c r="AQ86" s="139">
        <v>0</v>
      </c>
    </row>
    <row r="87" spans="1:43" ht="70.5" customHeight="1" thickBot="1">
      <c r="A87" s="138" t="s">
        <v>150</v>
      </c>
      <c r="B87" s="12">
        <v>24</v>
      </c>
      <c r="C87" s="12">
        <v>84.82</v>
      </c>
      <c r="D87" s="12">
        <v>9.1</v>
      </c>
      <c r="E87" s="12" t="s">
        <v>45</v>
      </c>
      <c r="F87" s="12" t="s">
        <v>45</v>
      </c>
      <c r="G87" s="12" t="s">
        <v>46</v>
      </c>
      <c r="H87" s="12"/>
      <c r="I87" s="12" t="s">
        <v>45</v>
      </c>
      <c r="J87" s="12" t="s">
        <v>47</v>
      </c>
      <c r="K87" s="12" t="s">
        <v>49</v>
      </c>
      <c r="L87" s="12" t="s">
        <v>49</v>
      </c>
      <c r="M87" s="11" t="s">
        <v>50</v>
      </c>
      <c r="N87" s="11" t="s">
        <v>50</v>
      </c>
      <c r="O87" s="11" t="s">
        <v>50</v>
      </c>
      <c r="P87" s="11" t="s">
        <v>86</v>
      </c>
      <c r="Q87" s="64" t="s">
        <v>156</v>
      </c>
      <c r="R87" s="65">
        <v>11</v>
      </c>
      <c r="S87" s="65">
        <v>12.27</v>
      </c>
      <c r="T87" s="65">
        <v>1.95</v>
      </c>
      <c r="U87" s="75">
        <v>11</v>
      </c>
      <c r="V87" s="65">
        <v>11.45</v>
      </c>
      <c r="W87" s="65">
        <v>1.96</v>
      </c>
      <c r="X87" s="130">
        <f t="shared" si="17"/>
        <v>-0.82000000000000028</v>
      </c>
      <c r="Y87" s="16">
        <f t="shared" si="20"/>
        <v>0.58946046208684455</v>
      </c>
      <c r="Z87" s="130" t="s">
        <v>53</v>
      </c>
      <c r="AA87" s="131" t="s">
        <v>53</v>
      </c>
      <c r="AB87" s="16">
        <v>0.58946046208684455</v>
      </c>
      <c r="AC87" s="66" t="s">
        <v>49</v>
      </c>
      <c r="AD87" s="51" t="s">
        <v>151</v>
      </c>
      <c r="AE87" s="46">
        <v>10</v>
      </c>
      <c r="AF87" s="49">
        <v>0</v>
      </c>
      <c r="AG87" s="49">
        <v>0</v>
      </c>
      <c r="AH87" s="134">
        <v>0</v>
      </c>
      <c r="AI87" s="134">
        <v>0</v>
      </c>
      <c r="AJ87" s="135">
        <f t="shared" si="18"/>
        <v>0</v>
      </c>
      <c r="AK87" s="136">
        <f t="shared" si="19"/>
        <v>0</v>
      </c>
      <c r="AL87" s="136" t="str" cm="1">
        <f t="array" ref="AL87">_xlfn.IFS(
AI87&lt;3,"Ligera",
AI87&lt;=6,"Moderada",
AI87&gt;6,"Vigorosa"
)</f>
        <v>Ligera</v>
      </c>
      <c r="AM87" s="45" t="s">
        <v>49</v>
      </c>
      <c r="AN87" s="289" t="s">
        <v>49</v>
      </c>
      <c r="AO87" s="289" t="s">
        <v>49</v>
      </c>
      <c r="AP87" s="289" t="s">
        <v>49</v>
      </c>
      <c r="AQ87" s="139">
        <v>0</v>
      </c>
    </row>
    <row r="88" spans="1:43" ht="70.5" customHeight="1" thickBot="1">
      <c r="A88" s="138" t="s">
        <v>150</v>
      </c>
      <c r="B88" s="12">
        <v>24</v>
      </c>
      <c r="C88" s="12">
        <v>85.08</v>
      </c>
      <c r="D88" s="12">
        <v>15.39</v>
      </c>
      <c r="E88" s="12" t="s">
        <v>45</v>
      </c>
      <c r="F88" s="12" t="s">
        <v>45</v>
      </c>
      <c r="G88" s="12" t="s">
        <v>46</v>
      </c>
      <c r="H88" s="12"/>
      <c r="I88" s="12" t="s">
        <v>45</v>
      </c>
      <c r="J88" s="12" t="s">
        <v>47</v>
      </c>
      <c r="K88" s="12" t="s">
        <v>49</v>
      </c>
      <c r="L88" s="12" t="s">
        <v>49</v>
      </c>
      <c r="M88" s="11" t="s">
        <v>56</v>
      </c>
      <c r="N88" s="11" t="s">
        <v>152</v>
      </c>
      <c r="O88" s="11" t="s">
        <v>153</v>
      </c>
      <c r="P88" s="11" t="s">
        <v>86</v>
      </c>
      <c r="Q88" s="64" t="s">
        <v>156</v>
      </c>
      <c r="R88" s="65">
        <v>13</v>
      </c>
      <c r="S88" s="69">
        <v>12.38</v>
      </c>
      <c r="T88" s="69">
        <v>1.26</v>
      </c>
      <c r="U88" s="75">
        <v>13</v>
      </c>
      <c r="V88" s="65">
        <v>14.23</v>
      </c>
      <c r="W88" s="65">
        <v>1.0900000000000001</v>
      </c>
      <c r="X88" s="130">
        <f t="shared" si="17"/>
        <v>1.8499999999999996</v>
      </c>
      <c r="Y88" s="16">
        <f t="shared" si="20"/>
        <v>0.32843451519173622</v>
      </c>
      <c r="Z88" s="15">
        <f t="shared" si="21"/>
        <v>2.67</v>
      </c>
      <c r="AA88" s="16">
        <f t="shared" si="22"/>
        <v>2.3942363636363635</v>
      </c>
      <c r="AB88" s="16">
        <f t="shared" si="23"/>
        <v>0.63390052785251516</v>
      </c>
      <c r="AC88" s="66" t="s">
        <v>49</v>
      </c>
      <c r="AD88" s="51" t="s">
        <v>154</v>
      </c>
      <c r="AE88" s="13">
        <v>10</v>
      </c>
      <c r="AF88" s="13">
        <v>3</v>
      </c>
      <c r="AG88" s="13">
        <v>6</v>
      </c>
      <c r="AH88" s="13">
        <v>2240060</v>
      </c>
      <c r="AI88" s="13">
        <v>5.5</v>
      </c>
      <c r="AJ88" s="135">
        <f t="shared" si="18"/>
        <v>33</v>
      </c>
      <c r="AK88" s="136">
        <f t="shared" si="19"/>
        <v>99</v>
      </c>
      <c r="AL88" s="136" t="str" cm="1">
        <f t="array" ref="AL88">_xlfn.IFS(
AI88&lt;3,"Ligera",
AI88&lt;=6,"Moderada",
AI88&gt;6,"Vigorosa"
)</f>
        <v>Moderada</v>
      </c>
      <c r="AM88" s="45" t="s">
        <v>49</v>
      </c>
      <c r="AN88" s="46" t="s">
        <v>49</v>
      </c>
      <c r="AO88" s="46" t="s">
        <v>61</v>
      </c>
      <c r="AP88" s="289" t="s">
        <v>155</v>
      </c>
      <c r="AQ88" s="139">
        <v>0</v>
      </c>
    </row>
    <row r="89" spans="1:43" ht="70.5" customHeight="1" thickBot="1">
      <c r="A89" s="138" t="s">
        <v>150</v>
      </c>
      <c r="B89" s="12">
        <v>24</v>
      </c>
      <c r="C89" s="12">
        <v>84.82</v>
      </c>
      <c r="D89" s="12">
        <v>9.1</v>
      </c>
      <c r="E89" s="12" t="s">
        <v>45</v>
      </c>
      <c r="F89" s="12" t="s">
        <v>45</v>
      </c>
      <c r="G89" s="12" t="s">
        <v>46</v>
      </c>
      <c r="H89" s="12"/>
      <c r="I89" s="12" t="s">
        <v>45</v>
      </c>
      <c r="J89" s="12" t="s">
        <v>47</v>
      </c>
      <c r="K89" s="12" t="s">
        <v>49</v>
      </c>
      <c r="L89" s="12" t="s">
        <v>49</v>
      </c>
      <c r="M89" s="11" t="s">
        <v>50</v>
      </c>
      <c r="N89" s="11" t="s">
        <v>50</v>
      </c>
      <c r="O89" s="11" t="s">
        <v>50</v>
      </c>
      <c r="P89" s="11" t="s">
        <v>86</v>
      </c>
      <c r="Q89" s="64" t="s">
        <v>157</v>
      </c>
      <c r="R89" s="65">
        <v>11</v>
      </c>
      <c r="S89" s="65">
        <v>9.09</v>
      </c>
      <c r="T89" s="65">
        <v>2.02</v>
      </c>
      <c r="U89" s="75">
        <v>11</v>
      </c>
      <c r="V89" s="65">
        <v>9.09</v>
      </c>
      <c r="W89" s="65">
        <v>1.57</v>
      </c>
      <c r="X89" s="130">
        <f t="shared" si="17"/>
        <v>0</v>
      </c>
      <c r="Y89" s="16">
        <f t="shared" si="20"/>
        <v>0.55382143495731706</v>
      </c>
      <c r="Z89" s="130" t="s">
        <v>53</v>
      </c>
      <c r="AA89" s="131" t="s">
        <v>53</v>
      </c>
      <c r="AB89" s="16">
        <v>0.55382143495731706</v>
      </c>
      <c r="AC89" s="66" t="s">
        <v>49</v>
      </c>
      <c r="AD89" s="51" t="s">
        <v>151</v>
      </c>
      <c r="AE89" s="46">
        <v>10</v>
      </c>
      <c r="AF89" s="49">
        <v>0</v>
      </c>
      <c r="AG89" s="49">
        <v>0</v>
      </c>
      <c r="AH89" s="134">
        <v>0</v>
      </c>
      <c r="AI89" s="134">
        <v>0</v>
      </c>
      <c r="AJ89" s="135">
        <f t="shared" si="18"/>
        <v>0</v>
      </c>
      <c r="AK89" s="136">
        <f t="shared" si="19"/>
        <v>0</v>
      </c>
      <c r="AL89" s="136" t="str" cm="1">
        <f t="array" ref="AL89">_xlfn.IFS(
AI89&lt;3,"Ligera",
AI89&lt;=6,"Moderada",
AI89&gt;6,"Vigorosa"
)</f>
        <v>Ligera</v>
      </c>
      <c r="AM89" s="45" t="s">
        <v>49</v>
      </c>
      <c r="AN89" s="289" t="s">
        <v>49</v>
      </c>
      <c r="AO89" s="289" t="s">
        <v>49</v>
      </c>
      <c r="AP89" s="289" t="s">
        <v>49</v>
      </c>
      <c r="AQ89" s="139">
        <v>0</v>
      </c>
    </row>
    <row r="90" spans="1:43" ht="70.5" customHeight="1" thickBot="1">
      <c r="A90" s="138" t="s">
        <v>150</v>
      </c>
      <c r="B90" s="12">
        <v>24</v>
      </c>
      <c r="C90" s="12">
        <v>85.08</v>
      </c>
      <c r="D90" s="12">
        <v>15.39</v>
      </c>
      <c r="E90" s="12" t="s">
        <v>45</v>
      </c>
      <c r="F90" s="12" t="s">
        <v>45</v>
      </c>
      <c r="G90" s="12" t="s">
        <v>46</v>
      </c>
      <c r="H90" s="12"/>
      <c r="I90" s="12" t="s">
        <v>45</v>
      </c>
      <c r="J90" s="12" t="s">
        <v>47</v>
      </c>
      <c r="K90" s="12" t="s">
        <v>49</v>
      </c>
      <c r="L90" s="12" t="s">
        <v>49</v>
      </c>
      <c r="M90" s="11" t="s">
        <v>56</v>
      </c>
      <c r="N90" s="11" t="s">
        <v>152</v>
      </c>
      <c r="O90" s="11" t="s">
        <v>153</v>
      </c>
      <c r="P90" s="11" t="s">
        <v>86</v>
      </c>
      <c r="Q90" s="64" t="s">
        <v>157</v>
      </c>
      <c r="R90" s="65">
        <v>13</v>
      </c>
      <c r="S90" s="69">
        <v>10.08</v>
      </c>
      <c r="T90" s="69">
        <v>1.5</v>
      </c>
      <c r="U90" s="75">
        <v>13</v>
      </c>
      <c r="V90" s="65">
        <v>11.07</v>
      </c>
      <c r="W90" s="65">
        <v>0.86</v>
      </c>
      <c r="X90" s="130">
        <f t="shared" si="17"/>
        <v>0.99000000000000021</v>
      </c>
      <c r="Y90" s="16">
        <f t="shared" si="20"/>
        <v>0.36157773927395137</v>
      </c>
      <c r="Z90" s="15">
        <f t="shared" si="21"/>
        <v>0.99000000000000021</v>
      </c>
      <c r="AA90" s="16">
        <f t="shared" si="22"/>
        <v>1.5238272727272728</v>
      </c>
      <c r="AB90" s="16">
        <f t="shared" si="23"/>
        <v>0.5057145781798249</v>
      </c>
      <c r="AC90" s="66" t="s">
        <v>49</v>
      </c>
      <c r="AD90" s="51" t="s">
        <v>154</v>
      </c>
      <c r="AE90" s="13">
        <v>10</v>
      </c>
      <c r="AF90" s="13">
        <v>3</v>
      </c>
      <c r="AG90" s="13">
        <v>6</v>
      </c>
      <c r="AH90" s="13">
        <v>2240060</v>
      </c>
      <c r="AI90" s="13">
        <v>5.5</v>
      </c>
      <c r="AJ90" s="135">
        <f t="shared" si="18"/>
        <v>33</v>
      </c>
      <c r="AK90" s="136">
        <f t="shared" si="19"/>
        <v>99</v>
      </c>
      <c r="AL90" s="136" t="str" cm="1">
        <f t="array" ref="AL90">_xlfn.IFS(
AI90&lt;3,"Ligera",
AI90&lt;=6,"Moderada",
AI90&gt;6,"Vigorosa"
)</f>
        <v>Moderada</v>
      </c>
      <c r="AM90" s="45" t="s">
        <v>49</v>
      </c>
      <c r="AN90" s="46" t="s">
        <v>49</v>
      </c>
      <c r="AO90" s="46" t="s">
        <v>61</v>
      </c>
      <c r="AP90" s="289" t="s">
        <v>155</v>
      </c>
      <c r="AQ90" s="139">
        <v>0</v>
      </c>
    </row>
    <row r="91" spans="1:43" ht="70.5" customHeight="1" thickBot="1">
      <c r="A91" s="138" t="s">
        <v>150</v>
      </c>
      <c r="B91" s="12">
        <v>24</v>
      </c>
      <c r="C91" s="12">
        <v>84.82</v>
      </c>
      <c r="D91" s="12">
        <v>9.1</v>
      </c>
      <c r="E91" s="12" t="s">
        <v>45</v>
      </c>
      <c r="F91" s="12" t="s">
        <v>45</v>
      </c>
      <c r="G91" s="12" t="s">
        <v>46</v>
      </c>
      <c r="H91" s="12"/>
      <c r="I91" s="12" t="s">
        <v>45</v>
      </c>
      <c r="J91" s="12" t="s">
        <v>47</v>
      </c>
      <c r="K91" s="12" t="s">
        <v>49</v>
      </c>
      <c r="L91" s="12" t="s">
        <v>49</v>
      </c>
      <c r="M91" s="11" t="s">
        <v>50</v>
      </c>
      <c r="N91" s="11" t="s">
        <v>50</v>
      </c>
      <c r="O91" s="11" t="s">
        <v>50</v>
      </c>
      <c r="P91" s="11" t="s">
        <v>86</v>
      </c>
      <c r="Q91" s="64" t="s">
        <v>158</v>
      </c>
      <c r="R91" s="65">
        <v>11</v>
      </c>
      <c r="S91" s="65">
        <v>21.36</v>
      </c>
      <c r="T91" s="65">
        <v>3.59</v>
      </c>
      <c r="U91" s="75">
        <v>11</v>
      </c>
      <c r="V91" s="65">
        <v>20.54</v>
      </c>
      <c r="W91" s="65">
        <v>3.35</v>
      </c>
      <c r="X91" s="130">
        <f t="shared" si="17"/>
        <v>-0.82000000000000028</v>
      </c>
      <c r="Y91" s="16">
        <f t="shared" si="20"/>
        <v>1.0481195282287918</v>
      </c>
      <c r="Z91" s="130" t="s">
        <v>53</v>
      </c>
      <c r="AA91" s="131" t="s">
        <v>53</v>
      </c>
      <c r="AB91" s="16">
        <v>1.0481195282287918</v>
      </c>
      <c r="AC91" s="66" t="s">
        <v>49</v>
      </c>
      <c r="AD91" s="51" t="s">
        <v>151</v>
      </c>
      <c r="AE91" s="46">
        <v>10</v>
      </c>
      <c r="AF91" s="49">
        <v>0</v>
      </c>
      <c r="AG91" s="49">
        <v>0</v>
      </c>
      <c r="AH91" s="134">
        <v>0</v>
      </c>
      <c r="AI91" s="134">
        <v>0</v>
      </c>
      <c r="AJ91" s="135">
        <f t="shared" si="18"/>
        <v>0</v>
      </c>
      <c r="AK91" s="136">
        <f t="shared" si="19"/>
        <v>0</v>
      </c>
      <c r="AL91" s="136" t="str" cm="1">
        <f t="array" ref="AL91">_xlfn.IFS(
AI91&lt;3,"Ligera",
AI91&lt;=6,"Moderada",
AI91&gt;6,"Vigorosa"
)</f>
        <v>Ligera</v>
      </c>
      <c r="AM91" s="45" t="s">
        <v>49</v>
      </c>
      <c r="AN91" s="289" t="s">
        <v>49</v>
      </c>
      <c r="AO91" s="289" t="s">
        <v>49</v>
      </c>
      <c r="AP91" s="289" t="s">
        <v>49</v>
      </c>
      <c r="AQ91" s="139">
        <v>0</v>
      </c>
    </row>
    <row r="92" spans="1:43" ht="70.5" customHeight="1" thickBot="1">
      <c r="A92" s="138" t="s">
        <v>150</v>
      </c>
      <c r="B92" s="12">
        <v>24</v>
      </c>
      <c r="C92" s="12">
        <v>85.08</v>
      </c>
      <c r="D92" s="12">
        <v>15.39</v>
      </c>
      <c r="E92" s="12" t="s">
        <v>45</v>
      </c>
      <c r="F92" s="12" t="s">
        <v>45</v>
      </c>
      <c r="G92" s="12" t="s">
        <v>46</v>
      </c>
      <c r="H92" s="12"/>
      <c r="I92" s="12" t="s">
        <v>45</v>
      </c>
      <c r="J92" s="12" t="s">
        <v>47</v>
      </c>
      <c r="K92" s="12" t="s">
        <v>49</v>
      </c>
      <c r="L92" s="12" t="s">
        <v>49</v>
      </c>
      <c r="M92" s="11" t="s">
        <v>56</v>
      </c>
      <c r="N92" s="11" t="s">
        <v>152</v>
      </c>
      <c r="O92" s="11" t="s">
        <v>153</v>
      </c>
      <c r="P92" s="11" t="s">
        <v>86</v>
      </c>
      <c r="Q92" s="64" t="s">
        <v>158</v>
      </c>
      <c r="R92" s="65">
        <v>13</v>
      </c>
      <c r="S92" s="69">
        <v>22.46</v>
      </c>
      <c r="T92" s="69">
        <v>2.15</v>
      </c>
      <c r="U92" s="75">
        <v>13</v>
      </c>
      <c r="V92" s="65">
        <v>25.3</v>
      </c>
      <c r="W92" s="65">
        <v>1.65</v>
      </c>
      <c r="X92" s="130">
        <f t="shared" si="17"/>
        <v>2.84</v>
      </c>
      <c r="Y92" s="16">
        <f t="shared" si="20"/>
        <v>0.54047699730458887</v>
      </c>
      <c r="Z92" s="15">
        <f t="shared" si="21"/>
        <v>3.66</v>
      </c>
      <c r="AA92" s="16">
        <f t="shared" si="22"/>
        <v>6.5861363636363626</v>
      </c>
      <c r="AB92" s="16">
        <f t="shared" si="23"/>
        <v>1.0513636590387561</v>
      </c>
      <c r="AC92" s="66" t="s">
        <v>49</v>
      </c>
      <c r="AD92" s="51" t="s">
        <v>154</v>
      </c>
      <c r="AE92" s="13">
        <v>10</v>
      </c>
      <c r="AF92" s="13">
        <v>3</v>
      </c>
      <c r="AG92" s="13">
        <v>6</v>
      </c>
      <c r="AH92" s="13">
        <v>2240060</v>
      </c>
      <c r="AI92" s="13">
        <v>5.5</v>
      </c>
      <c r="AJ92" s="135">
        <f t="shared" si="18"/>
        <v>33</v>
      </c>
      <c r="AK92" s="136">
        <f t="shared" si="19"/>
        <v>99</v>
      </c>
      <c r="AL92" s="136" t="str" cm="1">
        <f t="array" ref="AL92">_xlfn.IFS(
AI92&lt;3,"Ligera",
AI92&lt;=6,"Moderada",
AI92&gt;6,"Vigorosa"
)</f>
        <v>Moderada</v>
      </c>
      <c r="AM92" s="45" t="s">
        <v>49</v>
      </c>
      <c r="AN92" s="46" t="s">
        <v>49</v>
      </c>
      <c r="AO92" s="46" t="s">
        <v>61</v>
      </c>
      <c r="AP92" s="289" t="s">
        <v>155</v>
      </c>
      <c r="AQ92" s="139">
        <v>0</v>
      </c>
    </row>
    <row r="93" spans="1:43" ht="70.5" customHeight="1" thickBot="1">
      <c r="A93" s="138" t="s">
        <v>150</v>
      </c>
      <c r="B93" s="12">
        <v>24</v>
      </c>
      <c r="C93" s="12">
        <v>84.82</v>
      </c>
      <c r="D93" s="12">
        <v>9.1</v>
      </c>
      <c r="E93" s="12" t="s">
        <v>45</v>
      </c>
      <c r="F93" s="12" t="s">
        <v>45</v>
      </c>
      <c r="G93" s="12" t="s">
        <v>46</v>
      </c>
      <c r="H93" s="12"/>
      <c r="I93" s="12" t="s">
        <v>45</v>
      </c>
      <c r="J93" s="12" t="s">
        <v>47</v>
      </c>
      <c r="K93" s="12" t="s">
        <v>49</v>
      </c>
      <c r="L93" s="12" t="s">
        <v>49</v>
      </c>
      <c r="M93" s="11" t="s">
        <v>50</v>
      </c>
      <c r="N93" s="11" t="s">
        <v>50</v>
      </c>
      <c r="O93" s="11" t="s">
        <v>50</v>
      </c>
      <c r="P93" s="11" t="s">
        <v>51</v>
      </c>
      <c r="Q93" s="64" t="s">
        <v>92</v>
      </c>
      <c r="R93" s="65">
        <v>11</v>
      </c>
      <c r="S93" s="65">
        <v>15</v>
      </c>
      <c r="T93" s="65">
        <v>6.35</v>
      </c>
      <c r="U93" s="75">
        <v>11</v>
      </c>
      <c r="V93" s="65">
        <v>16.95</v>
      </c>
      <c r="W93" s="65">
        <v>5.97</v>
      </c>
      <c r="X93" s="130">
        <f t="shared" si="17"/>
        <v>1.9499999999999993</v>
      </c>
      <c r="Y93" s="16">
        <f t="shared" si="20"/>
        <v>1.859958455058998</v>
      </c>
      <c r="Z93" s="130" t="s">
        <v>53</v>
      </c>
      <c r="AA93" s="131" t="s">
        <v>53</v>
      </c>
      <c r="AB93" s="16">
        <v>1.859958455058998</v>
      </c>
      <c r="AC93" s="66" t="s">
        <v>49</v>
      </c>
      <c r="AD93" s="51" t="s">
        <v>151</v>
      </c>
      <c r="AE93" s="46">
        <v>10</v>
      </c>
      <c r="AF93" s="49">
        <v>0</v>
      </c>
      <c r="AG93" s="49">
        <v>0</v>
      </c>
      <c r="AH93" s="134">
        <v>0</v>
      </c>
      <c r="AI93" s="134">
        <v>0</v>
      </c>
      <c r="AJ93" s="135">
        <f t="shared" si="18"/>
        <v>0</v>
      </c>
      <c r="AK93" s="136">
        <f t="shared" si="19"/>
        <v>0</v>
      </c>
      <c r="AL93" s="136" t="str" cm="1">
        <f t="array" ref="AL93">_xlfn.IFS(
AI93&lt;3,"Ligera",
AI93&lt;=6,"Moderada",
AI93&gt;6,"Vigorosa"
)</f>
        <v>Ligera</v>
      </c>
      <c r="AM93" s="45" t="s">
        <v>49</v>
      </c>
      <c r="AN93" s="289" t="s">
        <v>49</v>
      </c>
      <c r="AO93" s="289" t="s">
        <v>49</v>
      </c>
      <c r="AP93" s="289" t="s">
        <v>49</v>
      </c>
      <c r="AQ93" s="139">
        <v>0</v>
      </c>
    </row>
    <row r="94" spans="1:43" ht="70.5" customHeight="1" thickBot="1">
      <c r="A94" s="138" t="s">
        <v>150</v>
      </c>
      <c r="B94" s="12">
        <v>24</v>
      </c>
      <c r="C94" s="12">
        <v>85.08</v>
      </c>
      <c r="D94" s="12">
        <v>15.39</v>
      </c>
      <c r="E94" s="12" t="s">
        <v>45</v>
      </c>
      <c r="F94" s="12" t="s">
        <v>45</v>
      </c>
      <c r="G94" s="12" t="s">
        <v>46</v>
      </c>
      <c r="H94" s="12"/>
      <c r="I94" s="12" t="s">
        <v>45</v>
      </c>
      <c r="J94" s="12" t="s">
        <v>47</v>
      </c>
      <c r="K94" s="12" t="s">
        <v>49</v>
      </c>
      <c r="L94" s="12" t="s">
        <v>49</v>
      </c>
      <c r="M94" s="11" t="s">
        <v>56</v>
      </c>
      <c r="N94" s="11" t="s">
        <v>152</v>
      </c>
      <c r="O94" s="11" t="s">
        <v>153</v>
      </c>
      <c r="P94" s="11" t="s">
        <v>51</v>
      </c>
      <c r="Q94" s="64" t="s">
        <v>92</v>
      </c>
      <c r="R94" s="65">
        <v>13</v>
      </c>
      <c r="S94" s="69">
        <v>15.54</v>
      </c>
      <c r="T94" s="69">
        <v>7.13</v>
      </c>
      <c r="U94" s="75">
        <v>13</v>
      </c>
      <c r="V94" s="65">
        <v>20.5</v>
      </c>
      <c r="W94" s="65">
        <v>6.18</v>
      </c>
      <c r="X94" s="130">
        <f t="shared" si="17"/>
        <v>4.9600000000000009</v>
      </c>
      <c r="Y94" s="16">
        <f t="shared" si="20"/>
        <v>1.8598159545007096</v>
      </c>
      <c r="Z94" s="15">
        <f t="shared" si="21"/>
        <v>3.0100000000000016</v>
      </c>
      <c r="AA94" s="16">
        <f t="shared" si="22"/>
        <v>37.032627272727268</v>
      </c>
      <c r="AB94" s="16">
        <f t="shared" si="23"/>
        <v>2.4930435446863894</v>
      </c>
      <c r="AC94" s="66" t="s">
        <v>49</v>
      </c>
      <c r="AD94" s="51" t="s">
        <v>154</v>
      </c>
      <c r="AE94" s="13">
        <v>10</v>
      </c>
      <c r="AF94" s="13">
        <v>3</v>
      </c>
      <c r="AG94" s="13">
        <v>6</v>
      </c>
      <c r="AH94" s="13">
        <v>2240060</v>
      </c>
      <c r="AI94" s="13">
        <v>5.5</v>
      </c>
      <c r="AJ94" s="135">
        <f t="shared" si="18"/>
        <v>33</v>
      </c>
      <c r="AK94" s="136">
        <f t="shared" si="19"/>
        <v>99</v>
      </c>
      <c r="AL94" s="136" t="str" cm="1">
        <f t="array" ref="AL94">_xlfn.IFS(
AI94&lt;3,"Ligera",
AI94&lt;=6,"Moderada",
AI94&gt;6,"Vigorosa"
)</f>
        <v>Moderada</v>
      </c>
      <c r="AM94" s="45" t="s">
        <v>49</v>
      </c>
      <c r="AN94" s="46" t="s">
        <v>49</v>
      </c>
      <c r="AO94" s="46" t="s">
        <v>61</v>
      </c>
      <c r="AP94" s="289" t="s">
        <v>155</v>
      </c>
      <c r="AQ94" s="139">
        <v>0</v>
      </c>
    </row>
    <row r="95" spans="1:43" ht="70.5" customHeight="1" thickBot="1">
      <c r="A95" s="138" t="s">
        <v>150</v>
      </c>
      <c r="B95" s="12">
        <v>24</v>
      </c>
      <c r="C95" s="12">
        <v>84.82</v>
      </c>
      <c r="D95" s="12">
        <v>9.1</v>
      </c>
      <c r="E95" s="12" t="s">
        <v>45</v>
      </c>
      <c r="F95" s="12" t="s">
        <v>45</v>
      </c>
      <c r="G95" s="12" t="s">
        <v>46</v>
      </c>
      <c r="H95" s="12"/>
      <c r="I95" s="12" t="s">
        <v>45</v>
      </c>
      <c r="J95" s="12" t="s">
        <v>47</v>
      </c>
      <c r="K95" s="12" t="s">
        <v>49</v>
      </c>
      <c r="L95" s="12" t="s">
        <v>49</v>
      </c>
      <c r="M95" s="11" t="s">
        <v>50</v>
      </c>
      <c r="N95" s="11" t="s">
        <v>50</v>
      </c>
      <c r="O95" s="11" t="s">
        <v>50</v>
      </c>
      <c r="P95" s="11" t="s">
        <v>51</v>
      </c>
      <c r="Q95" s="64" t="s">
        <v>124</v>
      </c>
      <c r="R95" s="65">
        <v>11</v>
      </c>
      <c r="S95" s="65">
        <v>23.23</v>
      </c>
      <c r="T95" s="65">
        <v>9.25</v>
      </c>
      <c r="U95" s="75">
        <v>11</v>
      </c>
      <c r="V95" s="65">
        <v>26.27</v>
      </c>
      <c r="W95" s="65">
        <v>11.77</v>
      </c>
      <c r="X95" s="130">
        <f t="shared" si="17"/>
        <v>3.0399999999999991</v>
      </c>
      <c r="Y95" s="16">
        <f t="shared" si="20"/>
        <v>3.2364809733581148</v>
      </c>
      <c r="Z95" s="130" t="s">
        <v>53</v>
      </c>
      <c r="AA95" s="131" t="s">
        <v>53</v>
      </c>
      <c r="AB95" s="16">
        <v>3.2364809733581148</v>
      </c>
      <c r="AC95" s="66" t="s">
        <v>48</v>
      </c>
      <c r="AD95" s="51" t="s">
        <v>151</v>
      </c>
      <c r="AE95" s="46">
        <v>10</v>
      </c>
      <c r="AF95" s="49">
        <v>0</v>
      </c>
      <c r="AG95" s="49">
        <v>0</v>
      </c>
      <c r="AH95" s="134">
        <v>0</v>
      </c>
      <c r="AI95" s="134">
        <v>0</v>
      </c>
      <c r="AJ95" s="135">
        <f t="shared" si="18"/>
        <v>0</v>
      </c>
      <c r="AK95" s="136">
        <f t="shared" si="19"/>
        <v>0</v>
      </c>
      <c r="AL95" s="136" t="str" cm="1">
        <f t="array" ref="AL95">_xlfn.IFS(
AI95&lt;3,"Ligera",
AI95&lt;=6,"Moderada",
AI95&gt;6,"Vigorosa"
)</f>
        <v>Ligera</v>
      </c>
      <c r="AM95" s="45" t="s">
        <v>49</v>
      </c>
      <c r="AN95" s="289" t="s">
        <v>49</v>
      </c>
      <c r="AO95" s="289" t="s">
        <v>49</v>
      </c>
      <c r="AP95" s="289" t="s">
        <v>49</v>
      </c>
      <c r="AQ95" s="139">
        <v>0</v>
      </c>
    </row>
    <row r="96" spans="1:43" ht="70.5" customHeight="1" thickBot="1">
      <c r="A96" s="138" t="s">
        <v>150</v>
      </c>
      <c r="B96" s="12">
        <v>24</v>
      </c>
      <c r="C96" s="12">
        <v>85.08</v>
      </c>
      <c r="D96" s="12">
        <v>15.39</v>
      </c>
      <c r="E96" s="12" t="s">
        <v>45</v>
      </c>
      <c r="F96" s="12" t="s">
        <v>45</v>
      </c>
      <c r="G96" s="12" t="s">
        <v>46</v>
      </c>
      <c r="H96" s="12"/>
      <c r="I96" s="12" t="s">
        <v>45</v>
      </c>
      <c r="J96" s="12" t="s">
        <v>47</v>
      </c>
      <c r="K96" s="12" t="s">
        <v>49</v>
      </c>
      <c r="L96" s="12" t="s">
        <v>49</v>
      </c>
      <c r="M96" s="11" t="s">
        <v>56</v>
      </c>
      <c r="N96" s="11" t="s">
        <v>152</v>
      </c>
      <c r="O96" s="11" t="s">
        <v>153</v>
      </c>
      <c r="P96" s="11" t="s">
        <v>51</v>
      </c>
      <c r="Q96" s="64" t="s">
        <v>124</v>
      </c>
      <c r="R96" s="65">
        <v>13</v>
      </c>
      <c r="S96" s="69">
        <v>17.93</v>
      </c>
      <c r="T96" s="69">
        <v>6.37</v>
      </c>
      <c r="U96" s="75">
        <v>13</v>
      </c>
      <c r="V96" s="65">
        <v>19</v>
      </c>
      <c r="W96" s="65">
        <v>6.58</v>
      </c>
      <c r="X96" s="130">
        <f t="shared" si="17"/>
        <v>1.0700000000000003</v>
      </c>
      <c r="Y96" s="16">
        <f t="shared" si="20"/>
        <v>1.7965501127695569</v>
      </c>
      <c r="Z96" s="15">
        <f t="shared" si="21"/>
        <v>-1.9699999999999989</v>
      </c>
      <c r="AA96" s="16">
        <f t="shared" si="22"/>
        <v>86.585718181818166</v>
      </c>
      <c r="AB96" s="16">
        <f t="shared" si="23"/>
        <v>3.8120688327678045</v>
      </c>
      <c r="AC96" s="66" t="s">
        <v>48</v>
      </c>
      <c r="AD96" s="51" t="s">
        <v>154</v>
      </c>
      <c r="AE96" s="13">
        <v>10</v>
      </c>
      <c r="AF96" s="13">
        <v>3</v>
      </c>
      <c r="AG96" s="13">
        <v>6</v>
      </c>
      <c r="AH96" s="13">
        <v>2240060</v>
      </c>
      <c r="AI96" s="13">
        <v>5.5</v>
      </c>
      <c r="AJ96" s="135">
        <f t="shared" si="18"/>
        <v>33</v>
      </c>
      <c r="AK96" s="136">
        <f t="shared" si="19"/>
        <v>99</v>
      </c>
      <c r="AL96" s="136" t="str" cm="1">
        <f t="array" ref="AL96">_xlfn.IFS(
AI96&lt;3,"Ligera",
AI96&lt;=6,"Moderada",
AI96&gt;6,"Vigorosa"
)</f>
        <v>Moderada</v>
      </c>
      <c r="AM96" s="45" t="s">
        <v>49</v>
      </c>
      <c r="AN96" s="46" t="s">
        <v>49</v>
      </c>
      <c r="AO96" s="46" t="s">
        <v>61</v>
      </c>
      <c r="AP96" s="289" t="s">
        <v>155</v>
      </c>
      <c r="AQ96" s="139">
        <v>0</v>
      </c>
    </row>
    <row r="97" spans="1:43" ht="70.5" customHeight="1" thickBot="1">
      <c r="A97" s="138" t="s">
        <v>161</v>
      </c>
      <c r="B97" s="12">
        <v>51</v>
      </c>
      <c r="C97" s="12">
        <v>87.27</v>
      </c>
      <c r="D97" s="12">
        <v>48</v>
      </c>
      <c r="E97" s="12" t="s">
        <v>45</v>
      </c>
      <c r="F97" s="12" t="s">
        <v>45</v>
      </c>
      <c r="G97" s="12" t="s">
        <v>46</v>
      </c>
      <c r="H97" s="12"/>
      <c r="I97" s="12" t="s">
        <v>45</v>
      </c>
      <c r="J97" s="12" t="s">
        <v>47</v>
      </c>
      <c r="K97" s="12" t="s">
        <v>49</v>
      </c>
      <c r="L97" s="12" t="s">
        <v>49</v>
      </c>
      <c r="M97" s="11" t="s">
        <v>56</v>
      </c>
      <c r="N97" s="11" t="s">
        <v>162</v>
      </c>
      <c r="O97" s="11" t="s">
        <v>163</v>
      </c>
      <c r="P97" s="11" t="s">
        <v>51</v>
      </c>
      <c r="Q97" s="50" t="s">
        <v>166</v>
      </c>
      <c r="R97" s="65">
        <v>25</v>
      </c>
      <c r="S97" s="71">
        <v>61.77</v>
      </c>
      <c r="T97" s="70">
        <v>35.03</v>
      </c>
      <c r="U97" s="65">
        <v>25</v>
      </c>
      <c r="V97" s="65">
        <v>62.38</v>
      </c>
      <c r="W97" s="70">
        <v>38.54</v>
      </c>
      <c r="X97" s="130">
        <f t="shared" ref="X97:X139" si="24">V97-S97</f>
        <v>0.60999999999999943</v>
      </c>
      <c r="Y97" s="16">
        <f t="shared" ref="Y97:Y140" si="25">SQRT((T97^2+W97^2-(2*0.5*T97*W97)))/SQRT(U97)</f>
        <v>7.3820764016636939</v>
      </c>
      <c r="Z97" s="130" t="s">
        <v>53</v>
      </c>
      <c r="AA97" s="131" t="s">
        <v>53</v>
      </c>
      <c r="AB97" s="16">
        <v>7.3820764016636939</v>
      </c>
      <c r="AC97" s="66" t="s">
        <v>49</v>
      </c>
      <c r="AD97" s="51" t="s">
        <v>164</v>
      </c>
      <c r="AE97" s="13">
        <v>8</v>
      </c>
      <c r="AF97" s="45">
        <v>3</v>
      </c>
      <c r="AG97" s="13">
        <v>30</v>
      </c>
      <c r="AH97" s="134">
        <v>1715360</v>
      </c>
      <c r="AI97" s="134">
        <v>3.8</v>
      </c>
      <c r="AJ97" s="135">
        <f t="shared" ref="AJ97:AJ139" si="26">AI97*AG97</f>
        <v>114</v>
      </c>
      <c r="AK97" s="136">
        <f t="shared" ref="AK97:AK139" si="27">AJ97*AF97</f>
        <v>342</v>
      </c>
      <c r="AL97" s="136" t="str" cm="1">
        <f t="array" ref="AL97">_xlfn.IFS(
AI97&lt;3,"Ligera",
AI97&lt;=6,"Moderada",
AI97&gt;6,"Vigorosa"
)</f>
        <v>Moderada</v>
      </c>
      <c r="AM97" s="45" t="s">
        <v>49</v>
      </c>
      <c r="AN97" s="46" t="s">
        <v>49</v>
      </c>
      <c r="AO97" s="46" t="s">
        <v>49</v>
      </c>
      <c r="AP97" s="46" t="s">
        <v>49</v>
      </c>
      <c r="AQ97" s="139">
        <v>0</v>
      </c>
    </row>
    <row r="98" spans="1:43" ht="70.5" customHeight="1" thickBot="1">
      <c r="A98" s="138" t="s">
        <v>161</v>
      </c>
      <c r="B98" s="12">
        <v>51</v>
      </c>
      <c r="C98" s="12">
        <v>85.81</v>
      </c>
      <c r="D98" s="12">
        <v>54</v>
      </c>
      <c r="E98" s="12" t="s">
        <v>45</v>
      </c>
      <c r="F98" s="12" t="s">
        <v>45</v>
      </c>
      <c r="G98" s="12" t="s">
        <v>46</v>
      </c>
      <c r="H98" s="12"/>
      <c r="I98" s="12" t="s">
        <v>45</v>
      </c>
      <c r="J98" s="12" t="s">
        <v>47</v>
      </c>
      <c r="K98" s="12" t="s">
        <v>49</v>
      </c>
      <c r="L98" s="12" t="s">
        <v>49</v>
      </c>
      <c r="M98" s="11" t="s">
        <v>56</v>
      </c>
      <c r="N98" s="11" t="s">
        <v>57</v>
      </c>
      <c r="O98" s="11" t="s">
        <v>147</v>
      </c>
      <c r="P98" s="11" t="s">
        <v>51</v>
      </c>
      <c r="Q98" s="50" t="s">
        <v>166</v>
      </c>
      <c r="R98" s="65">
        <v>26</v>
      </c>
      <c r="S98" s="70">
        <v>59</v>
      </c>
      <c r="T98" s="70">
        <v>38.909999999999997</v>
      </c>
      <c r="U98" s="65">
        <v>26</v>
      </c>
      <c r="V98" s="65">
        <v>67.56</v>
      </c>
      <c r="W98" s="70">
        <v>30.54</v>
      </c>
      <c r="X98" s="130">
        <f t="shared" si="24"/>
        <v>8.5600000000000023</v>
      </c>
      <c r="Y98" s="16">
        <f t="shared" si="25"/>
        <v>6.9569232257680378</v>
      </c>
      <c r="Z98" s="15">
        <f t="shared" ref="Z98:Z140" si="28">X98-X97</f>
        <v>7.9500000000000028</v>
      </c>
      <c r="AA98" s="16">
        <f t="shared" ref="AA98:AA140" si="29">((U98-1)*W98^2+(U97-1)*W97^2)/((U98-1)+(U97-1))</f>
        <v>1203.3724163265306</v>
      </c>
      <c r="AB98" s="16">
        <f t="shared" ref="AB98:AB140" si="30">SQRT(AA98*((1/U98)+(1/U97)))</f>
        <v>9.7169157209043728</v>
      </c>
      <c r="AC98" s="66" t="s">
        <v>49</v>
      </c>
      <c r="AD98" s="51" t="s">
        <v>165</v>
      </c>
      <c r="AE98" s="13">
        <v>8</v>
      </c>
      <c r="AF98" s="45">
        <v>2</v>
      </c>
      <c r="AG98" s="13">
        <v>60</v>
      </c>
      <c r="AH98" s="13">
        <v>205460</v>
      </c>
      <c r="AI98" s="45">
        <v>4.3</v>
      </c>
      <c r="AJ98" s="135">
        <f t="shared" si="26"/>
        <v>258</v>
      </c>
      <c r="AK98" s="136">
        <f t="shared" si="27"/>
        <v>516</v>
      </c>
      <c r="AL98" s="136" t="str" cm="1">
        <f t="array" ref="AL98">_xlfn.IFS(
AI98&lt;3,"Ligera",
AI98&lt;=6,"Moderada",
AI98&gt;6,"Vigorosa"
)</f>
        <v>Moderada</v>
      </c>
      <c r="AM98" s="45" t="s">
        <v>48</v>
      </c>
      <c r="AN98" s="46" t="s">
        <v>60</v>
      </c>
      <c r="AO98" s="46" t="s">
        <v>61</v>
      </c>
      <c r="AP98" s="289" t="s">
        <v>155</v>
      </c>
      <c r="AQ98" s="139">
        <v>0</v>
      </c>
    </row>
    <row r="99" spans="1:43" ht="70.5" customHeight="1" thickBot="1">
      <c r="A99" s="138" t="s">
        <v>161</v>
      </c>
      <c r="B99" s="12">
        <v>51</v>
      </c>
      <c r="C99" s="12">
        <v>87.27</v>
      </c>
      <c r="D99" s="12">
        <v>48</v>
      </c>
      <c r="E99" s="12" t="s">
        <v>45</v>
      </c>
      <c r="F99" s="12" t="s">
        <v>45</v>
      </c>
      <c r="G99" s="12" t="s">
        <v>46</v>
      </c>
      <c r="H99" s="12"/>
      <c r="I99" s="12" t="s">
        <v>45</v>
      </c>
      <c r="J99" s="12" t="s">
        <v>47</v>
      </c>
      <c r="K99" s="12" t="s">
        <v>49</v>
      </c>
      <c r="L99" s="12" t="s">
        <v>49</v>
      </c>
      <c r="M99" s="11" t="s">
        <v>56</v>
      </c>
      <c r="N99" s="11" t="s">
        <v>162</v>
      </c>
      <c r="O99" s="11" t="s">
        <v>163</v>
      </c>
      <c r="P99" s="11" t="s">
        <v>51</v>
      </c>
      <c r="Q99" s="50" t="s">
        <v>167</v>
      </c>
      <c r="R99" s="65">
        <v>25</v>
      </c>
      <c r="S99" s="71">
        <v>1.69</v>
      </c>
      <c r="T99" s="70">
        <v>2.17</v>
      </c>
      <c r="U99" s="65">
        <v>25</v>
      </c>
      <c r="V99" s="65">
        <v>1.56</v>
      </c>
      <c r="W99" s="70">
        <v>2.04</v>
      </c>
      <c r="X99" s="130">
        <f t="shared" si="24"/>
        <v>-0.12999999999999989</v>
      </c>
      <c r="Y99" s="16">
        <f t="shared" si="25"/>
        <v>0.4216017077764273</v>
      </c>
      <c r="Z99" s="130" t="s">
        <v>53</v>
      </c>
      <c r="AA99" s="131" t="s">
        <v>53</v>
      </c>
      <c r="AB99" s="16">
        <v>0.4216017077764273</v>
      </c>
      <c r="AC99" s="66" t="s">
        <v>49</v>
      </c>
      <c r="AD99" s="51" t="s">
        <v>164</v>
      </c>
      <c r="AE99" s="13">
        <v>8</v>
      </c>
      <c r="AF99" s="45">
        <v>3</v>
      </c>
      <c r="AG99" s="13">
        <v>30</v>
      </c>
      <c r="AH99" s="134">
        <v>1715360</v>
      </c>
      <c r="AI99" s="134">
        <v>3.8</v>
      </c>
      <c r="AJ99" s="135">
        <f t="shared" si="26"/>
        <v>114</v>
      </c>
      <c r="AK99" s="136">
        <f t="shared" si="27"/>
        <v>342</v>
      </c>
      <c r="AL99" s="136" t="str" cm="1">
        <f t="array" ref="AL99">_xlfn.IFS(
AI99&lt;3,"Ligera",
AI99&lt;=6,"Moderada",
AI99&gt;6,"Vigorosa"
)</f>
        <v>Moderada</v>
      </c>
      <c r="AM99" s="45" t="s">
        <v>49</v>
      </c>
      <c r="AN99" s="46" t="s">
        <v>49</v>
      </c>
      <c r="AO99" s="46" t="s">
        <v>49</v>
      </c>
      <c r="AP99" s="46" t="s">
        <v>49</v>
      </c>
      <c r="AQ99" s="139">
        <v>0</v>
      </c>
    </row>
    <row r="100" spans="1:43" ht="70.5" customHeight="1" thickBot="1">
      <c r="A100" s="138" t="s">
        <v>161</v>
      </c>
      <c r="B100" s="12">
        <v>51</v>
      </c>
      <c r="C100" s="12">
        <v>85.81</v>
      </c>
      <c r="D100" s="12">
        <v>54</v>
      </c>
      <c r="E100" s="12" t="s">
        <v>45</v>
      </c>
      <c r="F100" s="12" t="s">
        <v>45</v>
      </c>
      <c r="G100" s="12" t="s">
        <v>46</v>
      </c>
      <c r="H100" s="12"/>
      <c r="I100" s="12" t="s">
        <v>45</v>
      </c>
      <c r="J100" s="12" t="s">
        <v>47</v>
      </c>
      <c r="K100" s="12" t="s">
        <v>49</v>
      </c>
      <c r="L100" s="12" t="s">
        <v>49</v>
      </c>
      <c r="M100" s="11" t="s">
        <v>56</v>
      </c>
      <c r="N100" s="11" t="s">
        <v>57</v>
      </c>
      <c r="O100" s="11" t="s">
        <v>147</v>
      </c>
      <c r="P100" s="11" t="s">
        <v>51</v>
      </c>
      <c r="Q100" s="50" t="s">
        <v>167</v>
      </c>
      <c r="R100" s="65">
        <v>26</v>
      </c>
      <c r="S100" s="70">
        <v>1.367</v>
      </c>
      <c r="T100" s="70">
        <v>1.7509999999999999</v>
      </c>
      <c r="U100" s="65">
        <v>26</v>
      </c>
      <c r="V100" s="65">
        <v>17.12</v>
      </c>
      <c r="W100" s="70">
        <v>5.88</v>
      </c>
      <c r="X100" s="130">
        <f t="shared" si="24"/>
        <v>15.753</v>
      </c>
      <c r="Y100" s="16">
        <f t="shared" si="25"/>
        <v>1.0255302755910458</v>
      </c>
      <c r="Z100" s="15">
        <f t="shared" si="28"/>
        <v>15.882999999999999</v>
      </c>
      <c r="AA100" s="16">
        <f t="shared" si="29"/>
        <v>19.678334693877549</v>
      </c>
      <c r="AB100" s="16">
        <f t="shared" si="30"/>
        <v>1.2425749130103585</v>
      </c>
      <c r="AC100" s="66" t="s">
        <v>49</v>
      </c>
      <c r="AD100" s="51" t="s">
        <v>165</v>
      </c>
      <c r="AE100" s="13">
        <v>8</v>
      </c>
      <c r="AF100" s="45">
        <v>2</v>
      </c>
      <c r="AG100" s="13">
        <v>60</v>
      </c>
      <c r="AH100" s="13">
        <v>205460</v>
      </c>
      <c r="AI100" s="45">
        <v>4.3</v>
      </c>
      <c r="AJ100" s="135">
        <f t="shared" si="26"/>
        <v>258</v>
      </c>
      <c r="AK100" s="136">
        <f t="shared" si="27"/>
        <v>516</v>
      </c>
      <c r="AL100" s="136" t="str" cm="1">
        <f t="array" ref="AL100">_xlfn.IFS(
AI100&lt;3,"Ligera",
AI100&lt;=6,"Moderada",
AI100&gt;6,"Vigorosa"
)</f>
        <v>Moderada</v>
      </c>
      <c r="AM100" s="45" t="s">
        <v>48</v>
      </c>
      <c r="AN100" s="46" t="s">
        <v>60</v>
      </c>
      <c r="AO100" s="46" t="s">
        <v>61</v>
      </c>
      <c r="AP100" s="289" t="s">
        <v>155</v>
      </c>
      <c r="AQ100" s="139">
        <v>0</v>
      </c>
    </row>
    <row r="101" spans="1:43" ht="70.5" customHeight="1" thickBot="1">
      <c r="A101" s="138" t="s">
        <v>161</v>
      </c>
      <c r="B101" s="12">
        <v>51</v>
      </c>
      <c r="C101" s="12">
        <v>87.27</v>
      </c>
      <c r="D101" s="12">
        <v>48</v>
      </c>
      <c r="E101" s="12" t="s">
        <v>45</v>
      </c>
      <c r="F101" s="12" t="s">
        <v>45</v>
      </c>
      <c r="G101" s="12" t="s">
        <v>46</v>
      </c>
      <c r="H101" s="12"/>
      <c r="I101" s="12" t="s">
        <v>45</v>
      </c>
      <c r="J101" s="12" t="s">
        <v>47</v>
      </c>
      <c r="K101" s="12" t="s">
        <v>49</v>
      </c>
      <c r="L101" s="12" t="s">
        <v>49</v>
      </c>
      <c r="M101" s="11" t="s">
        <v>56</v>
      </c>
      <c r="N101" s="11" t="s">
        <v>162</v>
      </c>
      <c r="O101" s="11" t="s">
        <v>163</v>
      </c>
      <c r="P101" s="11" t="s">
        <v>51</v>
      </c>
      <c r="Q101" s="50" t="s">
        <v>168</v>
      </c>
      <c r="R101" s="65">
        <v>25</v>
      </c>
      <c r="S101" s="71">
        <v>1.9</v>
      </c>
      <c r="T101" s="70">
        <v>2.41</v>
      </c>
      <c r="U101" s="65">
        <v>25</v>
      </c>
      <c r="V101" s="65">
        <v>1.59</v>
      </c>
      <c r="W101" s="70">
        <v>1.78</v>
      </c>
      <c r="X101" s="130">
        <f t="shared" si="24"/>
        <v>-0.30999999999999983</v>
      </c>
      <c r="Y101" s="16">
        <f>SQRT((T101^2+W101^2-(2*0.5*T101*W101)))/SQRT(U101)</f>
        <v>0.43297574989830556</v>
      </c>
      <c r="Z101" s="130" t="s">
        <v>53</v>
      </c>
      <c r="AA101" s="131" t="s">
        <v>53</v>
      </c>
      <c r="AB101" s="16">
        <v>0.43297574989830556</v>
      </c>
      <c r="AC101" s="66" t="s">
        <v>49</v>
      </c>
      <c r="AD101" s="51" t="s">
        <v>164</v>
      </c>
      <c r="AE101" s="13">
        <v>8</v>
      </c>
      <c r="AF101" s="45">
        <v>3</v>
      </c>
      <c r="AG101" s="13">
        <v>30</v>
      </c>
      <c r="AH101" s="134">
        <v>1715360</v>
      </c>
      <c r="AI101" s="134">
        <v>3.8</v>
      </c>
      <c r="AJ101" s="135">
        <f t="shared" si="26"/>
        <v>114</v>
      </c>
      <c r="AK101" s="136">
        <f t="shared" si="27"/>
        <v>342</v>
      </c>
      <c r="AL101" s="136" t="str" cm="1">
        <f t="array" ref="AL101">_xlfn.IFS(
AI101&lt;3,"Ligera",
AI101&lt;=6,"Moderada",
AI101&gt;6,"Vigorosa"
)</f>
        <v>Moderada</v>
      </c>
      <c r="AM101" s="45" t="s">
        <v>49</v>
      </c>
      <c r="AN101" s="46" t="s">
        <v>49</v>
      </c>
      <c r="AO101" s="46" t="s">
        <v>49</v>
      </c>
      <c r="AP101" s="46" t="s">
        <v>49</v>
      </c>
      <c r="AQ101" s="139">
        <v>0</v>
      </c>
    </row>
    <row r="102" spans="1:43" ht="70.5" customHeight="1" thickBot="1">
      <c r="A102" s="138" t="s">
        <v>161</v>
      </c>
      <c r="B102" s="12">
        <v>51</v>
      </c>
      <c r="C102" s="12">
        <v>85.81</v>
      </c>
      <c r="D102" s="12">
        <v>54</v>
      </c>
      <c r="E102" s="12" t="s">
        <v>45</v>
      </c>
      <c r="F102" s="12" t="s">
        <v>45</v>
      </c>
      <c r="G102" s="12" t="s">
        <v>46</v>
      </c>
      <c r="H102" s="12"/>
      <c r="I102" s="12" t="s">
        <v>45</v>
      </c>
      <c r="J102" s="12" t="s">
        <v>47</v>
      </c>
      <c r="K102" s="12" t="s">
        <v>49</v>
      </c>
      <c r="L102" s="12" t="s">
        <v>49</v>
      </c>
      <c r="M102" s="11" t="s">
        <v>56</v>
      </c>
      <c r="N102" s="11" t="s">
        <v>57</v>
      </c>
      <c r="O102" s="11" t="s">
        <v>147</v>
      </c>
      <c r="P102" s="11" t="s">
        <v>51</v>
      </c>
      <c r="Q102" s="50" t="s">
        <v>168</v>
      </c>
      <c r="R102" s="65">
        <v>26</v>
      </c>
      <c r="S102" s="70">
        <v>1.32</v>
      </c>
      <c r="T102" s="70">
        <v>2.0499999999999998</v>
      </c>
      <c r="U102" s="65">
        <v>26</v>
      </c>
      <c r="V102" s="65">
        <v>11.802</v>
      </c>
      <c r="W102" s="70">
        <v>3.29</v>
      </c>
      <c r="X102" s="130">
        <f t="shared" si="24"/>
        <v>10.481999999999999</v>
      </c>
      <c r="Y102" s="16">
        <f t="shared" si="25"/>
        <v>0.56439552416041328</v>
      </c>
      <c r="Z102" s="15">
        <f t="shared" si="28"/>
        <v>10.792</v>
      </c>
      <c r="AA102" s="16">
        <f t="shared" si="29"/>
        <v>7.0743693877551017</v>
      </c>
      <c r="AB102" s="16">
        <f t="shared" si="30"/>
        <v>0.74502745305691742</v>
      </c>
      <c r="AC102" s="66" t="s">
        <v>49</v>
      </c>
      <c r="AD102" s="51" t="s">
        <v>165</v>
      </c>
      <c r="AE102" s="13">
        <v>8</v>
      </c>
      <c r="AF102" s="45">
        <v>2</v>
      </c>
      <c r="AG102" s="13">
        <v>60</v>
      </c>
      <c r="AH102" s="13">
        <v>205460</v>
      </c>
      <c r="AI102" s="45">
        <v>4.3</v>
      </c>
      <c r="AJ102" s="135">
        <f t="shared" si="26"/>
        <v>258</v>
      </c>
      <c r="AK102" s="136">
        <f t="shared" si="27"/>
        <v>516</v>
      </c>
      <c r="AL102" s="136" t="str" cm="1">
        <f t="array" ref="AL102">_xlfn.IFS(
AI102&lt;3,"Ligera",
AI102&lt;=6,"Moderada",
AI102&gt;6,"Vigorosa"
)</f>
        <v>Moderada</v>
      </c>
      <c r="AM102" s="45" t="s">
        <v>48</v>
      </c>
      <c r="AN102" s="46" t="s">
        <v>60</v>
      </c>
      <c r="AO102" s="46" t="s">
        <v>61</v>
      </c>
      <c r="AP102" s="289" t="s">
        <v>155</v>
      </c>
      <c r="AQ102" s="139">
        <v>0</v>
      </c>
    </row>
    <row r="103" spans="1:43" ht="70.5" customHeight="1" thickBot="1">
      <c r="A103" s="138" t="s">
        <v>161</v>
      </c>
      <c r="B103" s="12">
        <v>51</v>
      </c>
      <c r="C103" s="12">
        <v>87.27</v>
      </c>
      <c r="D103" s="12">
        <v>48</v>
      </c>
      <c r="E103" s="12" t="s">
        <v>45</v>
      </c>
      <c r="F103" s="12" t="s">
        <v>45</v>
      </c>
      <c r="G103" s="12" t="s">
        <v>46</v>
      </c>
      <c r="H103" s="12"/>
      <c r="I103" s="12" t="s">
        <v>45</v>
      </c>
      <c r="J103" s="12" t="s">
        <v>47</v>
      </c>
      <c r="K103" s="12" t="s">
        <v>49</v>
      </c>
      <c r="L103" s="12" t="s">
        <v>49</v>
      </c>
      <c r="M103" s="11" t="s">
        <v>56</v>
      </c>
      <c r="N103" s="11" t="s">
        <v>162</v>
      </c>
      <c r="O103" s="11" t="s">
        <v>163</v>
      </c>
      <c r="P103" s="11" t="s">
        <v>51</v>
      </c>
      <c r="Q103" s="50" t="s">
        <v>124</v>
      </c>
      <c r="R103" s="65">
        <v>25</v>
      </c>
      <c r="S103" s="71">
        <v>28.17</v>
      </c>
      <c r="T103" s="70">
        <v>25.21</v>
      </c>
      <c r="U103" s="65">
        <v>25</v>
      </c>
      <c r="V103" s="65">
        <v>26.2</v>
      </c>
      <c r="W103" s="70">
        <v>42.58</v>
      </c>
      <c r="X103" s="130">
        <f t="shared" si="24"/>
        <v>-1.9700000000000024</v>
      </c>
      <c r="Y103" s="16">
        <f t="shared" si="25"/>
        <v>7.4166264568198388</v>
      </c>
      <c r="Z103" s="130" t="s">
        <v>53</v>
      </c>
      <c r="AA103" s="131" t="s">
        <v>53</v>
      </c>
      <c r="AB103" s="16">
        <v>7.4166264568198388</v>
      </c>
      <c r="AC103" s="66" t="s">
        <v>48</v>
      </c>
      <c r="AD103" s="51" t="s">
        <v>164</v>
      </c>
      <c r="AE103" s="13">
        <v>8</v>
      </c>
      <c r="AF103" s="45">
        <v>3</v>
      </c>
      <c r="AG103" s="13">
        <v>30</v>
      </c>
      <c r="AH103" s="134">
        <v>1715360</v>
      </c>
      <c r="AI103" s="134">
        <v>3.8</v>
      </c>
      <c r="AJ103" s="135">
        <f t="shared" si="26"/>
        <v>114</v>
      </c>
      <c r="AK103" s="136">
        <f t="shared" si="27"/>
        <v>342</v>
      </c>
      <c r="AL103" s="136" t="str" cm="1">
        <f t="array" ref="AL103">_xlfn.IFS(
AI103&lt;3,"Ligera",
AI103&lt;=6,"Moderada",
AI103&gt;6,"Vigorosa"
)</f>
        <v>Moderada</v>
      </c>
      <c r="AM103" s="45" t="s">
        <v>49</v>
      </c>
      <c r="AN103" s="46" t="s">
        <v>49</v>
      </c>
      <c r="AO103" s="46" t="s">
        <v>49</v>
      </c>
      <c r="AP103" s="46" t="s">
        <v>49</v>
      </c>
      <c r="AQ103" s="139">
        <v>0</v>
      </c>
    </row>
    <row r="104" spans="1:43" ht="70.5" customHeight="1" thickBot="1">
      <c r="A104" s="140" t="s">
        <v>161</v>
      </c>
      <c r="B104" s="141">
        <v>51</v>
      </c>
      <c r="C104" s="141">
        <v>85.81</v>
      </c>
      <c r="D104" s="141">
        <v>54</v>
      </c>
      <c r="E104" s="141" t="s">
        <v>45</v>
      </c>
      <c r="F104" s="141" t="s">
        <v>45</v>
      </c>
      <c r="G104" s="141" t="s">
        <v>46</v>
      </c>
      <c r="H104" s="141"/>
      <c r="I104" s="141" t="s">
        <v>45</v>
      </c>
      <c r="J104" s="141" t="s">
        <v>47</v>
      </c>
      <c r="K104" s="141" t="s">
        <v>49</v>
      </c>
      <c r="L104" s="141" t="s">
        <v>49</v>
      </c>
      <c r="M104" s="142" t="s">
        <v>56</v>
      </c>
      <c r="N104" s="142" t="s">
        <v>57</v>
      </c>
      <c r="O104" s="142" t="s">
        <v>147</v>
      </c>
      <c r="P104" s="142" t="s">
        <v>51</v>
      </c>
      <c r="Q104" s="158" t="s">
        <v>124</v>
      </c>
      <c r="R104" s="144">
        <v>26</v>
      </c>
      <c r="S104" s="162">
        <v>29.448</v>
      </c>
      <c r="T104" s="162">
        <v>25.73</v>
      </c>
      <c r="U104" s="144">
        <v>26</v>
      </c>
      <c r="V104" s="144">
        <v>18.696000000000002</v>
      </c>
      <c r="W104" s="162">
        <v>13.41</v>
      </c>
      <c r="X104" s="130">
        <f t="shared" si="24"/>
        <v>-10.751999999999999</v>
      </c>
      <c r="Y104" s="16">
        <f t="shared" si="25"/>
        <v>4.3713301091403434</v>
      </c>
      <c r="Z104" s="15">
        <f t="shared" si="28"/>
        <v>-8.7819999999999965</v>
      </c>
      <c r="AA104" s="16">
        <f t="shared" si="29"/>
        <v>979.77665510204088</v>
      </c>
      <c r="AB104" s="16">
        <f t="shared" si="30"/>
        <v>8.7678266239705209</v>
      </c>
      <c r="AC104" s="66" t="s">
        <v>48</v>
      </c>
      <c r="AD104" s="151" t="s">
        <v>165</v>
      </c>
      <c r="AE104" s="146">
        <v>8</v>
      </c>
      <c r="AF104" s="147">
        <v>2</v>
      </c>
      <c r="AG104" s="146">
        <v>60</v>
      </c>
      <c r="AH104" s="13">
        <v>205460</v>
      </c>
      <c r="AI104" s="45">
        <v>4.3</v>
      </c>
      <c r="AJ104" s="135">
        <f t="shared" si="26"/>
        <v>258</v>
      </c>
      <c r="AK104" s="136">
        <f t="shared" si="27"/>
        <v>516</v>
      </c>
      <c r="AL104" s="136" t="str" cm="1">
        <f t="array" ref="AL104">_xlfn.IFS(
AI104&lt;3,"Ligera",
AI104&lt;=6,"Moderada",
AI104&gt;6,"Vigorosa"
)</f>
        <v>Moderada</v>
      </c>
      <c r="AM104" s="147" t="s">
        <v>48</v>
      </c>
      <c r="AN104" s="148" t="s">
        <v>60</v>
      </c>
      <c r="AO104" s="148" t="s">
        <v>61</v>
      </c>
      <c r="AP104" s="290" t="s">
        <v>155</v>
      </c>
      <c r="AQ104" s="149">
        <v>0</v>
      </c>
    </row>
    <row r="105" spans="1:43" ht="70.5" customHeight="1" thickBot="1">
      <c r="A105" s="124" t="s">
        <v>169</v>
      </c>
      <c r="B105" s="125">
        <v>100</v>
      </c>
      <c r="C105" s="125">
        <v>72.87</v>
      </c>
      <c r="D105" s="125">
        <v>22.1</v>
      </c>
      <c r="E105" s="125" t="s">
        <v>45</v>
      </c>
      <c r="F105" s="125" t="s">
        <v>45</v>
      </c>
      <c r="G105" s="125" t="s">
        <v>170</v>
      </c>
      <c r="H105" s="125"/>
      <c r="I105" s="125" t="s">
        <v>47</v>
      </c>
      <c r="J105" s="125" t="s">
        <v>47</v>
      </c>
      <c r="K105" s="125" t="s">
        <v>49</v>
      </c>
      <c r="L105" s="125" t="s">
        <v>49</v>
      </c>
      <c r="M105" s="126" t="s">
        <v>56</v>
      </c>
      <c r="N105" s="126" t="s">
        <v>76</v>
      </c>
      <c r="O105" s="126" t="s">
        <v>103</v>
      </c>
      <c r="P105" s="126" t="s">
        <v>51</v>
      </c>
      <c r="Q105" s="159" t="s">
        <v>52</v>
      </c>
      <c r="R105" s="128">
        <v>41</v>
      </c>
      <c r="S105" s="152">
        <v>8.8000000000000007</v>
      </c>
      <c r="T105" s="152">
        <v>3.3</v>
      </c>
      <c r="U105" s="128">
        <v>41</v>
      </c>
      <c r="V105" s="128">
        <v>8.1</v>
      </c>
      <c r="W105" s="152">
        <v>5</v>
      </c>
      <c r="X105" s="130">
        <f t="shared" si="24"/>
        <v>-0.70000000000000107</v>
      </c>
      <c r="Y105" s="16">
        <f t="shared" si="25"/>
        <v>0.68769675676732167</v>
      </c>
      <c r="Z105" s="130" t="s">
        <v>53</v>
      </c>
      <c r="AA105" s="131" t="s">
        <v>53</v>
      </c>
      <c r="AB105" s="16">
        <v>0.68769675676732167</v>
      </c>
      <c r="AC105" s="66" t="s">
        <v>48</v>
      </c>
      <c r="AD105" s="133" t="s">
        <v>171</v>
      </c>
      <c r="AE105" s="134">
        <v>12</v>
      </c>
      <c r="AF105" s="136">
        <v>2</v>
      </c>
      <c r="AG105" s="134">
        <v>60</v>
      </c>
      <c r="AH105" s="134" t="s">
        <v>172</v>
      </c>
      <c r="AI105" s="134">
        <v>3.28</v>
      </c>
      <c r="AJ105" s="135">
        <v>223.5</v>
      </c>
      <c r="AK105" s="136">
        <f t="shared" si="27"/>
        <v>447</v>
      </c>
      <c r="AL105" s="136" t="str" cm="1">
        <f t="array" ref="AL105">_xlfn.IFS(
AI105&lt;3,"Ligera",
AI105&lt;=6,"Moderada",
AI105&gt;6,"Vigorosa"
)</f>
        <v>Moderada</v>
      </c>
      <c r="AM105" s="136" t="s">
        <v>48</v>
      </c>
      <c r="AN105" s="135" t="s">
        <v>60</v>
      </c>
      <c r="AO105" s="135" t="s">
        <v>61</v>
      </c>
      <c r="AP105" s="288" t="s">
        <v>173</v>
      </c>
      <c r="AQ105" s="137">
        <v>0</v>
      </c>
    </row>
    <row r="106" spans="1:43" ht="70.5" customHeight="1" thickBot="1">
      <c r="A106" s="138" t="s">
        <v>169</v>
      </c>
      <c r="B106" s="12">
        <v>100</v>
      </c>
      <c r="C106" s="12">
        <v>72.87</v>
      </c>
      <c r="D106" s="12">
        <v>22.1</v>
      </c>
      <c r="E106" s="12" t="s">
        <v>45</v>
      </c>
      <c r="F106" s="12" t="s">
        <v>45</v>
      </c>
      <c r="G106" s="12" t="s">
        <v>170</v>
      </c>
      <c r="H106" s="12"/>
      <c r="I106" s="12" t="s">
        <v>47</v>
      </c>
      <c r="J106" s="12" t="s">
        <v>47</v>
      </c>
      <c r="K106" s="12" t="s">
        <v>49</v>
      </c>
      <c r="L106" s="12" t="s">
        <v>49</v>
      </c>
      <c r="M106" s="11" t="s">
        <v>56</v>
      </c>
      <c r="N106" s="11" t="s">
        <v>76</v>
      </c>
      <c r="O106" s="11" t="s">
        <v>103</v>
      </c>
      <c r="P106" s="11" t="s">
        <v>51</v>
      </c>
      <c r="Q106" s="50" t="s">
        <v>52</v>
      </c>
      <c r="R106" s="65">
        <v>45</v>
      </c>
      <c r="S106" s="70">
        <v>8.1999999999999993</v>
      </c>
      <c r="T106" s="70">
        <v>3.1</v>
      </c>
      <c r="U106" s="65">
        <v>45</v>
      </c>
      <c r="V106" s="65">
        <v>6.9</v>
      </c>
      <c r="W106" s="70">
        <v>3</v>
      </c>
      <c r="X106" s="130">
        <f t="shared" si="24"/>
        <v>-1.2999999999999989</v>
      </c>
      <c r="Y106" s="16">
        <f t="shared" si="25"/>
        <v>0.45485040275775163</v>
      </c>
      <c r="Z106" s="15">
        <f t="shared" si="28"/>
        <v>-0.59999999999999787</v>
      </c>
      <c r="AA106" s="16">
        <f t="shared" si="29"/>
        <v>16.61904761904762</v>
      </c>
      <c r="AB106" s="16">
        <f t="shared" si="30"/>
        <v>0.88014475750696219</v>
      </c>
      <c r="AC106" s="66" t="s">
        <v>48</v>
      </c>
      <c r="AD106" s="51" t="s">
        <v>171</v>
      </c>
      <c r="AE106" s="13">
        <v>12</v>
      </c>
      <c r="AF106" s="45">
        <v>3</v>
      </c>
      <c r="AG106" s="13">
        <v>60</v>
      </c>
      <c r="AH106" s="134" t="s">
        <v>172</v>
      </c>
      <c r="AI106" s="134">
        <v>3.28</v>
      </c>
      <c r="AJ106" s="135">
        <v>223.5</v>
      </c>
      <c r="AK106" s="136">
        <f t="shared" si="27"/>
        <v>670.5</v>
      </c>
      <c r="AL106" s="136" t="str" cm="1">
        <f t="array" ref="AL106">_xlfn.IFS(
AI106&lt;3,"Ligera",
AI106&lt;=6,"Moderada",
AI106&gt;6,"Vigorosa"
)</f>
        <v>Moderada</v>
      </c>
      <c r="AM106" s="45" t="s">
        <v>48</v>
      </c>
      <c r="AN106" s="46" t="s">
        <v>60</v>
      </c>
      <c r="AO106" s="46" t="s">
        <v>61</v>
      </c>
      <c r="AP106" s="289" t="s">
        <v>173</v>
      </c>
      <c r="AQ106" s="139">
        <v>0</v>
      </c>
    </row>
    <row r="107" spans="1:43" ht="70.5" customHeight="1" thickBot="1">
      <c r="A107" s="138" t="s">
        <v>169</v>
      </c>
      <c r="B107" s="12">
        <v>100</v>
      </c>
      <c r="C107" s="12">
        <v>72.87</v>
      </c>
      <c r="D107" s="12">
        <v>22.1</v>
      </c>
      <c r="E107" s="12" t="s">
        <v>45</v>
      </c>
      <c r="F107" s="12" t="s">
        <v>45</v>
      </c>
      <c r="G107" s="12" t="s">
        <v>170</v>
      </c>
      <c r="H107" s="12"/>
      <c r="I107" s="12" t="s">
        <v>47</v>
      </c>
      <c r="J107" s="12" t="s">
        <v>47</v>
      </c>
      <c r="K107" s="12" t="s">
        <v>49</v>
      </c>
      <c r="L107" s="12" t="s">
        <v>49</v>
      </c>
      <c r="M107" s="11" t="s">
        <v>56</v>
      </c>
      <c r="N107" s="11" t="s">
        <v>76</v>
      </c>
      <c r="O107" s="11" t="s">
        <v>103</v>
      </c>
      <c r="P107" s="11" t="s">
        <v>51</v>
      </c>
      <c r="Q107" s="50" t="s">
        <v>82</v>
      </c>
      <c r="R107" s="65">
        <v>41</v>
      </c>
      <c r="S107" s="70">
        <v>318.7</v>
      </c>
      <c r="T107" s="70">
        <v>121.8</v>
      </c>
      <c r="U107" s="65">
        <v>41</v>
      </c>
      <c r="V107" s="65">
        <v>375.6</v>
      </c>
      <c r="W107" s="70">
        <v>108.6</v>
      </c>
      <c r="X107" s="130">
        <f t="shared" si="24"/>
        <v>56.900000000000034</v>
      </c>
      <c r="Y107" s="16">
        <f t="shared" si="25"/>
        <v>18.079580180750742</v>
      </c>
      <c r="Z107" s="130" t="s">
        <v>53</v>
      </c>
      <c r="AA107" s="131" t="s">
        <v>53</v>
      </c>
      <c r="AB107" s="16">
        <v>18.079580180750742</v>
      </c>
      <c r="AC107" s="66" t="s">
        <v>49</v>
      </c>
      <c r="AD107" s="51" t="s">
        <v>171</v>
      </c>
      <c r="AE107" s="13">
        <v>12</v>
      </c>
      <c r="AF107" s="45">
        <v>2</v>
      </c>
      <c r="AG107" s="13">
        <v>60</v>
      </c>
      <c r="AH107" s="134" t="s">
        <v>172</v>
      </c>
      <c r="AI107" s="134">
        <v>3.28</v>
      </c>
      <c r="AJ107" s="135">
        <v>223.5</v>
      </c>
      <c r="AK107" s="136">
        <f t="shared" si="27"/>
        <v>447</v>
      </c>
      <c r="AL107" s="136" t="str" cm="1">
        <f t="array" ref="AL107">_xlfn.IFS(
AI107&lt;3,"Ligera",
AI107&lt;=6,"Moderada",
AI107&gt;6,"Vigorosa"
)</f>
        <v>Moderada</v>
      </c>
      <c r="AM107" s="45" t="s">
        <v>48</v>
      </c>
      <c r="AN107" s="46" t="s">
        <v>60</v>
      </c>
      <c r="AO107" s="46" t="s">
        <v>61</v>
      </c>
      <c r="AP107" s="289" t="s">
        <v>173</v>
      </c>
      <c r="AQ107" s="139">
        <v>0</v>
      </c>
    </row>
    <row r="108" spans="1:43" ht="70.5" customHeight="1" thickBot="1">
      <c r="A108" s="138" t="s">
        <v>169</v>
      </c>
      <c r="B108" s="12">
        <v>100</v>
      </c>
      <c r="C108" s="12">
        <v>72.87</v>
      </c>
      <c r="D108" s="12">
        <v>22.1</v>
      </c>
      <c r="E108" s="12" t="s">
        <v>45</v>
      </c>
      <c r="F108" s="12" t="s">
        <v>45</v>
      </c>
      <c r="G108" s="12" t="s">
        <v>170</v>
      </c>
      <c r="H108" s="12"/>
      <c r="I108" s="12" t="s">
        <v>47</v>
      </c>
      <c r="J108" s="12" t="s">
        <v>47</v>
      </c>
      <c r="K108" s="12" t="s">
        <v>49</v>
      </c>
      <c r="L108" s="12" t="s">
        <v>49</v>
      </c>
      <c r="M108" s="11" t="s">
        <v>56</v>
      </c>
      <c r="N108" s="11" t="s">
        <v>76</v>
      </c>
      <c r="O108" s="11" t="s">
        <v>103</v>
      </c>
      <c r="P108" s="11" t="s">
        <v>51</v>
      </c>
      <c r="Q108" s="50" t="s">
        <v>82</v>
      </c>
      <c r="R108" s="65">
        <v>45</v>
      </c>
      <c r="S108" s="70">
        <v>374.9</v>
      </c>
      <c r="T108" s="70">
        <v>136.9</v>
      </c>
      <c r="U108" s="65">
        <v>45</v>
      </c>
      <c r="V108" s="65">
        <v>427.2</v>
      </c>
      <c r="W108" s="70">
        <v>106.7</v>
      </c>
      <c r="X108" s="130">
        <f t="shared" si="24"/>
        <v>52.300000000000011</v>
      </c>
      <c r="Y108" s="16">
        <f t="shared" si="25"/>
        <v>18.570747606563032</v>
      </c>
      <c r="Z108" s="15">
        <f t="shared" si="28"/>
        <v>-4.6000000000000227</v>
      </c>
      <c r="AA108" s="16">
        <f t="shared" si="29"/>
        <v>11579.685238095239</v>
      </c>
      <c r="AB108" s="16">
        <f t="shared" si="30"/>
        <v>23.232685722812036</v>
      </c>
      <c r="AC108" s="66" t="s">
        <v>49</v>
      </c>
      <c r="AD108" s="51" t="s">
        <v>171</v>
      </c>
      <c r="AE108" s="13">
        <v>12</v>
      </c>
      <c r="AF108" s="45">
        <v>3</v>
      </c>
      <c r="AG108" s="13">
        <v>60</v>
      </c>
      <c r="AH108" s="134" t="s">
        <v>172</v>
      </c>
      <c r="AI108" s="134">
        <v>3.28</v>
      </c>
      <c r="AJ108" s="135">
        <v>223.5</v>
      </c>
      <c r="AK108" s="136">
        <f t="shared" si="27"/>
        <v>670.5</v>
      </c>
      <c r="AL108" s="136" t="str" cm="1">
        <f t="array" ref="AL108">_xlfn.IFS(
AI108&lt;3,"Ligera",
AI108&lt;=6,"Moderada",
AI108&gt;6,"Vigorosa"
)</f>
        <v>Moderada</v>
      </c>
      <c r="AM108" s="45" t="s">
        <v>48</v>
      </c>
      <c r="AN108" s="46" t="s">
        <v>60</v>
      </c>
      <c r="AO108" s="46" t="s">
        <v>61</v>
      </c>
      <c r="AP108" s="289" t="s">
        <v>173</v>
      </c>
      <c r="AQ108" s="139">
        <v>0</v>
      </c>
    </row>
    <row r="109" spans="1:43" ht="70.5" customHeight="1" thickBot="1">
      <c r="A109" s="138" t="s">
        <v>169</v>
      </c>
      <c r="B109" s="12">
        <v>100</v>
      </c>
      <c r="C109" s="12">
        <v>72.87</v>
      </c>
      <c r="D109" s="12">
        <v>22.1</v>
      </c>
      <c r="E109" s="12" t="s">
        <v>45</v>
      </c>
      <c r="F109" s="12" t="s">
        <v>45</v>
      </c>
      <c r="G109" s="12" t="s">
        <v>170</v>
      </c>
      <c r="H109" s="12"/>
      <c r="I109" s="12" t="s">
        <v>47</v>
      </c>
      <c r="J109" s="12" t="s">
        <v>47</v>
      </c>
      <c r="K109" s="12" t="s">
        <v>49</v>
      </c>
      <c r="L109" s="12" t="s">
        <v>49</v>
      </c>
      <c r="M109" s="11" t="s">
        <v>56</v>
      </c>
      <c r="N109" s="11" t="s">
        <v>76</v>
      </c>
      <c r="O109" s="11" t="s">
        <v>103</v>
      </c>
      <c r="P109" s="11" t="s">
        <v>51</v>
      </c>
      <c r="Q109" s="50" t="s">
        <v>83</v>
      </c>
      <c r="R109" s="65">
        <v>41</v>
      </c>
      <c r="S109" s="70">
        <v>-15</v>
      </c>
      <c r="T109" s="70">
        <v>11.1</v>
      </c>
      <c r="U109" s="65">
        <v>41</v>
      </c>
      <c r="V109" s="65">
        <v>-4.9000000000000004</v>
      </c>
      <c r="W109" s="70">
        <v>9.4</v>
      </c>
      <c r="X109" s="130">
        <f t="shared" si="24"/>
        <v>10.1</v>
      </c>
      <c r="Y109" s="16">
        <f t="shared" si="25"/>
        <v>1.6172092794868995</v>
      </c>
      <c r="Z109" s="130" t="s">
        <v>53</v>
      </c>
      <c r="AA109" s="131" t="s">
        <v>53</v>
      </c>
      <c r="AB109" s="16">
        <v>1.6172092794868995</v>
      </c>
      <c r="AC109" s="66" t="s">
        <v>49</v>
      </c>
      <c r="AD109" s="51" t="s">
        <v>171</v>
      </c>
      <c r="AE109" s="13">
        <v>12</v>
      </c>
      <c r="AF109" s="45">
        <v>2</v>
      </c>
      <c r="AG109" s="13">
        <v>60</v>
      </c>
      <c r="AH109" s="134" t="s">
        <v>172</v>
      </c>
      <c r="AI109" s="134">
        <v>3.28</v>
      </c>
      <c r="AJ109" s="135">
        <v>223.5</v>
      </c>
      <c r="AK109" s="136">
        <f t="shared" si="27"/>
        <v>447</v>
      </c>
      <c r="AL109" s="136" t="str" cm="1">
        <f t="array" ref="AL109">_xlfn.IFS(
AI109&lt;3,"Ligera",
AI109&lt;=6,"Moderada",
AI109&gt;6,"Vigorosa"
)</f>
        <v>Moderada</v>
      </c>
      <c r="AM109" s="45" t="s">
        <v>48</v>
      </c>
      <c r="AN109" s="46" t="s">
        <v>60</v>
      </c>
      <c r="AO109" s="46" t="s">
        <v>61</v>
      </c>
      <c r="AP109" s="289" t="s">
        <v>173</v>
      </c>
      <c r="AQ109" s="139">
        <v>0</v>
      </c>
    </row>
    <row r="110" spans="1:43" ht="70.5" customHeight="1" thickBot="1">
      <c r="A110" s="138" t="s">
        <v>169</v>
      </c>
      <c r="B110" s="12">
        <v>100</v>
      </c>
      <c r="C110" s="12">
        <v>72.87</v>
      </c>
      <c r="D110" s="12">
        <v>22.1</v>
      </c>
      <c r="E110" s="12" t="s">
        <v>45</v>
      </c>
      <c r="F110" s="12" t="s">
        <v>45</v>
      </c>
      <c r="G110" s="12" t="s">
        <v>170</v>
      </c>
      <c r="H110" s="12"/>
      <c r="I110" s="12" t="s">
        <v>47</v>
      </c>
      <c r="J110" s="12" t="s">
        <v>47</v>
      </c>
      <c r="K110" s="12" t="s">
        <v>49</v>
      </c>
      <c r="L110" s="12" t="s">
        <v>49</v>
      </c>
      <c r="M110" s="11" t="s">
        <v>56</v>
      </c>
      <c r="N110" s="11" t="s">
        <v>76</v>
      </c>
      <c r="O110" s="11" t="s">
        <v>103</v>
      </c>
      <c r="P110" s="11" t="s">
        <v>51</v>
      </c>
      <c r="Q110" s="50" t="s">
        <v>83</v>
      </c>
      <c r="R110" s="65">
        <v>45</v>
      </c>
      <c r="S110" s="70">
        <v>-10.199999999999999</v>
      </c>
      <c r="T110" s="70">
        <v>12.4</v>
      </c>
      <c r="U110" s="65">
        <v>45</v>
      </c>
      <c r="V110" s="65">
        <v>-2.6</v>
      </c>
      <c r="W110" s="70">
        <v>10.199999999999999</v>
      </c>
      <c r="X110" s="130">
        <f t="shared" si="24"/>
        <v>7.6</v>
      </c>
      <c r="Y110" s="16">
        <f t="shared" si="25"/>
        <v>1.7082804869874917</v>
      </c>
      <c r="Z110" s="15">
        <f t="shared" si="28"/>
        <v>-2.5</v>
      </c>
      <c r="AA110" s="16">
        <f t="shared" si="29"/>
        <v>96.573333333333338</v>
      </c>
      <c r="AB110" s="16">
        <f t="shared" si="30"/>
        <v>2.1216788702689242</v>
      </c>
      <c r="AC110" s="66" t="s">
        <v>49</v>
      </c>
      <c r="AD110" s="51" t="s">
        <v>171</v>
      </c>
      <c r="AE110" s="13">
        <v>12</v>
      </c>
      <c r="AF110" s="45">
        <v>3</v>
      </c>
      <c r="AG110" s="13">
        <v>60</v>
      </c>
      <c r="AH110" s="134" t="s">
        <v>172</v>
      </c>
      <c r="AI110" s="134">
        <v>3.28</v>
      </c>
      <c r="AJ110" s="135">
        <v>223.5</v>
      </c>
      <c r="AK110" s="136">
        <f t="shared" si="27"/>
        <v>670.5</v>
      </c>
      <c r="AL110" s="136" t="str" cm="1">
        <f t="array" ref="AL110">_xlfn.IFS(
AI110&lt;3,"Ligera",
AI110&lt;=6,"Moderada",
AI110&gt;6,"Vigorosa"
)</f>
        <v>Moderada</v>
      </c>
      <c r="AM110" s="45" t="s">
        <v>48</v>
      </c>
      <c r="AN110" s="46" t="s">
        <v>60</v>
      </c>
      <c r="AO110" s="46" t="s">
        <v>61</v>
      </c>
      <c r="AP110" s="289" t="s">
        <v>173</v>
      </c>
      <c r="AQ110" s="139">
        <v>0</v>
      </c>
    </row>
    <row r="111" spans="1:43" ht="70.5" customHeight="1" thickBot="1">
      <c r="A111" s="138" t="s">
        <v>169</v>
      </c>
      <c r="B111" s="12">
        <v>100</v>
      </c>
      <c r="C111" s="12">
        <v>72.87</v>
      </c>
      <c r="D111" s="12">
        <v>22.1</v>
      </c>
      <c r="E111" s="12" t="s">
        <v>45</v>
      </c>
      <c r="F111" s="12" t="s">
        <v>45</v>
      </c>
      <c r="G111" s="12" t="s">
        <v>170</v>
      </c>
      <c r="H111" s="12"/>
      <c r="I111" s="12" t="s">
        <v>47</v>
      </c>
      <c r="J111" s="12" t="s">
        <v>47</v>
      </c>
      <c r="K111" s="12" t="s">
        <v>49</v>
      </c>
      <c r="L111" s="12" t="s">
        <v>49</v>
      </c>
      <c r="M111" s="11" t="s">
        <v>56</v>
      </c>
      <c r="N111" s="11" t="s">
        <v>76</v>
      </c>
      <c r="O111" s="11" t="s">
        <v>103</v>
      </c>
      <c r="P111" s="11" t="s">
        <v>51</v>
      </c>
      <c r="Q111" s="50" t="s">
        <v>64</v>
      </c>
      <c r="R111" s="65">
        <v>41</v>
      </c>
      <c r="S111" s="70">
        <v>12.1</v>
      </c>
      <c r="T111" s="70">
        <v>3.8</v>
      </c>
      <c r="U111" s="65">
        <v>41</v>
      </c>
      <c r="V111" s="65">
        <v>14.9</v>
      </c>
      <c r="W111" s="70">
        <v>4.3</v>
      </c>
      <c r="X111" s="130">
        <f t="shared" si="24"/>
        <v>2.8000000000000007</v>
      </c>
      <c r="Y111" s="16">
        <f t="shared" si="25"/>
        <v>0.63610859634300143</v>
      </c>
      <c r="Z111" s="130" t="s">
        <v>53</v>
      </c>
      <c r="AA111" s="131" t="s">
        <v>53</v>
      </c>
      <c r="AB111" s="16">
        <v>0.63610859634300143</v>
      </c>
      <c r="AC111" s="66" t="s">
        <v>49</v>
      </c>
      <c r="AD111" s="51" t="s">
        <v>171</v>
      </c>
      <c r="AE111" s="13">
        <v>12</v>
      </c>
      <c r="AF111" s="45">
        <v>2</v>
      </c>
      <c r="AG111" s="13">
        <v>60</v>
      </c>
      <c r="AH111" s="134" t="s">
        <v>172</v>
      </c>
      <c r="AI111" s="134">
        <v>3.28</v>
      </c>
      <c r="AJ111" s="135">
        <v>223.5</v>
      </c>
      <c r="AK111" s="136">
        <f t="shared" si="27"/>
        <v>447</v>
      </c>
      <c r="AL111" s="136" t="str" cm="1">
        <f t="array" ref="AL111">_xlfn.IFS(
AI111&lt;3,"Ligera",
AI111&lt;=6,"Moderada",
AI111&gt;6,"Vigorosa"
)</f>
        <v>Moderada</v>
      </c>
      <c r="AM111" s="45" t="s">
        <v>48</v>
      </c>
      <c r="AN111" s="46" t="s">
        <v>60</v>
      </c>
      <c r="AO111" s="46" t="s">
        <v>61</v>
      </c>
      <c r="AP111" s="289" t="s">
        <v>173</v>
      </c>
      <c r="AQ111" s="139">
        <v>0</v>
      </c>
    </row>
    <row r="112" spans="1:43" ht="70.5" customHeight="1" thickBot="1">
      <c r="A112" s="138" t="s">
        <v>169</v>
      </c>
      <c r="B112" s="12">
        <v>100</v>
      </c>
      <c r="C112" s="12">
        <v>72.87</v>
      </c>
      <c r="D112" s="12">
        <v>22.1</v>
      </c>
      <c r="E112" s="12" t="s">
        <v>45</v>
      </c>
      <c r="F112" s="12" t="s">
        <v>45</v>
      </c>
      <c r="G112" s="12" t="s">
        <v>170</v>
      </c>
      <c r="H112" s="12"/>
      <c r="I112" s="12" t="s">
        <v>47</v>
      </c>
      <c r="J112" s="12" t="s">
        <v>47</v>
      </c>
      <c r="K112" s="12" t="s">
        <v>49</v>
      </c>
      <c r="L112" s="12" t="s">
        <v>49</v>
      </c>
      <c r="M112" s="11" t="s">
        <v>56</v>
      </c>
      <c r="N112" s="11" t="s">
        <v>76</v>
      </c>
      <c r="O112" s="11" t="s">
        <v>103</v>
      </c>
      <c r="P112" s="11" t="s">
        <v>51</v>
      </c>
      <c r="Q112" s="50" t="s">
        <v>64</v>
      </c>
      <c r="R112" s="65">
        <v>45</v>
      </c>
      <c r="S112" s="70">
        <v>13.6</v>
      </c>
      <c r="T112" s="70">
        <v>4.5999999999999996</v>
      </c>
      <c r="U112" s="65">
        <v>45</v>
      </c>
      <c r="V112" s="65">
        <v>15.6</v>
      </c>
      <c r="W112" s="70">
        <v>4.8</v>
      </c>
      <c r="X112" s="130">
        <f t="shared" si="24"/>
        <v>2</v>
      </c>
      <c r="Y112" s="16">
        <f t="shared" si="25"/>
        <v>0.70111023067386158</v>
      </c>
      <c r="Z112" s="15">
        <f t="shared" si="28"/>
        <v>-0.80000000000000071</v>
      </c>
      <c r="AA112" s="16">
        <f t="shared" si="29"/>
        <v>20.873333333333331</v>
      </c>
      <c r="AB112" s="16">
        <f t="shared" si="30"/>
        <v>0.98638610234976554</v>
      </c>
      <c r="AC112" s="66" t="s">
        <v>49</v>
      </c>
      <c r="AD112" s="51" t="s">
        <v>171</v>
      </c>
      <c r="AE112" s="13">
        <v>12</v>
      </c>
      <c r="AF112" s="45">
        <v>3</v>
      </c>
      <c r="AG112" s="13">
        <v>60</v>
      </c>
      <c r="AH112" s="134" t="s">
        <v>172</v>
      </c>
      <c r="AI112" s="134">
        <v>3.28</v>
      </c>
      <c r="AJ112" s="135">
        <v>223.5</v>
      </c>
      <c r="AK112" s="136">
        <f t="shared" si="27"/>
        <v>670.5</v>
      </c>
      <c r="AL112" s="136" t="str" cm="1">
        <f t="array" ref="AL112">_xlfn.IFS(
AI112&lt;3,"Ligera",
AI112&lt;=6,"Moderada",
AI112&gt;6,"Vigorosa"
)</f>
        <v>Moderada</v>
      </c>
      <c r="AM112" s="45" t="s">
        <v>48</v>
      </c>
      <c r="AN112" s="46" t="s">
        <v>60</v>
      </c>
      <c r="AO112" s="46" t="s">
        <v>61</v>
      </c>
      <c r="AP112" s="289" t="s">
        <v>173</v>
      </c>
      <c r="AQ112" s="139">
        <v>0</v>
      </c>
    </row>
    <row r="113" spans="1:64" ht="70.5" customHeight="1" thickBot="1">
      <c r="A113" s="138" t="s">
        <v>169</v>
      </c>
      <c r="B113" s="12">
        <v>100</v>
      </c>
      <c r="C113" s="12">
        <v>72.87</v>
      </c>
      <c r="D113" s="12">
        <v>22.1</v>
      </c>
      <c r="E113" s="12" t="s">
        <v>45</v>
      </c>
      <c r="F113" s="12" t="s">
        <v>45</v>
      </c>
      <c r="G113" s="12" t="s">
        <v>170</v>
      </c>
      <c r="H113" s="12"/>
      <c r="I113" s="12" t="s">
        <v>47</v>
      </c>
      <c r="J113" s="12" t="s">
        <v>47</v>
      </c>
      <c r="K113" s="12" t="s">
        <v>49</v>
      </c>
      <c r="L113" s="12" t="s">
        <v>49</v>
      </c>
      <c r="M113" s="11" t="s">
        <v>56</v>
      </c>
      <c r="N113" s="11" t="s">
        <v>76</v>
      </c>
      <c r="O113" s="11" t="s">
        <v>103</v>
      </c>
      <c r="P113" s="11" t="s">
        <v>51</v>
      </c>
      <c r="Q113" s="50" t="s">
        <v>174</v>
      </c>
      <c r="R113" s="65">
        <v>41</v>
      </c>
      <c r="S113" s="70">
        <v>13</v>
      </c>
      <c r="T113" s="70">
        <v>4.3</v>
      </c>
      <c r="U113" s="65">
        <v>41</v>
      </c>
      <c r="V113" s="65">
        <v>18.899999999999999</v>
      </c>
      <c r="W113" s="70">
        <v>5.5</v>
      </c>
      <c r="X113" s="130">
        <f t="shared" si="24"/>
        <v>5.8999999999999986</v>
      </c>
      <c r="Y113" s="16">
        <f t="shared" si="25"/>
        <v>0.78227311056445947</v>
      </c>
      <c r="Z113" s="130" t="s">
        <v>53</v>
      </c>
      <c r="AA113" s="131" t="s">
        <v>53</v>
      </c>
      <c r="AB113" s="16">
        <v>0.78227311056445947</v>
      </c>
      <c r="AC113" s="66" t="s">
        <v>49</v>
      </c>
      <c r="AD113" s="51" t="s">
        <v>171</v>
      </c>
      <c r="AE113" s="13">
        <v>12</v>
      </c>
      <c r="AF113" s="45">
        <v>2</v>
      </c>
      <c r="AG113" s="13">
        <v>60</v>
      </c>
      <c r="AH113" s="134" t="s">
        <v>172</v>
      </c>
      <c r="AI113" s="134">
        <v>3.28</v>
      </c>
      <c r="AJ113" s="135">
        <v>223.5</v>
      </c>
      <c r="AK113" s="136">
        <f t="shared" si="27"/>
        <v>447</v>
      </c>
      <c r="AL113" s="136" t="str" cm="1">
        <f t="array" ref="AL113">_xlfn.IFS(
AI113&lt;3,"Ligera",
AI113&lt;=6,"Moderada",
AI113&gt;6,"Vigorosa"
)</f>
        <v>Moderada</v>
      </c>
      <c r="AM113" s="45" t="s">
        <v>48</v>
      </c>
      <c r="AN113" s="46" t="s">
        <v>60</v>
      </c>
      <c r="AO113" s="46" t="s">
        <v>61</v>
      </c>
      <c r="AP113" s="289" t="s">
        <v>173</v>
      </c>
      <c r="AQ113" s="139">
        <v>0</v>
      </c>
    </row>
    <row r="114" spans="1:64" ht="70.5" customHeight="1" thickBot="1">
      <c r="A114" s="138" t="s">
        <v>169</v>
      </c>
      <c r="B114" s="12">
        <v>100</v>
      </c>
      <c r="C114" s="12">
        <v>72.87</v>
      </c>
      <c r="D114" s="12">
        <v>22.1</v>
      </c>
      <c r="E114" s="12" t="s">
        <v>45</v>
      </c>
      <c r="F114" s="12" t="s">
        <v>45</v>
      </c>
      <c r="G114" s="12" t="s">
        <v>170</v>
      </c>
      <c r="H114" s="12"/>
      <c r="I114" s="12" t="s">
        <v>47</v>
      </c>
      <c r="J114" s="12" t="s">
        <v>47</v>
      </c>
      <c r="K114" s="12" t="s">
        <v>49</v>
      </c>
      <c r="L114" s="12" t="s">
        <v>49</v>
      </c>
      <c r="M114" s="11" t="s">
        <v>56</v>
      </c>
      <c r="N114" s="11" t="s">
        <v>76</v>
      </c>
      <c r="O114" s="11" t="s">
        <v>103</v>
      </c>
      <c r="P114" s="11" t="s">
        <v>51</v>
      </c>
      <c r="Q114" s="50" t="s">
        <v>174</v>
      </c>
      <c r="R114" s="65">
        <v>45</v>
      </c>
      <c r="S114" s="70">
        <v>13.6</v>
      </c>
      <c r="T114" s="70">
        <v>4.5</v>
      </c>
      <c r="U114" s="65">
        <v>45</v>
      </c>
      <c r="V114" s="65">
        <v>19.600000000000001</v>
      </c>
      <c r="W114" s="70">
        <v>5.0999999999999996</v>
      </c>
      <c r="X114" s="130">
        <f t="shared" si="24"/>
        <v>6.0000000000000018</v>
      </c>
      <c r="Y114" s="16">
        <f t="shared" si="25"/>
        <v>0.7197221686178632</v>
      </c>
      <c r="Z114" s="15">
        <f t="shared" si="28"/>
        <v>0.1000000000000032</v>
      </c>
      <c r="AA114" s="16">
        <f t="shared" si="29"/>
        <v>28.029047619047613</v>
      </c>
      <c r="AB114" s="16">
        <f t="shared" si="30"/>
        <v>1.1430236360851747</v>
      </c>
      <c r="AC114" s="66" t="s">
        <v>49</v>
      </c>
      <c r="AD114" s="51" t="s">
        <v>171</v>
      </c>
      <c r="AE114" s="13">
        <v>12</v>
      </c>
      <c r="AF114" s="45">
        <v>3</v>
      </c>
      <c r="AG114" s="13">
        <v>60</v>
      </c>
      <c r="AH114" s="134" t="s">
        <v>172</v>
      </c>
      <c r="AI114" s="134">
        <v>3.28</v>
      </c>
      <c r="AJ114" s="135">
        <v>223.5</v>
      </c>
      <c r="AK114" s="136">
        <f t="shared" si="27"/>
        <v>670.5</v>
      </c>
      <c r="AL114" s="136" t="str" cm="1">
        <f t="array" ref="AL114">_xlfn.IFS(
AI114&lt;3,"Ligera",
AI114&lt;=6,"Moderada",
AI114&gt;6,"Vigorosa"
)</f>
        <v>Moderada</v>
      </c>
      <c r="AM114" s="45" t="s">
        <v>48</v>
      </c>
      <c r="AN114" s="46" t="s">
        <v>60</v>
      </c>
      <c r="AO114" s="46" t="s">
        <v>61</v>
      </c>
      <c r="AP114" s="289" t="s">
        <v>173</v>
      </c>
      <c r="AQ114" s="139">
        <v>0</v>
      </c>
      <c r="AR114" s="76"/>
      <c r="AS114" s="76"/>
      <c r="AT114" s="76"/>
      <c r="AU114" s="76"/>
      <c r="AV114" s="76"/>
      <c r="AW114" s="76"/>
      <c r="AX114" s="76"/>
      <c r="AY114" s="76"/>
      <c r="AZ114" s="76"/>
      <c r="BA114" s="76"/>
      <c r="BB114" s="76"/>
      <c r="BC114" s="76"/>
      <c r="BD114" s="76"/>
      <c r="BE114" s="76"/>
      <c r="BF114" s="76"/>
      <c r="BG114" s="76"/>
      <c r="BH114" s="76"/>
      <c r="BI114" s="76"/>
      <c r="BJ114" s="76"/>
      <c r="BK114" s="76"/>
      <c r="BL114" s="76"/>
    </row>
    <row r="115" spans="1:64" ht="70.5" customHeight="1" thickBot="1">
      <c r="A115" s="138" t="s">
        <v>169</v>
      </c>
      <c r="B115" s="12">
        <v>100</v>
      </c>
      <c r="C115" s="12">
        <v>72.87</v>
      </c>
      <c r="D115" s="12">
        <v>22.1</v>
      </c>
      <c r="E115" s="12" t="s">
        <v>45</v>
      </c>
      <c r="F115" s="12" t="s">
        <v>45</v>
      </c>
      <c r="G115" s="12" t="s">
        <v>170</v>
      </c>
      <c r="H115" s="12"/>
      <c r="I115" s="12" t="s">
        <v>47</v>
      </c>
      <c r="J115" s="12" t="s">
        <v>47</v>
      </c>
      <c r="K115" s="12" t="s">
        <v>49</v>
      </c>
      <c r="L115" s="12" t="s">
        <v>49</v>
      </c>
      <c r="M115" s="11" t="s">
        <v>56</v>
      </c>
      <c r="N115" s="11" t="s">
        <v>76</v>
      </c>
      <c r="O115" s="11" t="s">
        <v>103</v>
      </c>
      <c r="P115" s="11" t="s">
        <v>51</v>
      </c>
      <c r="Q115" s="50" t="s">
        <v>175</v>
      </c>
      <c r="R115" s="65">
        <v>41</v>
      </c>
      <c r="S115" s="70">
        <v>13.9</v>
      </c>
      <c r="T115" s="70">
        <v>4.2</v>
      </c>
      <c r="U115" s="65">
        <v>41</v>
      </c>
      <c r="V115" s="65">
        <v>19.899999999999999</v>
      </c>
      <c r="W115" s="70">
        <v>5.2</v>
      </c>
      <c r="X115" s="130">
        <f t="shared" si="24"/>
        <v>5.9999999999999982</v>
      </c>
      <c r="Y115" s="16">
        <f t="shared" si="25"/>
        <v>0.74637334540543943</v>
      </c>
      <c r="Z115" s="130" t="s">
        <v>53</v>
      </c>
      <c r="AA115" s="131" t="s">
        <v>53</v>
      </c>
      <c r="AB115" s="16">
        <v>0.74637334540543943</v>
      </c>
      <c r="AC115" s="66" t="s">
        <v>49</v>
      </c>
      <c r="AD115" s="51" t="s">
        <v>171</v>
      </c>
      <c r="AE115" s="13">
        <v>12</v>
      </c>
      <c r="AF115" s="45">
        <v>2</v>
      </c>
      <c r="AG115" s="13">
        <v>60</v>
      </c>
      <c r="AH115" s="134" t="s">
        <v>172</v>
      </c>
      <c r="AI115" s="134">
        <v>3.28</v>
      </c>
      <c r="AJ115" s="135">
        <v>223.5</v>
      </c>
      <c r="AK115" s="136">
        <f t="shared" si="27"/>
        <v>447</v>
      </c>
      <c r="AL115" s="136" t="str" cm="1">
        <f t="array" ref="AL115">_xlfn.IFS(
AI115&lt;3,"Ligera",
AI115&lt;=6,"Moderada",
AI115&gt;6,"Vigorosa"
)</f>
        <v>Moderada</v>
      </c>
      <c r="AM115" s="45" t="s">
        <v>48</v>
      </c>
      <c r="AN115" s="46" t="s">
        <v>60</v>
      </c>
      <c r="AO115" s="46" t="s">
        <v>61</v>
      </c>
      <c r="AP115" s="289" t="s">
        <v>173</v>
      </c>
      <c r="AQ115" s="139">
        <v>0</v>
      </c>
      <c r="AR115" s="76"/>
      <c r="AS115" s="76"/>
      <c r="AT115" s="76"/>
      <c r="AU115" s="76"/>
      <c r="AV115" s="76"/>
      <c r="AW115" s="76"/>
      <c r="AX115" s="76"/>
      <c r="AY115" s="76"/>
      <c r="AZ115" s="76"/>
      <c r="BA115" s="76"/>
      <c r="BB115" s="76"/>
      <c r="BC115" s="76"/>
      <c r="BD115" s="76"/>
      <c r="BE115" s="76"/>
      <c r="BF115" s="76"/>
      <c r="BG115" s="76"/>
      <c r="BH115" s="76"/>
      <c r="BI115" s="76"/>
      <c r="BJ115" s="76"/>
      <c r="BK115" s="76"/>
      <c r="BL115" s="76"/>
    </row>
    <row r="116" spans="1:64" ht="70.5" customHeight="1" thickBot="1">
      <c r="A116" s="140" t="s">
        <v>169</v>
      </c>
      <c r="B116" s="141">
        <v>100</v>
      </c>
      <c r="C116" s="141">
        <v>72.87</v>
      </c>
      <c r="D116" s="141">
        <v>22.1</v>
      </c>
      <c r="E116" s="141" t="s">
        <v>45</v>
      </c>
      <c r="F116" s="141" t="s">
        <v>45</v>
      </c>
      <c r="G116" s="141" t="s">
        <v>170</v>
      </c>
      <c r="H116" s="141"/>
      <c r="I116" s="141" t="s">
        <v>47</v>
      </c>
      <c r="J116" s="141" t="s">
        <v>47</v>
      </c>
      <c r="K116" s="141" t="s">
        <v>49</v>
      </c>
      <c r="L116" s="141" t="s">
        <v>49</v>
      </c>
      <c r="M116" s="142" t="s">
        <v>56</v>
      </c>
      <c r="N116" s="142" t="s">
        <v>76</v>
      </c>
      <c r="O116" s="142" t="s">
        <v>103</v>
      </c>
      <c r="P116" s="142" t="s">
        <v>51</v>
      </c>
      <c r="Q116" s="158" t="s">
        <v>175</v>
      </c>
      <c r="R116" s="144">
        <v>45</v>
      </c>
      <c r="S116" s="162">
        <v>14.2</v>
      </c>
      <c r="T116" s="162">
        <v>4.7</v>
      </c>
      <c r="U116" s="144">
        <v>45</v>
      </c>
      <c r="V116" s="144">
        <v>20.100000000000001</v>
      </c>
      <c r="W116" s="162">
        <v>5.0999999999999996</v>
      </c>
      <c r="X116" s="130">
        <f t="shared" si="24"/>
        <v>5.9000000000000021</v>
      </c>
      <c r="Y116" s="16">
        <f t="shared" si="25"/>
        <v>0.73227195919427523</v>
      </c>
      <c r="Z116" s="15">
        <f t="shared" si="28"/>
        <v>-9.9999999999996092E-2</v>
      </c>
      <c r="AA116" s="16">
        <f t="shared" si="29"/>
        <v>26.500476190476189</v>
      </c>
      <c r="AB116" s="16">
        <f t="shared" si="30"/>
        <v>1.1114191597754481</v>
      </c>
      <c r="AC116" s="66" t="s">
        <v>49</v>
      </c>
      <c r="AD116" s="151" t="s">
        <v>171</v>
      </c>
      <c r="AE116" s="146">
        <v>12</v>
      </c>
      <c r="AF116" s="147">
        <v>3</v>
      </c>
      <c r="AG116" s="146">
        <v>60</v>
      </c>
      <c r="AH116" s="134" t="s">
        <v>172</v>
      </c>
      <c r="AI116" s="134">
        <v>3.28</v>
      </c>
      <c r="AJ116" s="135">
        <v>223.5</v>
      </c>
      <c r="AK116" s="136">
        <f t="shared" si="27"/>
        <v>670.5</v>
      </c>
      <c r="AL116" s="136" t="str" cm="1">
        <f t="array" ref="AL116">_xlfn.IFS(
AI116&lt;3,"Ligera",
AI116&lt;=6,"Moderada",
AI116&gt;6,"Vigorosa"
)</f>
        <v>Moderada</v>
      </c>
      <c r="AM116" s="147" t="s">
        <v>48</v>
      </c>
      <c r="AN116" s="148" t="s">
        <v>60</v>
      </c>
      <c r="AO116" s="148" t="s">
        <v>61</v>
      </c>
      <c r="AP116" s="290" t="s">
        <v>173</v>
      </c>
      <c r="AQ116" s="149">
        <v>0</v>
      </c>
    </row>
    <row r="117" spans="1:64" ht="70.5" customHeight="1" thickBot="1">
      <c r="A117" s="124" t="s">
        <v>176</v>
      </c>
      <c r="B117" s="12">
        <v>276</v>
      </c>
      <c r="C117" s="12">
        <v>85.32</v>
      </c>
      <c r="D117" s="12">
        <v>13.6</v>
      </c>
      <c r="E117" s="12" t="s">
        <v>45</v>
      </c>
      <c r="F117" s="12" t="s">
        <v>45</v>
      </c>
      <c r="G117" s="12" t="s">
        <v>177</v>
      </c>
      <c r="H117" s="12"/>
      <c r="I117" s="12" t="s">
        <v>45</v>
      </c>
      <c r="J117" s="12" t="s">
        <v>47</v>
      </c>
      <c r="K117" s="12" t="s">
        <v>49</v>
      </c>
      <c r="L117" s="12" t="s">
        <v>49</v>
      </c>
      <c r="M117" s="11" t="s">
        <v>50</v>
      </c>
      <c r="N117" s="11" t="s">
        <v>50</v>
      </c>
      <c r="O117" s="11" t="s">
        <v>50</v>
      </c>
      <c r="P117" s="11" t="s">
        <v>51</v>
      </c>
      <c r="Q117" s="50" t="s">
        <v>124</v>
      </c>
      <c r="R117" s="65">
        <v>85</v>
      </c>
      <c r="S117" s="70">
        <v>18.190000000000001</v>
      </c>
      <c r="T117" s="70">
        <v>10.7</v>
      </c>
      <c r="U117" s="65">
        <v>85</v>
      </c>
      <c r="V117" s="65">
        <v>18.14</v>
      </c>
      <c r="W117" s="70">
        <v>11.64</v>
      </c>
      <c r="X117" s="130">
        <f t="shared" si="24"/>
        <v>-5.0000000000000711E-2</v>
      </c>
      <c r="Y117" s="16">
        <f t="shared" si="25"/>
        <v>1.2147698886426768</v>
      </c>
      <c r="Z117" s="130" t="s">
        <v>53</v>
      </c>
      <c r="AA117" s="131" t="s">
        <v>53</v>
      </c>
      <c r="AB117" s="16">
        <v>1.2147698886426768</v>
      </c>
      <c r="AC117" s="66" t="s">
        <v>48</v>
      </c>
      <c r="AD117" s="51" t="s">
        <v>178</v>
      </c>
      <c r="AE117" s="13">
        <v>20</v>
      </c>
      <c r="AF117" s="49">
        <v>0</v>
      </c>
      <c r="AG117" s="49">
        <v>0</v>
      </c>
      <c r="AH117" s="134">
        <v>0</v>
      </c>
      <c r="AI117" s="134">
        <v>0</v>
      </c>
      <c r="AJ117" s="135">
        <f t="shared" si="26"/>
        <v>0</v>
      </c>
      <c r="AK117" s="136">
        <f t="shared" si="27"/>
        <v>0</v>
      </c>
      <c r="AL117" s="136" t="str" cm="1">
        <f t="array" ref="AL117">_xlfn.IFS(
AI117&lt;3,"Ligera",
AI117&lt;=6,"Moderada",
AI117&gt;6,"Vigorosa"
)</f>
        <v>Ligera</v>
      </c>
      <c r="AM117" s="45" t="s">
        <v>49</v>
      </c>
      <c r="AN117" s="289" t="s">
        <v>49</v>
      </c>
      <c r="AO117" s="289" t="s">
        <v>49</v>
      </c>
      <c r="AP117" s="289" t="s">
        <v>49</v>
      </c>
      <c r="AQ117" s="139">
        <v>0</v>
      </c>
    </row>
    <row r="118" spans="1:64" ht="70.5" customHeight="1" thickBot="1">
      <c r="A118" s="124" t="s">
        <v>176</v>
      </c>
      <c r="B118" s="12">
        <v>276</v>
      </c>
      <c r="C118" s="12">
        <v>83.92</v>
      </c>
      <c r="D118" s="12">
        <v>12.5</v>
      </c>
      <c r="E118" s="12" t="s">
        <v>45</v>
      </c>
      <c r="F118" s="12" t="s">
        <v>45</v>
      </c>
      <c r="G118" s="12" t="s">
        <v>177</v>
      </c>
      <c r="H118" s="12"/>
      <c r="I118" s="12" t="s">
        <v>45</v>
      </c>
      <c r="J118" s="12" t="s">
        <v>47</v>
      </c>
      <c r="K118" s="12" t="s">
        <v>49</v>
      </c>
      <c r="L118" s="12" t="s">
        <v>49</v>
      </c>
      <c r="M118" s="11" t="s">
        <v>56</v>
      </c>
      <c r="N118" s="11" t="s">
        <v>76</v>
      </c>
      <c r="O118" s="11" t="s">
        <v>103</v>
      </c>
      <c r="P118" s="11" t="s">
        <v>51</v>
      </c>
      <c r="Q118" s="50" t="s">
        <v>124</v>
      </c>
      <c r="R118" s="65">
        <v>74</v>
      </c>
      <c r="S118" s="70">
        <v>16.690000000000001</v>
      </c>
      <c r="T118" s="70">
        <v>13.3</v>
      </c>
      <c r="U118" s="65">
        <v>74</v>
      </c>
      <c r="V118" s="65">
        <v>17.89</v>
      </c>
      <c r="W118" s="70">
        <v>11.64</v>
      </c>
      <c r="X118" s="130">
        <f t="shared" si="24"/>
        <v>1.1999999999999993</v>
      </c>
      <c r="Y118" s="16">
        <f t="shared" si="25"/>
        <v>1.4592093379264994</v>
      </c>
      <c r="Z118" s="15">
        <f t="shared" si="28"/>
        <v>1.25</v>
      </c>
      <c r="AA118" s="16">
        <f t="shared" si="29"/>
        <v>135.48960000000002</v>
      </c>
      <c r="AB118" s="16">
        <f t="shared" si="30"/>
        <v>1.850658216597054</v>
      </c>
      <c r="AC118" s="66" t="s">
        <v>48</v>
      </c>
      <c r="AD118" s="51" t="s">
        <v>179</v>
      </c>
      <c r="AE118" s="13">
        <v>20</v>
      </c>
      <c r="AF118" s="13">
        <v>1</v>
      </c>
      <c r="AG118" s="13">
        <v>60</v>
      </c>
      <c r="AH118" s="13">
        <v>211360</v>
      </c>
      <c r="AI118" s="13">
        <v>3.5</v>
      </c>
      <c r="AJ118" s="135">
        <f t="shared" si="26"/>
        <v>210</v>
      </c>
      <c r="AK118" s="136">
        <f t="shared" si="27"/>
        <v>210</v>
      </c>
      <c r="AL118" s="136" t="str" cm="1">
        <f t="array" ref="AL118">_xlfn.IFS(
AI118&lt;3,"Ligera",
AI118&lt;=6,"Moderada",
AI118&gt;6,"Vigorosa"
)</f>
        <v>Moderada</v>
      </c>
      <c r="AM118" s="45" t="s">
        <v>49</v>
      </c>
      <c r="AN118" s="46" t="s">
        <v>49</v>
      </c>
      <c r="AO118" s="46" t="s">
        <v>61</v>
      </c>
      <c r="AP118" s="289" t="s">
        <v>128</v>
      </c>
      <c r="AQ118" s="139">
        <v>0</v>
      </c>
    </row>
    <row r="119" spans="1:64" ht="70.5" customHeight="1" thickBot="1">
      <c r="A119" s="124" t="s">
        <v>176</v>
      </c>
      <c r="B119" s="12">
        <v>276</v>
      </c>
      <c r="C119" s="12">
        <v>85.32</v>
      </c>
      <c r="D119" s="12">
        <v>13.6</v>
      </c>
      <c r="E119" s="12" t="s">
        <v>45</v>
      </c>
      <c r="F119" s="12" t="s">
        <v>45</v>
      </c>
      <c r="G119" s="12" t="s">
        <v>177</v>
      </c>
      <c r="H119" s="12"/>
      <c r="I119" s="12" t="s">
        <v>45</v>
      </c>
      <c r="J119" s="12" t="s">
        <v>47</v>
      </c>
      <c r="K119" s="12" t="s">
        <v>49</v>
      </c>
      <c r="L119" s="12" t="s">
        <v>49</v>
      </c>
      <c r="M119" s="11" t="s">
        <v>50</v>
      </c>
      <c r="N119" s="11" t="s">
        <v>50</v>
      </c>
      <c r="O119" s="11" t="s">
        <v>50</v>
      </c>
      <c r="P119" s="11" t="s">
        <v>51</v>
      </c>
      <c r="Q119" s="50" t="s">
        <v>83</v>
      </c>
      <c r="R119" s="65">
        <v>94</v>
      </c>
      <c r="S119" s="70">
        <v>-12.28</v>
      </c>
      <c r="T119" s="70">
        <v>12.07</v>
      </c>
      <c r="U119" s="65">
        <v>94</v>
      </c>
      <c r="V119" s="65">
        <v>-11.94</v>
      </c>
      <c r="W119" s="70">
        <v>13</v>
      </c>
      <c r="X119" s="130">
        <f t="shared" si="24"/>
        <v>0.33999999999999986</v>
      </c>
      <c r="Y119" s="16">
        <f t="shared" si="25"/>
        <v>1.295552539644272</v>
      </c>
      <c r="Z119" s="130" t="s">
        <v>53</v>
      </c>
      <c r="AA119" s="131" t="s">
        <v>53</v>
      </c>
      <c r="AB119" s="16">
        <v>1.295552539644272</v>
      </c>
      <c r="AC119" s="66" t="s">
        <v>49</v>
      </c>
      <c r="AD119" s="51" t="s">
        <v>178</v>
      </c>
      <c r="AE119" s="13">
        <v>20</v>
      </c>
      <c r="AF119" s="49">
        <v>0</v>
      </c>
      <c r="AG119" s="49">
        <v>0</v>
      </c>
      <c r="AH119" s="134">
        <v>0</v>
      </c>
      <c r="AI119" s="134">
        <v>0</v>
      </c>
      <c r="AJ119" s="135">
        <f t="shared" si="26"/>
        <v>0</v>
      </c>
      <c r="AK119" s="136">
        <f t="shared" si="27"/>
        <v>0</v>
      </c>
      <c r="AL119" s="136" t="str" cm="1">
        <f t="array" ref="AL119">_xlfn.IFS(
AI119&lt;3,"Ligera",
AI119&lt;=6,"Moderada",
AI119&gt;6,"Vigorosa"
)</f>
        <v>Ligera</v>
      </c>
      <c r="AM119" s="45" t="s">
        <v>49</v>
      </c>
      <c r="AN119" s="289" t="s">
        <v>49</v>
      </c>
      <c r="AO119" s="289" t="s">
        <v>49</v>
      </c>
      <c r="AP119" s="289" t="s">
        <v>49</v>
      </c>
      <c r="AQ119" s="139">
        <v>0</v>
      </c>
    </row>
    <row r="120" spans="1:64" ht="70.5" customHeight="1" thickBot="1">
      <c r="A120" s="124" t="s">
        <v>176</v>
      </c>
      <c r="B120" s="12">
        <v>276</v>
      </c>
      <c r="C120" s="12">
        <v>83.92</v>
      </c>
      <c r="D120" s="12">
        <v>12.5</v>
      </c>
      <c r="E120" s="12" t="s">
        <v>45</v>
      </c>
      <c r="F120" s="12" t="s">
        <v>45</v>
      </c>
      <c r="G120" s="12" t="s">
        <v>177</v>
      </c>
      <c r="H120" s="12"/>
      <c r="I120" s="12" t="s">
        <v>45</v>
      </c>
      <c r="J120" s="12" t="s">
        <v>47</v>
      </c>
      <c r="K120" s="12" t="s">
        <v>49</v>
      </c>
      <c r="L120" s="12" t="s">
        <v>49</v>
      </c>
      <c r="M120" s="11" t="s">
        <v>56</v>
      </c>
      <c r="N120" s="11" t="s">
        <v>76</v>
      </c>
      <c r="O120" s="11" t="s">
        <v>103</v>
      </c>
      <c r="P120" s="11" t="s">
        <v>51</v>
      </c>
      <c r="Q120" s="50" t="s">
        <v>83</v>
      </c>
      <c r="R120" s="65">
        <v>93</v>
      </c>
      <c r="S120" s="70">
        <v>-12.15</v>
      </c>
      <c r="T120" s="70">
        <v>12.28</v>
      </c>
      <c r="U120" s="65">
        <v>93</v>
      </c>
      <c r="V120" s="65">
        <v>-14.45</v>
      </c>
      <c r="W120" s="70">
        <v>13.72</v>
      </c>
      <c r="X120" s="130">
        <f t="shared" si="24"/>
        <v>-2.2999999999999989</v>
      </c>
      <c r="Y120" s="16">
        <f t="shared" si="25"/>
        <v>1.3542255653030739</v>
      </c>
      <c r="Z120" s="15">
        <f t="shared" si="28"/>
        <v>-2.6399999999999988</v>
      </c>
      <c r="AA120" s="16">
        <f t="shared" si="29"/>
        <v>178.56720432432434</v>
      </c>
      <c r="AB120" s="16">
        <f t="shared" si="30"/>
        <v>1.9544125909557037</v>
      </c>
      <c r="AC120" s="66" t="s">
        <v>49</v>
      </c>
      <c r="AD120" s="51" t="s">
        <v>179</v>
      </c>
      <c r="AE120" s="13">
        <v>20</v>
      </c>
      <c r="AF120" s="13">
        <v>1</v>
      </c>
      <c r="AG120" s="13">
        <v>60</v>
      </c>
      <c r="AH120" s="13">
        <v>211360</v>
      </c>
      <c r="AI120" s="13">
        <v>3.5</v>
      </c>
      <c r="AJ120" s="135">
        <f t="shared" si="26"/>
        <v>210</v>
      </c>
      <c r="AK120" s="136">
        <f t="shared" si="27"/>
        <v>210</v>
      </c>
      <c r="AL120" s="136" t="str" cm="1">
        <f t="array" ref="AL120">_xlfn.IFS(
AI120&lt;3,"Ligera",
AI120&lt;=6,"Moderada",
AI120&gt;6,"Vigorosa"
)</f>
        <v>Moderada</v>
      </c>
      <c r="AM120" s="45" t="s">
        <v>49</v>
      </c>
      <c r="AN120" s="46" t="s">
        <v>49</v>
      </c>
      <c r="AO120" s="46" t="s">
        <v>61</v>
      </c>
      <c r="AP120" s="289" t="s">
        <v>128</v>
      </c>
      <c r="AQ120" s="139">
        <v>0</v>
      </c>
    </row>
    <row r="121" spans="1:64" ht="70.5" customHeight="1" thickBot="1">
      <c r="A121" s="124" t="s">
        <v>176</v>
      </c>
      <c r="B121" s="12">
        <v>276</v>
      </c>
      <c r="C121" s="12">
        <v>85.32</v>
      </c>
      <c r="D121" s="12">
        <v>13.6</v>
      </c>
      <c r="E121" s="12" t="s">
        <v>45</v>
      </c>
      <c r="F121" s="12" t="s">
        <v>45</v>
      </c>
      <c r="G121" s="12" t="s">
        <v>177</v>
      </c>
      <c r="H121" s="12"/>
      <c r="I121" s="12" t="s">
        <v>45</v>
      </c>
      <c r="J121" s="12" t="s">
        <v>47</v>
      </c>
      <c r="K121" s="12" t="s">
        <v>49</v>
      </c>
      <c r="L121" s="12" t="s">
        <v>49</v>
      </c>
      <c r="M121" s="11" t="s">
        <v>50</v>
      </c>
      <c r="N121" s="11" t="s">
        <v>50</v>
      </c>
      <c r="O121" s="11" t="s">
        <v>50</v>
      </c>
      <c r="P121" s="11" t="s">
        <v>94</v>
      </c>
      <c r="Q121" s="50" t="s">
        <v>181</v>
      </c>
      <c r="R121" s="65">
        <v>114</v>
      </c>
      <c r="S121" s="70">
        <v>14.15</v>
      </c>
      <c r="T121" s="70">
        <v>2.1800000000000002</v>
      </c>
      <c r="U121" s="65">
        <v>114</v>
      </c>
      <c r="V121" s="65">
        <v>14.08</v>
      </c>
      <c r="W121" s="70">
        <v>2.48</v>
      </c>
      <c r="X121" s="130">
        <f t="shared" si="24"/>
        <v>-7.0000000000000284E-2</v>
      </c>
      <c r="Y121" s="16">
        <f t="shared" si="25"/>
        <v>0.21957694571088129</v>
      </c>
      <c r="Z121" s="130" t="s">
        <v>53</v>
      </c>
      <c r="AA121" s="131" t="s">
        <v>53</v>
      </c>
      <c r="AB121" s="16">
        <v>0.21957694571088129</v>
      </c>
      <c r="AC121" s="66" t="s">
        <v>49</v>
      </c>
      <c r="AD121" s="51" t="s">
        <v>178</v>
      </c>
      <c r="AE121" s="13">
        <v>20</v>
      </c>
      <c r="AF121" s="49">
        <v>0</v>
      </c>
      <c r="AG121" s="49">
        <v>0</v>
      </c>
      <c r="AH121" s="134">
        <v>0</v>
      </c>
      <c r="AI121" s="134">
        <v>0</v>
      </c>
      <c r="AJ121" s="135">
        <f t="shared" si="26"/>
        <v>0</v>
      </c>
      <c r="AK121" s="136">
        <f t="shared" si="27"/>
        <v>0</v>
      </c>
      <c r="AL121" s="136" t="str" cm="1">
        <f t="array" ref="AL121">_xlfn.IFS(
AI121&lt;3,"Ligera",
AI121&lt;=6,"Moderada",
AI121&gt;6,"Vigorosa"
)</f>
        <v>Ligera</v>
      </c>
      <c r="AM121" s="45" t="s">
        <v>49</v>
      </c>
      <c r="AN121" s="289" t="s">
        <v>49</v>
      </c>
      <c r="AO121" s="289" t="s">
        <v>49</v>
      </c>
      <c r="AP121" s="289" t="s">
        <v>49</v>
      </c>
      <c r="AQ121" s="139">
        <v>0</v>
      </c>
    </row>
    <row r="122" spans="1:64" ht="70.5" customHeight="1" thickBot="1">
      <c r="A122" s="124" t="s">
        <v>176</v>
      </c>
      <c r="B122" s="141">
        <v>276</v>
      </c>
      <c r="C122" s="141">
        <v>83.92</v>
      </c>
      <c r="D122" s="141">
        <v>12.5</v>
      </c>
      <c r="E122" s="141" t="s">
        <v>45</v>
      </c>
      <c r="F122" s="141" t="s">
        <v>45</v>
      </c>
      <c r="G122" s="141" t="s">
        <v>177</v>
      </c>
      <c r="H122" s="141"/>
      <c r="I122" s="141" t="s">
        <v>45</v>
      </c>
      <c r="J122" s="141" t="s">
        <v>47</v>
      </c>
      <c r="K122" s="141" t="s">
        <v>49</v>
      </c>
      <c r="L122" s="141" t="s">
        <v>49</v>
      </c>
      <c r="M122" s="142" t="s">
        <v>56</v>
      </c>
      <c r="N122" s="142" t="s">
        <v>76</v>
      </c>
      <c r="O122" s="142" t="s">
        <v>103</v>
      </c>
      <c r="P122" s="142" t="s">
        <v>94</v>
      </c>
      <c r="Q122" s="158" t="s">
        <v>181</v>
      </c>
      <c r="R122" s="144">
        <v>104</v>
      </c>
      <c r="S122" s="162">
        <v>14.15</v>
      </c>
      <c r="T122" s="162">
        <v>1.73</v>
      </c>
      <c r="U122" s="144">
        <v>104</v>
      </c>
      <c r="V122" s="144">
        <v>14.08</v>
      </c>
      <c r="W122" s="162">
        <v>2.19</v>
      </c>
      <c r="X122" s="130">
        <f t="shared" si="24"/>
        <v>-7.0000000000000284E-2</v>
      </c>
      <c r="Y122" s="16">
        <f t="shared" si="25"/>
        <v>0.19612348935536272</v>
      </c>
      <c r="Z122" s="15">
        <f t="shared" si="28"/>
        <v>0</v>
      </c>
      <c r="AA122" s="16">
        <f t="shared" si="29"/>
        <v>5.5045995370370369</v>
      </c>
      <c r="AB122" s="16">
        <f t="shared" si="30"/>
        <v>0.31814273927512676</v>
      </c>
      <c r="AC122" s="66" t="s">
        <v>49</v>
      </c>
      <c r="AD122" s="151" t="s">
        <v>179</v>
      </c>
      <c r="AE122" s="146">
        <v>20</v>
      </c>
      <c r="AF122" s="146">
        <v>1</v>
      </c>
      <c r="AG122" s="146">
        <v>60</v>
      </c>
      <c r="AH122" s="13">
        <v>211360</v>
      </c>
      <c r="AI122" s="13">
        <v>3.5</v>
      </c>
      <c r="AJ122" s="135">
        <f t="shared" si="26"/>
        <v>210</v>
      </c>
      <c r="AK122" s="136">
        <f t="shared" si="27"/>
        <v>210</v>
      </c>
      <c r="AL122" s="136" t="str" cm="1">
        <f t="array" ref="AL122">_xlfn.IFS(
AI122&lt;3,"Ligera",
AI122&lt;=6,"Moderada",
AI122&gt;6,"Vigorosa"
)</f>
        <v>Moderada</v>
      </c>
      <c r="AM122" s="147" t="s">
        <v>49</v>
      </c>
      <c r="AN122" s="148" t="s">
        <v>49</v>
      </c>
      <c r="AO122" s="148" t="s">
        <v>61</v>
      </c>
      <c r="AP122" s="290" t="s">
        <v>128</v>
      </c>
      <c r="AQ122" s="149">
        <v>0</v>
      </c>
    </row>
    <row r="123" spans="1:64" ht="70.5" customHeight="1" thickBot="1">
      <c r="A123" s="138" t="s">
        <v>182</v>
      </c>
      <c r="B123" s="12">
        <v>52</v>
      </c>
      <c r="C123" s="12">
        <v>80.12</v>
      </c>
      <c r="D123" s="12">
        <v>38</v>
      </c>
      <c r="E123" s="12" t="s">
        <v>97</v>
      </c>
      <c r="F123" s="12" t="s">
        <v>97</v>
      </c>
      <c r="G123" s="12" t="s">
        <v>183</v>
      </c>
      <c r="H123" s="12"/>
      <c r="I123" s="12" t="s">
        <v>145</v>
      </c>
      <c r="J123" s="12" t="s">
        <v>47</v>
      </c>
      <c r="K123" s="12" t="s">
        <v>49</v>
      </c>
      <c r="L123" s="12" t="s">
        <v>49</v>
      </c>
      <c r="M123" s="11" t="s">
        <v>50</v>
      </c>
      <c r="N123" s="11" t="s">
        <v>50</v>
      </c>
      <c r="O123" s="11" t="s">
        <v>50</v>
      </c>
      <c r="P123" s="11" t="s">
        <v>51</v>
      </c>
      <c r="Q123" s="50" t="s">
        <v>188</v>
      </c>
      <c r="R123" s="65">
        <v>15</v>
      </c>
      <c r="S123" s="70">
        <v>22.73</v>
      </c>
      <c r="T123" s="71">
        <v>9.58</v>
      </c>
      <c r="U123" s="70">
        <v>15</v>
      </c>
      <c r="V123" s="65">
        <v>14.8</v>
      </c>
      <c r="W123" s="70">
        <v>10.94</v>
      </c>
      <c r="X123" s="130">
        <f t="shared" si="24"/>
        <v>-7.93</v>
      </c>
      <c r="Y123" s="16">
        <f t="shared" si="25"/>
        <v>2.6665183292075825</v>
      </c>
      <c r="Z123" s="130" t="s">
        <v>53</v>
      </c>
      <c r="AA123" s="131" t="s">
        <v>53</v>
      </c>
      <c r="AB123" s="16">
        <v>2.6665183292075825</v>
      </c>
      <c r="AC123" s="66" t="s">
        <v>49</v>
      </c>
      <c r="AD123" s="51" t="s">
        <v>184</v>
      </c>
      <c r="AE123" s="13">
        <v>16</v>
      </c>
      <c r="AF123" s="49">
        <v>0</v>
      </c>
      <c r="AG123" s="49">
        <v>0</v>
      </c>
      <c r="AH123" s="134">
        <v>0</v>
      </c>
      <c r="AI123" s="134">
        <v>0</v>
      </c>
      <c r="AJ123" s="135">
        <f t="shared" si="26"/>
        <v>0</v>
      </c>
      <c r="AK123" s="136">
        <f t="shared" si="27"/>
        <v>0</v>
      </c>
      <c r="AL123" s="136" t="str" cm="1">
        <f t="array" ref="AL123">_xlfn.IFS(
AI123&lt;3,"Ligera",
AI123&lt;=6,"Moderada",
AI123&gt;6,"Vigorosa"
)</f>
        <v>Ligera</v>
      </c>
      <c r="AM123" s="45" t="s">
        <v>49</v>
      </c>
      <c r="AN123" s="289" t="s">
        <v>49</v>
      </c>
      <c r="AO123" s="289" t="s">
        <v>49</v>
      </c>
      <c r="AP123" s="289" t="s">
        <v>49</v>
      </c>
      <c r="AQ123" s="139">
        <v>0</v>
      </c>
    </row>
    <row r="124" spans="1:64" ht="70.5" customHeight="1" thickBot="1">
      <c r="A124" s="138" t="s">
        <v>182</v>
      </c>
      <c r="B124" s="12">
        <v>52</v>
      </c>
      <c r="C124" s="12">
        <v>82.69</v>
      </c>
      <c r="D124" s="12">
        <v>35</v>
      </c>
      <c r="E124" s="12" t="s">
        <v>97</v>
      </c>
      <c r="F124" s="12" t="s">
        <v>97</v>
      </c>
      <c r="G124" s="12" t="s">
        <v>183</v>
      </c>
      <c r="H124" s="12"/>
      <c r="I124" s="12" t="s">
        <v>145</v>
      </c>
      <c r="J124" s="12" t="s">
        <v>47</v>
      </c>
      <c r="K124" s="12" t="s">
        <v>49</v>
      </c>
      <c r="L124" s="12" t="s">
        <v>49</v>
      </c>
      <c r="M124" s="11" t="s">
        <v>56</v>
      </c>
      <c r="N124" s="11" t="s">
        <v>76</v>
      </c>
      <c r="O124" s="11" t="s">
        <v>185</v>
      </c>
      <c r="P124" s="11" t="s">
        <v>51</v>
      </c>
      <c r="Q124" s="50" t="s">
        <v>188</v>
      </c>
      <c r="R124" s="65">
        <v>17</v>
      </c>
      <c r="S124" s="70">
        <v>20.82</v>
      </c>
      <c r="T124" s="71">
        <v>9.89</v>
      </c>
      <c r="U124" s="70">
        <v>17</v>
      </c>
      <c r="V124" s="65">
        <v>25.71</v>
      </c>
      <c r="W124" s="70">
        <v>10.81</v>
      </c>
      <c r="X124" s="130">
        <f t="shared" si="24"/>
        <v>4.8900000000000006</v>
      </c>
      <c r="Y124" s="16">
        <f t="shared" si="25"/>
        <v>2.5176704919195347</v>
      </c>
      <c r="Z124" s="15">
        <f t="shared" si="28"/>
        <v>12.82</v>
      </c>
      <c r="AA124" s="16">
        <f t="shared" si="29"/>
        <v>118.1756</v>
      </c>
      <c r="AB124" s="16">
        <f t="shared" si="30"/>
        <v>3.8509582204545239</v>
      </c>
      <c r="AC124" s="66" t="s">
        <v>49</v>
      </c>
      <c r="AD124" s="51" t="s">
        <v>186</v>
      </c>
      <c r="AE124" s="13">
        <v>16</v>
      </c>
      <c r="AF124" s="13">
        <v>2</v>
      </c>
      <c r="AG124" s="13">
        <v>60</v>
      </c>
      <c r="AH124" s="13" t="s">
        <v>187</v>
      </c>
      <c r="AI124" s="13">
        <v>2.96</v>
      </c>
      <c r="AJ124" s="13">
        <v>178</v>
      </c>
      <c r="AK124" s="136">
        <f t="shared" si="27"/>
        <v>356</v>
      </c>
      <c r="AL124" s="136" t="str" cm="1">
        <f t="array" ref="AL124">_xlfn.IFS(
AI124&lt;3,"Ligera",
AI124&lt;=6,"Moderada",
AI124&gt;6,"Vigorosa"
)</f>
        <v>Ligera</v>
      </c>
      <c r="AM124" s="45" t="s">
        <v>48</v>
      </c>
      <c r="AN124" s="46" t="s">
        <v>60</v>
      </c>
      <c r="AO124" s="46" t="s">
        <v>61</v>
      </c>
      <c r="AP124" s="289" t="s">
        <v>173</v>
      </c>
      <c r="AQ124" s="139">
        <v>0</v>
      </c>
    </row>
    <row r="125" spans="1:64" ht="70.5" customHeight="1" thickBot="1">
      <c r="A125" s="138" t="s">
        <v>182</v>
      </c>
      <c r="B125" s="12">
        <v>52</v>
      </c>
      <c r="C125" s="12">
        <v>80.12</v>
      </c>
      <c r="D125" s="12">
        <v>38</v>
      </c>
      <c r="E125" s="12" t="s">
        <v>97</v>
      </c>
      <c r="F125" s="12" t="s">
        <v>97</v>
      </c>
      <c r="G125" s="12" t="s">
        <v>183</v>
      </c>
      <c r="H125" s="12"/>
      <c r="I125" s="12" t="s">
        <v>145</v>
      </c>
      <c r="J125" s="12" t="s">
        <v>47</v>
      </c>
      <c r="K125" s="12" t="s">
        <v>49</v>
      </c>
      <c r="L125" s="12" t="s">
        <v>49</v>
      </c>
      <c r="M125" s="11" t="s">
        <v>50</v>
      </c>
      <c r="N125" s="11" t="s">
        <v>50</v>
      </c>
      <c r="O125" s="11" t="s">
        <v>50</v>
      </c>
      <c r="P125" s="11" t="s">
        <v>51</v>
      </c>
      <c r="Q125" s="50" t="s">
        <v>189</v>
      </c>
      <c r="R125" s="65">
        <v>18</v>
      </c>
      <c r="S125" s="70">
        <v>13.53</v>
      </c>
      <c r="T125" s="70">
        <v>6.44</v>
      </c>
      <c r="U125" s="70">
        <v>18</v>
      </c>
      <c r="V125" s="65">
        <v>11.8</v>
      </c>
      <c r="W125" s="70">
        <v>5.95</v>
      </c>
      <c r="X125" s="130">
        <f t="shared" si="24"/>
        <v>-1.7299999999999986</v>
      </c>
      <c r="Y125" s="16">
        <f t="shared" si="25"/>
        <v>1.4635971668005741</v>
      </c>
      <c r="Z125" s="130" t="s">
        <v>53</v>
      </c>
      <c r="AA125" s="131" t="s">
        <v>53</v>
      </c>
      <c r="AB125" s="16">
        <v>1.4635971668005741</v>
      </c>
      <c r="AC125" s="66" t="s">
        <v>49</v>
      </c>
      <c r="AD125" s="51" t="s">
        <v>184</v>
      </c>
      <c r="AE125" s="13">
        <v>16</v>
      </c>
      <c r="AF125" s="49">
        <v>0</v>
      </c>
      <c r="AG125" s="49">
        <v>0</v>
      </c>
      <c r="AH125" s="134">
        <v>0</v>
      </c>
      <c r="AI125" s="134">
        <v>0</v>
      </c>
      <c r="AJ125" s="135">
        <f t="shared" si="26"/>
        <v>0</v>
      </c>
      <c r="AK125" s="136">
        <f t="shared" si="27"/>
        <v>0</v>
      </c>
      <c r="AL125" s="136" t="str" cm="1">
        <f t="array" ref="AL125">_xlfn.IFS(
AI125&lt;3,"Ligera",
AI125&lt;=6,"Moderada",
AI125&gt;6,"Vigorosa"
)</f>
        <v>Ligera</v>
      </c>
      <c r="AM125" s="45" t="s">
        <v>49</v>
      </c>
      <c r="AN125" s="289" t="s">
        <v>49</v>
      </c>
      <c r="AO125" s="289" t="s">
        <v>49</v>
      </c>
      <c r="AP125" s="289" t="s">
        <v>49</v>
      </c>
      <c r="AQ125" s="139">
        <v>0</v>
      </c>
    </row>
    <row r="126" spans="1:64" ht="70.5" customHeight="1" thickBot="1">
      <c r="A126" s="138" t="s">
        <v>182</v>
      </c>
      <c r="B126" s="12">
        <v>52</v>
      </c>
      <c r="C126" s="12">
        <v>82.69</v>
      </c>
      <c r="D126" s="12">
        <v>35</v>
      </c>
      <c r="E126" s="12" t="s">
        <v>97</v>
      </c>
      <c r="F126" s="12" t="s">
        <v>97</v>
      </c>
      <c r="G126" s="12" t="s">
        <v>183</v>
      </c>
      <c r="H126" s="12"/>
      <c r="I126" s="12" t="s">
        <v>145</v>
      </c>
      <c r="J126" s="12" t="s">
        <v>47</v>
      </c>
      <c r="K126" s="12" t="s">
        <v>49</v>
      </c>
      <c r="L126" s="12" t="s">
        <v>49</v>
      </c>
      <c r="M126" s="11" t="s">
        <v>56</v>
      </c>
      <c r="N126" s="11" t="s">
        <v>76</v>
      </c>
      <c r="O126" s="11" t="s">
        <v>185</v>
      </c>
      <c r="P126" s="11" t="s">
        <v>51</v>
      </c>
      <c r="Q126" s="50" t="s">
        <v>189</v>
      </c>
      <c r="R126" s="65">
        <v>18</v>
      </c>
      <c r="S126" s="70">
        <v>12.67</v>
      </c>
      <c r="T126" s="71">
        <v>5.28</v>
      </c>
      <c r="U126" s="70">
        <v>18</v>
      </c>
      <c r="V126" s="65">
        <v>13.86</v>
      </c>
      <c r="W126" s="70">
        <v>4.79</v>
      </c>
      <c r="X126" s="130">
        <f t="shared" si="24"/>
        <v>1.1899999999999995</v>
      </c>
      <c r="Y126" s="16">
        <f t="shared" si="25"/>
        <v>1.190968326848181</v>
      </c>
      <c r="Z126" s="15">
        <f t="shared" si="28"/>
        <v>2.9199999999999982</v>
      </c>
      <c r="AA126" s="16">
        <f t="shared" si="29"/>
        <v>29.173300000000001</v>
      </c>
      <c r="AB126" s="16">
        <f t="shared" si="30"/>
        <v>1.8004104470308369</v>
      </c>
      <c r="AC126" s="66" t="s">
        <v>49</v>
      </c>
      <c r="AD126" s="51" t="s">
        <v>186</v>
      </c>
      <c r="AE126" s="13">
        <v>16</v>
      </c>
      <c r="AF126" s="13">
        <v>2</v>
      </c>
      <c r="AG126" s="13">
        <v>60</v>
      </c>
      <c r="AH126" s="13" t="s">
        <v>187</v>
      </c>
      <c r="AI126" s="13">
        <v>2.96</v>
      </c>
      <c r="AJ126" s="13">
        <v>178</v>
      </c>
      <c r="AK126" s="136">
        <f t="shared" si="27"/>
        <v>356</v>
      </c>
      <c r="AL126" s="136" t="str" cm="1">
        <f t="array" ref="AL126">_xlfn.IFS(
AI126&lt;3,"Ligera",
AI126&lt;=6,"Moderada",
AI126&gt;6,"Vigorosa"
)</f>
        <v>Ligera</v>
      </c>
      <c r="AM126" s="45" t="s">
        <v>48</v>
      </c>
      <c r="AN126" s="46" t="s">
        <v>60</v>
      </c>
      <c r="AO126" s="46" t="s">
        <v>61</v>
      </c>
      <c r="AP126" s="289" t="s">
        <v>173</v>
      </c>
      <c r="AQ126" s="139">
        <v>0</v>
      </c>
    </row>
    <row r="127" spans="1:64" ht="70.5" customHeight="1" thickBot="1">
      <c r="A127" s="138" t="s">
        <v>182</v>
      </c>
      <c r="B127" s="12">
        <v>52</v>
      </c>
      <c r="C127" s="12">
        <v>80.12</v>
      </c>
      <c r="D127" s="12">
        <v>38</v>
      </c>
      <c r="E127" s="12" t="s">
        <v>97</v>
      </c>
      <c r="F127" s="12" t="s">
        <v>97</v>
      </c>
      <c r="G127" s="12" t="s">
        <v>183</v>
      </c>
      <c r="H127" s="12"/>
      <c r="I127" s="12" t="s">
        <v>145</v>
      </c>
      <c r="J127" s="12" t="s">
        <v>47</v>
      </c>
      <c r="K127" s="12" t="s">
        <v>49</v>
      </c>
      <c r="L127" s="12" t="s">
        <v>49</v>
      </c>
      <c r="M127" s="11" t="s">
        <v>50</v>
      </c>
      <c r="N127" s="11" t="s">
        <v>50</v>
      </c>
      <c r="O127" s="11" t="s">
        <v>50</v>
      </c>
      <c r="P127" s="11" t="s">
        <v>94</v>
      </c>
      <c r="Q127" s="50" t="s">
        <v>136</v>
      </c>
      <c r="R127" s="65">
        <v>18</v>
      </c>
      <c r="S127" s="70">
        <v>10.31</v>
      </c>
      <c r="T127" s="70">
        <v>6.87</v>
      </c>
      <c r="U127" s="70">
        <v>18</v>
      </c>
      <c r="V127" s="65">
        <v>11.06</v>
      </c>
      <c r="W127" s="70">
        <v>7.5</v>
      </c>
      <c r="X127" s="130">
        <f t="shared" si="24"/>
        <v>0.75</v>
      </c>
      <c r="Y127" s="16">
        <f t="shared" si="25"/>
        <v>1.698396302398236</v>
      </c>
      <c r="Z127" s="130" t="s">
        <v>53</v>
      </c>
      <c r="AA127" s="131" t="s">
        <v>53</v>
      </c>
      <c r="AB127" s="16">
        <v>1.698396302398236</v>
      </c>
      <c r="AC127" s="66" t="s">
        <v>49</v>
      </c>
      <c r="AD127" s="51" t="s">
        <v>184</v>
      </c>
      <c r="AE127" s="13">
        <v>16</v>
      </c>
      <c r="AF127" s="49">
        <v>0</v>
      </c>
      <c r="AG127" s="49">
        <v>0</v>
      </c>
      <c r="AH127" s="134">
        <v>0</v>
      </c>
      <c r="AI127" s="134">
        <v>0</v>
      </c>
      <c r="AJ127" s="135">
        <f t="shared" si="26"/>
        <v>0</v>
      </c>
      <c r="AK127" s="136">
        <f t="shared" si="27"/>
        <v>0</v>
      </c>
      <c r="AL127" s="136" t="str" cm="1">
        <f t="array" ref="AL127">_xlfn.IFS(
AI127&lt;3,"Ligera",
AI127&lt;=6,"Moderada",
AI127&gt;6,"Vigorosa"
)</f>
        <v>Ligera</v>
      </c>
      <c r="AM127" s="45" t="s">
        <v>49</v>
      </c>
      <c r="AN127" s="289" t="s">
        <v>49</v>
      </c>
      <c r="AO127" s="289" t="s">
        <v>49</v>
      </c>
      <c r="AP127" s="289" t="s">
        <v>49</v>
      </c>
      <c r="AQ127" s="139">
        <v>0</v>
      </c>
    </row>
    <row r="128" spans="1:64" ht="70.5" customHeight="1" thickBot="1">
      <c r="A128" s="138" t="s">
        <v>182</v>
      </c>
      <c r="B128" s="12">
        <v>52</v>
      </c>
      <c r="C128" s="12">
        <v>82.69</v>
      </c>
      <c r="D128" s="12">
        <v>35</v>
      </c>
      <c r="E128" s="12" t="s">
        <v>97</v>
      </c>
      <c r="F128" s="12" t="s">
        <v>97</v>
      </c>
      <c r="G128" s="12" t="s">
        <v>183</v>
      </c>
      <c r="H128" s="12"/>
      <c r="I128" s="12" t="s">
        <v>145</v>
      </c>
      <c r="J128" s="12" t="s">
        <v>47</v>
      </c>
      <c r="K128" s="12" t="s">
        <v>49</v>
      </c>
      <c r="L128" s="12" t="s">
        <v>49</v>
      </c>
      <c r="M128" s="11" t="s">
        <v>56</v>
      </c>
      <c r="N128" s="11" t="s">
        <v>76</v>
      </c>
      <c r="O128" s="11" t="s">
        <v>185</v>
      </c>
      <c r="P128" s="11" t="s">
        <v>94</v>
      </c>
      <c r="Q128" s="50" t="s">
        <v>136</v>
      </c>
      <c r="R128" s="65">
        <v>16</v>
      </c>
      <c r="S128" s="70">
        <v>12.5</v>
      </c>
      <c r="T128" s="71">
        <v>6.18</v>
      </c>
      <c r="U128" s="70">
        <v>16</v>
      </c>
      <c r="V128" s="65">
        <v>9.94</v>
      </c>
      <c r="W128" s="70">
        <v>6.93</v>
      </c>
      <c r="X128" s="130">
        <f t="shared" si="24"/>
        <v>-2.5600000000000005</v>
      </c>
      <c r="Y128" s="16">
        <f t="shared" si="25"/>
        <v>1.646775257890402</v>
      </c>
      <c r="Z128" s="15">
        <f t="shared" si="28"/>
        <v>-3.3100000000000005</v>
      </c>
      <c r="AA128" s="16">
        <f t="shared" si="29"/>
        <v>52.394484374999998</v>
      </c>
      <c r="AB128" s="16">
        <f t="shared" si="30"/>
        <v>2.4870584956806905</v>
      </c>
      <c r="AC128" s="66" t="s">
        <v>49</v>
      </c>
      <c r="AD128" s="51" t="s">
        <v>186</v>
      </c>
      <c r="AE128" s="13">
        <v>16</v>
      </c>
      <c r="AF128" s="13">
        <v>2</v>
      </c>
      <c r="AG128" s="13">
        <v>60</v>
      </c>
      <c r="AH128" s="13" t="s">
        <v>187</v>
      </c>
      <c r="AI128" s="13">
        <v>2.96</v>
      </c>
      <c r="AJ128" s="13">
        <v>178</v>
      </c>
      <c r="AK128" s="136">
        <f t="shared" si="27"/>
        <v>356</v>
      </c>
      <c r="AL128" s="136" t="str" cm="1">
        <f t="array" ref="AL128">_xlfn.IFS(
AI128&lt;3,"Ligera",
AI128&lt;=6,"Moderada",
AI128&gt;6,"Vigorosa"
)</f>
        <v>Ligera</v>
      </c>
      <c r="AM128" s="45" t="s">
        <v>48</v>
      </c>
      <c r="AN128" s="46" t="s">
        <v>60</v>
      </c>
      <c r="AO128" s="46" t="s">
        <v>61</v>
      </c>
      <c r="AP128" s="289" t="s">
        <v>173</v>
      </c>
      <c r="AQ128" s="139">
        <v>0</v>
      </c>
    </row>
    <row r="129" spans="1:45" ht="70.5" customHeight="1" thickBot="1">
      <c r="A129" s="124" t="s">
        <v>191</v>
      </c>
      <c r="B129" s="125">
        <v>17</v>
      </c>
      <c r="C129" s="125">
        <v>90.3</v>
      </c>
      <c r="D129" s="125">
        <v>37.5</v>
      </c>
      <c r="E129" s="125" t="s">
        <v>45</v>
      </c>
      <c r="F129" s="125" t="s">
        <v>45</v>
      </c>
      <c r="G129" s="125" t="s">
        <v>192</v>
      </c>
      <c r="H129" s="125"/>
      <c r="I129" s="125" t="s">
        <v>47</v>
      </c>
      <c r="J129" s="125" t="s">
        <v>47</v>
      </c>
      <c r="K129" s="125" t="s">
        <v>49</v>
      </c>
      <c r="L129" s="125" t="s">
        <v>49</v>
      </c>
      <c r="M129" s="126" t="s">
        <v>50</v>
      </c>
      <c r="N129" s="126" t="s">
        <v>50</v>
      </c>
      <c r="O129" s="126" t="s">
        <v>50</v>
      </c>
      <c r="P129" s="126" t="s">
        <v>94</v>
      </c>
      <c r="Q129" s="159" t="s">
        <v>119</v>
      </c>
      <c r="R129" s="128">
        <v>8</v>
      </c>
      <c r="S129" s="152">
        <v>28</v>
      </c>
      <c r="T129" s="152">
        <v>2.89</v>
      </c>
      <c r="U129" s="128">
        <v>8</v>
      </c>
      <c r="V129" s="128" t="s">
        <v>47</v>
      </c>
      <c r="W129" s="152" t="s">
        <v>47</v>
      </c>
      <c r="X129" s="130"/>
      <c r="Y129" s="16"/>
      <c r="Z129" s="130"/>
      <c r="AA129" s="131"/>
      <c r="AB129" s="16"/>
      <c r="AC129" s="66" t="s">
        <v>49</v>
      </c>
      <c r="AD129" s="133" t="s">
        <v>193</v>
      </c>
      <c r="AE129" s="134">
        <v>4</v>
      </c>
      <c r="AF129" s="161">
        <v>0</v>
      </c>
      <c r="AG129" s="161">
        <v>0</v>
      </c>
      <c r="AH129" s="134">
        <v>0</v>
      </c>
      <c r="AI129" s="134">
        <v>0</v>
      </c>
      <c r="AJ129" s="135">
        <f t="shared" si="26"/>
        <v>0</v>
      </c>
      <c r="AK129" s="136">
        <f t="shared" si="27"/>
        <v>0</v>
      </c>
      <c r="AL129" s="136" t="str" cm="1">
        <f t="array" ref="AL129">_xlfn.IFS(
AI129&lt;3,"Ligera",
AI129&lt;=6,"Moderada",
AI129&gt;6,"Vigorosa"
)</f>
        <v>Ligera</v>
      </c>
      <c r="AM129" s="136" t="s">
        <v>49</v>
      </c>
      <c r="AN129" s="288" t="s">
        <v>49</v>
      </c>
      <c r="AO129" s="135" t="s">
        <v>61</v>
      </c>
      <c r="AP129" s="288" t="s">
        <v>62</v>
      </c>
      <c r="AQ129" s="137">
        <v>0</v>
      </c>
    </row>
    <row r="130" spans="1:45" ht="70.5" customHeight="1" thickBot="1">
      <c r="A130" s="138" t="s">
        <v>191</v>
      </c>
      <c r="B130" s="12">
        <v>17</v>
      </c>
      <c r="C130" s="12">
        <v>86.1</v>
      </c>
      <c r="D130" s="12">
        <v>44.44</v>
      </c>
      <c r="E130" s="12" t="s">
        <v>45</v>
      </c>
      <c r="F130" s="12" t="s">
        <v>45</v>
      </c>
      <c r="G130" s="12" t="s">
        <v>192</v>
      </c>
      <c r="H130" s="12"/>
      <c r="I130" s="12" t="s">
        <v>47</v>
      </c>
      <c r="J130" s="12" t="s">
        <v>47</v>
      </c>
      <c r="K130" s="12" t="s">
        <v>49</v>
      </c>
      <c r="L130" s="12" t="s">
        <v>49</v>
      </c>
      <c r="M130" s="11" t="s">
        <v>56</v>
      </c>
      <c r="N130" s="11" t="s">
        <v>57</v>
      </c>
      <c r="O130" s="11" t="s">
        <v>58</v>
      </c>
      <c r="P130" s="11" t="s">
        <v>94</v>
      </c>
      <c r="Q130" s="50" t="s">
        <v>119</v>
      </c>
      <c r="R130" s="65">
        <v>9</v>
      </c>
      <c r="S130" s="71">
        <v>26.6</v>
      </c>
      <c r="T130" s="71">
        <v>6.31</v>
      </c>
      <c r="U130" s="65">
        <v>9</v>
      </c>
      <c r="V130" s="65" t="s">
        <v>47</v>
      </c>
      <c r="W130" s="70" t="s">
        <v>47</v>
      </c>
      <c r="X130" s="130"/>
      <c r="Y130" s="16"/>
      <c r="Z130" s="15"/>
      <c r="AA130" s="16"/>
      <c r="AB130" s="16"/>
      <c r="AC130" s="66" t="s">
        <v>49</v>
      </c>
      <c r="AD130" s="51" t="s">
        <v>194</v>
      </c>
      <c r="AE130" s="13">
        <v>4</v>
      </c>
      <c r="AF130" s="13">
        <v>3</v>
      </c>
      <c r="AG130" s="13">
        <v>10</v>
      </c>
      <c r="AH130" s="13">
        <v>205160</v>
      </c>
      <c r="AI130" s="13">
        <v>3</v>
      </c>
      <c r="AJ130" s="135">
        <f t="shared" si="26"/>
        <v>30</v>
      </c>
      <c r="AK130" s="136">
        <f t="shared" si="27"/>
        <v>90</v>
      </c>
      <c r="AL130" s="136" t="str" cm="1">
        <f t="array" ref="AL130">_xlfn.IFS(
AI130&lt;3,"Ligera",
AI130&lt;=6,"Moderada",
AI130&gt;6,"Vigorosa"
)</f>
        <v>Moderada</v>
      </c>
      <c r="AM130" s="45" t="s">
        <v>48</v>
      </c>
      <c r="AN130" s="46" t="s">
        <v>60</v>
      </c>
      <c r="AO130" s="46" t="s">
        <v>61</v>
      </c>
      <c r="AP130" s="289" t="s">
        <v>62</v>
      </c>
      <c r="AQ130" s="139">
        <v>0</v>
      </c>
    </row>
    <row r="131" spans="1:45" ht="70.5" customHeight="1" thickBot="1">
      <c r="A131" s="138" t="s">
        <v>191</v>
      </c>
      <c r="B131" s="12">
        <v>17</v>
      </c>
      <c r="C131" s="12">
        <v>90.3</v>
      </c>
      <c r="D131" s="12">
        <v>37.5</v>
      </c>
      <c r="E131" s="12" t="s">
        <v>45</v>
      </c>
      <c r="F131" s="12" t="s">
        <v>45</v>
      </c>
      <c r="G131" s="12" t="s">
        <v>192</v>
      </c>
      <c r="H131" s="12"/>
      <c r="I131" s="12" t="s">
        <v>47</v>
      </c>
      <c r="J131" s="12" t="s">
        <v>47</v>
      </c>
      <c r="K131" s="12" t="s">
        <v>49</v>
      </c>
      <c r="L131" s="12" t="s">
        <v>49</v>
      </c>
      <c r="M131" s="11" t="s">
        <v>50</v>
      </c>
      <c r="N131" s="11" t="s">
        <v>50</v>
      </c>
      <c r="O131" s="11" t="s">
        <v>50</v>
      </c>
      <c r="P131" s="11" t="s">
        <v>51</v>
      </c>
      <c r="Q131" s="50" t="s">
        <v>91</v>
      </c>
      <c r="R131" s="65">
        <v>8</v>
      </c>
      <c r="S131" s="70">
        <v>3.6</v>
      </c>
      <c r="T131" s="70">
        <v>1.5</v>
      </c>
      <c r="U131" s="65">
        <v>8</v>
      </c>
      <c r="V131" s="65">
        <v>3.9</v>
      </c>
      <c r="W131" s="70">
        <v>1.6</v>
      </c>
      <c r="X131" s="130">
        <f t="shared" si="24"/>
        <v>0.29999999999999982</v>
      </c>
      <c r="Y131" s="16">
        <f t="shared" si="25"/>
        <v>0.54886246000250372</v>
      </c>
      <c r="Z131" s="130" t="s">
        <v>53</v>
      </c>
      <c r="AA131" s="131" t="s">
        <v>53</v>
      </c>
      <c r="AB131" s="16">
        <v>0.54886246000250372</v>
      </c>
      <c r="AC131" s="66" t="s">
        <v>49</v>
      </c>
      <c r="AD131" s="51" t="s">
        <v>193</v>
      </c>
      <c r="AE131" s="13">
        <v>4</v>
      </c>
      <c r="AF131" s="49">
        <v>0</v>
      </c>
      <c r="AG131" s="49">
        <v>0</v>
      </c>
      <c r="AH131" s="134">
        <v>0</v>
      </c>
      <c r="AI131" s="134">
        <v>0</v>
      </c>
      <c r="AJ131" s="135">
        <f t="shared" si="26"/>
        <v>0</v>
      </c>
      <c r="AK131" s="136">
        <f t="shared" si="27"/>
        <v>0</v>
      </c>
      <c r="AL131" s="136" t="str" cm="1">
        <f t="array" ref="AL131">_xlfn.IFS(
AI131&lt;3,"Ligera",
AI131&lt;=6,"Moderada",
AI131&gt;6,"Vigorosa"
)</f>
        <v>Ligera</v>
      </c>
      <c r="AM131" s="45" t="s">
        <v>49</v>
      </c>
      <c r="AN131" s="289" t="s">
        <v>49</v>
      </c>
      <c r="AO131" s="46" t="s">
        <v>61</v>
      </c>
      <c r="AP131" s="289" t="s">
        <v>62</v>
      </c>
      <c r="AQ131" s="139">
        <v>0</v>
      </c>
    </row>
    <row r="132" spans="1:45" ht="70.5" customHeight="1" thickBot="1">
      <c r="A132" s="138" t="s">
        <v>191</v>
      </c>
      <c r="B132" s="12">
        <v>17</v>
      </c>
      <c r="C132" s="12">
        <v>86.1</v>
      </c>
      <c r="D132" s="12">
        <v>44.44</v>
      </c>
      <c r="E132" s="12" t="s">
        <v>45</v>
      </c>
      <c r="F132" s="12" t="s">
        <v>45</v>
      </c>
      <c r="G132" s="12" t="s">
        <v>192</v>
      </c>
      <c r="H132" s="12"/>
      <c r="I132" s="12" t="s">
        <v>47</v>
      </c>
      <c r="J132" s="12" t="s">
        <v>47</v>
      </c>
      <c r="K132" s="12" t="s">
        <v>49</v>
      </c>
      <c r="L132" s="12" t="s">
        <v>49</v>
      </c>
      <c r="M132" s="11" t="s">
        <v>56</v>
      </c>
      <c r="N132" s="11" t="s">
        <v>57</v>
      </c>
      <c r="O132" s="11" t="s">
        <v>58</v>
      </c>
      <c r="P132" s="11" t="s">
        <v>51</v>
      </c>
      <c r="Q132" s="50" t="s">
        <v>91</v>
      </c>
      <c r="R132" s="65">
        <v>9</v>
      </c>
      <c r="S132" s="71">
        <v>3.9</v>
      </c>
      <c r="T132" s="71">
        <v>1.5</v>
      </c>
      <c r="U132" s="65">
        <v>9</v>
      </c>
      <c r="V132" s="65">
        <v>5</v>
      </c>
      <c r="W132" s="70">
        <v>1.5</v>
      </c>
      <c r="X132" s="130">
        <f t="shared" si="24"/>
        <v>1.1000000000000001</v>
      </c>
      <c r="Y132" s="16">
        <f t="shared" si="25"/>
        <v>0.5</v>
      </c>
      <c r="Z132" s="15">
        <f t="shared" si="28"/>
        <v>0.80000000000000027</v>
      </c>
      <c r="AA132" s="16">
        <f t="shared" si="29"/>
        <v>2.3946666666666667</v>
      </c>
      <c r="AB132" s="16">
        <f t="shared" si="30"/>
        <v>0.75193577345901519</v>
      </c>
      <c r="AC132" s="66" t="s">
        <v>49</v>
      </c>
      <c r="AD132" s="51" t="s">
        <v>194</v>
      </c>
      <c r="AE132" s="13">
        <v>4</v>
      </c>
      <c r="AF132" s="13">
        <v>3</v>
      </c>
      <c r="AG132" s="13">
        <v>10</v>
      </c>
      <c r="AH132" s="13">
        <v>205160</v>
      </c>
      <c r="AI132" s="13">
        <v>3</v>
      </c>
      <c r="AJ132" s="135">
        <f t="shared" si="26"/>
        <v>30</v>
      </c>
      <c r="AK132" s="136">
        <f t="shared" si="27"/>
        <v>90</v>
      </c>
      <c r="AL132" s="136" t="str" cm="1">
        <f t="array" ref="AL132">_xlfn.IFS(
AI132&lt;3,"Ligera",
AI132&lt;=6,"Moderada",
AI132&gt;6,"Vigorosa"
)</f>
        <v>Moderada</v>
      </c>
      <c r="AM132" s="45" t="s">
        <v>48</v>
      </c>
      <c r="AN132" s="46" t="s">
        <v>60</v>
      </c>
      <c r="AO132" s="46" t="s">
        <v>61</v>
      </c>
      <c r="AP132" s="289" t="s">
        <v>62</v>
      </c>
      <c r="AQ132" s="139">
        <v>0</v>
      </c>
    </row>
    <row r="133" spans="1:45" ht="70.5" customHeight="1" thickBot="1">
      <c r="A133" s="138" t="s">
        <v>191</v>
      </c>
      <c r="B133" s="12">
        <v>17</v>
      </c>
      <c r="C133" s="12">
        <v>90.3</v>
      </c>
      <c r="D133" s="12">
        <v>37.5</v>
      </c>
      <c r="E133" s="12" t="s">
        <v>45</v>
      </c>
      <c r="F133" s="12" t="s">
        <v>45</v>
      </c>
      <c r="G133" s="12" t="s">
        <v>192</v>
      </c>
      <c r="H133" s="12"/>
      <c r="I133" s="12" t="s">
        <v>47</v>
      </c>
      <c r="J133" s="12" t="s">
        <v>47</v>
      </c>
      <c r="K133" s="12" t="s">
        <v>49</v>
      </c>
      <c r="L133" s="12" t="s">
        <v>49</v>
      </c>
      <c r="M133" s="11" t="s">
        <v>50</v>
      </c>
      <c r="N133" s="11" t="s">
        <v>50</v>
      </c>
      <c r="O133" s="11" t="s">
        <v>50</v>
      </c>
      <c r="P133" s="11" t="s">
        <v>94</v>
      </c>
      <c r="Q133" s="50" t="s">
        <v>138</v>
      </c>
      <c r="R133" s="65">
        <v>8</v>
      </c>
      <c r="S133" s="70">
        <v>111.7</v>
      </c>
      <c r="T133" s="70">
        <v>79</v>
      </c>
      <c r="U133" s="65">
        <v>8</v>
      </c>
      <c r="V133" s="65">
        <v>124.5</v>
      </c>
      <c r="W133" s="70">
        <v>75.63</v>
      </c>
      <c r="X133" s="130">
        <f t="shared" si="24"/>
        <v>12.799999999999997</v>
      </c>
      <c r="Y133" s="16">
        <f t="shared" si="25"/>
        <v>27.354448678414265</v>
      </c>
      <c r="Z133" s="130" t="s">
        <v>53</v>
      </c>
      <c r="AA133" s="131" t="s">
        <v>53</v>
      </c>
      <c r="AB133" s="16">
        <v>27.354448678414265</v>
      </c>
      <c r="AC133" s="66" t="s">
        <v>48</v>
      </c>
      <c r="AD133" s="51" t="s">
        <v>193</v>
      </c>
      <c r="AE133" s="13">
        <v>4</v>
      </c>
      <c r="AF133" s="49">
        <v>0</v>
      </c>
      <c r="AG133" s="49">
        <v>0</v>
      </c>
      <c r="AH133" s="134">
        <v>0</v>
      </c>
      <c r="AI133" s="134">
        <v>0</v>
      </c>
      <c r="AJ133" s="135">
        <f t="shared" si="26"/>
        <v>0</v>
      </c>
      <c r="AK133" s="136">
        <f t="shared" si="27"/>
        <v>0</v>
      </c>
      <c r="AL133" s="136" t="str" cm="1">
        <f t="array" ref="AL133">_xlfn.IFS(
AI133&lt;3,"Ligera",
AI133&lt;=6,"Moderada",
AI133&gt;6,"Vigorosa"
)</f>
        <v>Ligera</v>
      </c>
      <c r="AM133" s="45" t="s">
        <v>49</v>
      </c>
      <c r="AN133" s="289" t="s">
        <v>49</v>
      </c>
      <c r="AO133" s="46" t="s">
        <v>61</v>
      </c>
      <c r="AP133" s="289" t="s">
        <v>62</v>
      </c>
      <c r="AQ133" s="139">
        <v>0</v>
      </c>
    </row>
    <row r="134" spans="1:45" ht="70.5" customHeight="1" thickBot="1">
      <c r="A134" s="138" t="s">
        <v>191</v>
      </c>
      <c r="B134" s="12">
        <v>17</v>
      </c>
      <c r="C134" s="12">
        <v>86.1</v>
      </c>
      <c r="D134" s="12">
        <v>44.44</v>
      </c>
      <c r="E134" s="12" t="s">
        <v>45</v>
      </c>
      <c r="F134" s="12" t="s">
        <v>45</v>
      </c>
      <c r="G134" s="12" t="s">
        <v>192</v>
      </c>
      <c r="H134" s="12"/>
      <c r="I134" s="12" t="s">
        <v>47</v>
      </c>
      <c r="J134" s="12" t="s">
        <v>47</v>
      </c>
      <c r="K134" s="12" t="s">
        <v>49</v>
      </c>
      <c r="L134" s="12" t="s">
        <v>49</v>
      </c>
      <c r="M134" s="11" t="s">
        <v>56</v>
      </c>
      <c r="N134" s="11" t="s">
        <v>57</v>
      </c>
      <c r="O134" s="11" t="s">
        <v>58</v>
      </c>
      <c r="P134" s="11" t="s">
        <v>94</v>
      </c>
      <c r="Q134" s="50" t="s">
        <v>138</v>
      </c>
      <c r="R134" s="65">
        <v>9</v>
      </c>
      <c r="S134" s="71">
        <v>71.900000000000006</v>
      </c>
      <c r="T134" s="71">
        <v>38.6</v>
      </c>
      <c r="U134" s="65">
        <v>9</v>
      </c>
      <c r="V134" s="65">
        <v>69.8</v>
      </c>
      <c r="W134" s="70">
        <v>32.43</v>
      </c>
      <c r="X134" s="130">
        <f t="shared" si="24"/>
        <v>-2.1000000000000085</v>
      </c>
      <c r="Y134" s="16">
        <f t="shared" si="25"/>
        <v>11.971572346373071</v>
      </c>
      <c r="Z134" s="15">
        <f t="shared" si="28"/>
        <v>-14.900000000000006</v>
      </c>
      <c r="AA134" s="16">
        <f t="shared" si="29"/>
        <v>3230.1944999999996</v>
      </c>
      <c r="AB134" s="16">
        <f t="shared" si="30"/>
        <v>27.616748767731512</v>
      </c>
      <c r="AC134" s="66" t="s">
        <v>48</v>
      </c>
      <c r="AD134" s="51" t="s">
        <v>194</v>
      </c>
      <c r="AE134" s="13">
        <v>4</v>
      </c>
      <c r="AF134" s="13">
        <v>3</v>
      </c>
      <c r="AG134" s="13">
        <v>10</v>
      </c>
      <c r="AH134" s="13">
        <v>205160</v>
      </c>
      <c r="AI134" s="13">
        <v>3</v>
      </c>
      <c r="AJ134" s="135">
        <f t="shared" si="26"/>
        <v>30</v>
      </c>
      <c r="AK134" s="136">
        <f t="shared" si="27"/>
        <v>90</v>
      </c>
      <c r="AL134" s="136" t="str" cm="1">
        <f t="array" ref="AL134">_xlfn.IFS(
AI134&lt;3,"Ligera",
AI134&lt;=6,"Moderada",
AI134&gt;6,"Vigorosa"
)</f>
        <v>Moderada</v>
      </c>
      <c r="AM134" s="45" t="s">
        <v>48</v>
      </c>
      <c r="AN134" s="46" t="s">
        <v>60</v>
      </c>
      <c r="AO134" s="46" t="s">
        <v>61</v>
      </c>
      <c r="AP134" s="289" t="s">
        <v>62</v>
      </c>
      <c r="AQ134" s="139">
        <v>0</v>
      </c>
    </row>
    <row r="135" spans="1:45" ht="70.5" customHeight="1" thickBot="1">
      <c r="A135" s="138" t="s">
        <v>191</v>
      </c>
      <c r="B135" s="12">
        <v>17</v>
      </c>
      <c r="C135" s="12">
        <v>90.3</v>
      </c>
      <c r="D135" s="12">
        <v>37.5</v>
      </c>
      <c r="E135" s="12" t="s">
        <v>45</v>
      </c>
      <c r="F135" s="12" t="s">
        <v>45</v>
      </c>
      <c r="G135" s="12" t="s">
        <v>192</v>
      </c>
      <c r="H135" s="12"/>
      <c r="I135" s="12" t="s">
        <v>47</v>
      </c>
      <c r="J135" s="12" t="s">
        <v>47</v>
      </c>
      <c r="K135" s="12" t="s">
        <v>49</v>
      </c>
      <c r="L135" s="12" t="s">
        <v>49</v>
      </c>
      <c r="M135" s="11" t="s">
        <v>50</v>
      </c>
      <c r="N135" s="11" t="s">
        <v>50</v>
      </c>
      <c r="O135" s="11" t="s">
        <v>50</v>
      </c>
      <c r="P135" s="11" t="s">
        <v>94</v>
      </c>
      <c r="Q135" s="50" t="s">
        <v>195</v>
      </c>
      <c r="R135" s="65">
        <v>8</v>
      </c>
      <c r="S135" s="70">
        <v>197.7</v>
      </c>
      <c r="T135" s="70">
        <v>33.1</v>
      </c>
      <c r="U135" s="65">
        <v>8</v>
      </c>
      <c r="V135" s="65">
        <v>209.7</v>
      </c>
      <c r="W135" s="70">
        <v>48.5</v>
      </c>
      <c r="X135" s="130">
        <f t="shared" si="24"/>
        <v>12</v>
      </c>
      <c r="Y135" s="16">
        <f t="shared" si="25"/>
        <v>15.176091394031598</v>
      </c>
      <c r="Z135" s="130" t="s">
        <v>53</v>
      </c>
      <c r="AA135" s="131" t="s">
        <v>53</v>
      </c>
      <c r="AB135" s="16">
        <v>15.176091394031598</v>
      </c>
      <c r="AC135" s="66" t="s">
        <v>48</v>
      </c>
      <c r="AD135" s="51" t="s">
        <v>193</v>
      </c>
      <c r="AE135" s="13">
        <v>4</v>
      </c>
      <c r="AF135" s="49">
        <v>0</v>
      </c>
      <c r="AG135" s="49">
        <v>0</v>
      </c>
      <c r="AH135" s="134">
        <v>0</v>
      </c>
      <c r="AI135" s="134">
        <v>0</v>
      </c>
      <c r="AJ135" s="135">
        <f t="shared" si="26"/>
        <v>0</v>
      </c>
      <c r="AK135" s="136">
        <f t="shared" si="27"/>
        <v>0</v>
      </c>
      <c r="AL135" s="136" t="str" cm="1">
        <f t="array" ref="AL135">_xlfn.IFS(
AI135&lt;3,"Ligera",
AI135&lt;=6,"Moderada",
AI135&gt;6,"Vigorosa"
)</f>
        <v>Ligera</v>
      </c>
      <c r="AM135" s="45" t="s">
        <v>49</v>
      </c>
      <c r="AN135" s="289" t="s">
        <v>49</v>
      </c>
      <c r="AO135" s="46" t="s">
        <v>61</v>
      </c>
      <c r="AP135" s="289" t="s">
        <v>62</v>
      </c>
      <c r="AQ135" s="139">
        <v>0</v>
      </c>
    </row>
    <row r="136" spans="1:45" ht="70.5" customHeight="1" thickBot="1">
      <c r="A136" s="138" t="s">
        <v>191</v>
      </c>
      <c r="B136" s="12">
        <v>17</v>
      </c>
      <c r="C136" s="12">
        <v>86.1</v>
      </c>
      <c r="D136" s="12">
        <v>44.44</v>
      </c>
      <c r="E136" s="12" t="s">
        <v>45</v>
      </c>
      <c r="F136" s="12" t="s">
        <v>45</v>
      </c>
      <c r="G136" s="12" t="s">
        <v>192</v>
      </c>
      <c r="H136" s="12"/>
      <c r="I136" s="12" t="s">
        <v>47</v>
      </c>
      <c r="J136" s="12" t="s">
        <v>47</v>
      </c>
      <c r="K136" s="12" t="s">
        <v>49</v>
      </c>
      <c r="L136" s="12" t="s">
        <v>49</v>
      </c>
      <c r="M136" s="11" t="s">
        <v>56</v>
      </c>
      <c r="N136" s="11" t="s">
        <v>57</v>
      </c>
      <c r="O136" s="11" t="s">
        <v>58</v>
      </c>
      <c r="P136" s="11" t="s">
        <v>94</v>
      </c>
      <c r="Q136" s="50" t="s">
        <v>195</v>
      </c>
      <c r="R136" s="65">
        <v>9</v>
      </c>
      <c r="S136" s="71">
        <v>199.3</v>
      </c>
      <c r="T136" s="71">
        <v>55</v>
      </c>
      <c r="U136" s="65">
        <v>9</v>
      </c>
      <c r="V136" s="65">
        <v>206</v>
      </c>
      <c r="W136" s="70">
        <v>53.3</v>
      </c>
      <c r="X136" s="130">
        <f t="shared" si="24"/>
        <v>6.6999999999999886</v>
      </c>
      <c r="Y136" s="16">
        <f t="shared" si="25"/>
        <v>18.056670051073461</v>
      </c>
      <c r="Z136" s="15">
        <f t="shared" si="28"/>
        <v>-5.3000000000000114</v>
      </c>
      <c r="AA136" s="16">
        <f t="shared" si="29"/>
        <v>2612.8579999999997</v>
      </c>
      <c r="AB136" s="16">
        <f t="shared" si="30"/>
        <v>24.837971043455934</v>
      </c>
      <c r="AC136" s="66" t="s">
        <v>48</v>
      </c>
      <c r="AD136" s="51" t="s">
        <v>194</v>
      </c>
      <c r="AE136" s="13">
        <v>4</v>
      </c>
      <c r="AF136" s="13">
        <v>3</v>
      </c>
      <c r="AG136" s="13">
        <v>10</v>
      </c>
      <c r="AH136" s="13">
        <v>205160</v>
      </c>
      <c r="AI136" s="13">
        <v>3</v>
      </c>
      <c r="AJ136" s="135">
        <f t="shared" si="26"/>
        <v>30</v>
      </c>
      <c r="AK136" s="136">
        <f t="shared" si="27"/>
        <v>90</v>
      </c>
      <c r="AL136" s="136" t="str" cm="1">
        <f t="array" ref="AL136">_xlfn.IFS(
AI136&lt;3,"Ligera",
AI136&lt;=6,"Moderada",
AI136&gt;6,"Vigorosa"
)</f>
        <v>Moderada</v>
      </c>
      <c r="AM136" s="45" t="s">
        <v>48</v>
      </c>
      <c r="AN136" s="46" t="s">
        <v>60</v>
      </c>
      <c r="AO136" s="46" t="s">
        <v>61</v>
      </c>
      <c r="AP136" s="289" t="s">
        <v>62</v>
      </c>
      <c r="AQ136" s="139">
        <v>0</v>
      </c>
    </row>
    <row r="137" spans="1:45" ht="70.5" customHeight="1" thickBot="1">
      <c r="A137" s="138" t="s">
        <v>191</v>
      </c>
      <c r="B137" s="12">
        <v>17</v>
      </c>
      <c r="C137" s="12">
        <v>90.3</v>
      </c>
      <c r="D137" s="12">
        <v>37.5</v>
      </c>
      <c r="E137" s="12" t="s">
        <v>45</v>
      </c>
      <c r="F137" s="12" t="s">
        <v>45</v>
      </c>
      <c r="G137" s="12" t="s">
        <v>192</v>
      </c>
      <c r="H137" s="12"/>
      <c r="I137" s="12" t="s">
        <v>47</v>
      </c>
      <c r="J137" s="12" t="s">
        <v>47</v>
      </c>
      <c r="K137" s="12" t="s">
        <v>49</v>
      </c>
      <c r="L137" s="12" t="s">
        <v>49</v>
      </c>
      <c r="M137" s="11" t="s">
        <v>50</v>
      </c>
      <c r="N137" s="11" t="s">
        <v>50</v>
      </c>
      <c r="O137" s="11" t="s">
        <v>50</v>
      </c>
      <c r="P137" s="11" t="s">
        <v>94</v>
      </c>
      <c r="Q137" s="50" t="s">
        <v>196</v>
      </c>
      <c r="R137" s="65">
        <v>8</v>
      </c>
      <c r="S137" s="70">
        <v>67.3</v>
      </c>
      <c r="T137" s="70">
        <v>87.9</v>
      </c>
      <c r="U137" s="65">
        <v>8</v>
      </c>
      <c r="V137" s="65">
        <v>93</v>
      </c>
      <c r="W137" s="70">
        <v>54.7</v>
      </c>
      <c r="X137" s="130">
        <f t="shared" si="24"/>
        <v>25.700000000000003</v>
      </c>
      <c r="Y137" s="16">
        <f t="shared" si="25"/>
        <v>27.180806647338482</v>
      </c>
      <c r="Z137" s="130" t="s">
        <v>53</v>
      </c>
      <c r="AA137" s="131" t="s">
        <v>53</v>
      </c>
      <c r="AB137" s="16">
        <v>27.180806647338482</v>
      </c>
      <c r="AC137" s="66" t="s">
        <v>48</v>
      </c>
      <c r="AD137" s="51" t="s">
        <v>193</v>
      </c>
      <c r="AE137" s="13">
        <v>4</v>
      </c>
      <c r="AF137" s="49">
        <v>0</v>
      </c>
      <c r="AG137" s="49">
        <v>0</v>
      </c>
      <c r="AH137" s="134">
        <v>0</v>
      </c>
      <c r="AI137" s="134">
        <v>0</v>
      </c>
      <c r="AJ137" s="135">
        <f t="shared" si="26"/>
        <v>0</v>
      </c>
      <c r="AK137" s="136">
        <f t="shared" si="27"/>
        <v>0</v>
      </c>
      <c r="AL137" s="136" t="str" cm="1">
        <f t="array" ref="AL137">_xlfn.IFS(
AI137&lt;3,"Ligera",
AI137&lt;=6,"Moderada",
AI137&gt;6,"Vigorosa"
)</f>
        <v>Ligera</v>
      </c>
      <c r="AM137" s="45" t="s">
        <v>49</v>
      </c>
      <c r="AN137" s="289" t="s">
        <v>49</v>
      </c>
      <c r="AO137" s="46" t="s">
        <v>61</v>
      </c>
      <c r="AP137" s="289" t="s">
        <v>62</v>
      </c>
      <c r="AQ137" s="139">
        <v>0</v>
      </c>
    </row>
    <row r="138" spans="1:45" ht="70.5" customHeight="1" thickBot="1">
      <c r="A138" s="138" t="s">
        <v>191</v>
      </c>
      <c r="B138" s="12">
        <v>17</v>
      </c>
      <c r="C138" s="12">
        <v>86.1</v>
      </c>
      <c r="D138" s="12">
        <v>44.44</v>
      </c>
      <c r="E138" s="12" t="s">
        <v>45</v>
      </c>
      <c r="F138" s="12" t="s">
        <v>45</v>
      </c>
      <c r="G138" s="12" t="s">
        <v>192</v>
      </c>
      <c r="H138" s="12"/>
      <c r="I138" s="12" t="s">
        <v>47</v>
      </c>
      <c r="J138" s="12" t="s">
        <v>47</v>
      </c>
      <c r="K138" s="12" t="s">
        <v>49</v>
      </c>
      <c r="L138" s="12" t="s">
        <v>49</v>
      </c>
      <c r="M138" s="11" t="s">
        <v>56</v>
      </c>
      <c r="N138" s="11" t="s">
        <v>57</v>
      </c>
      <c r="O138" s="11" t="s">
        <v>58</v>
      </c>
      <c r="P138" s="11" t="s">
        <v>94</v>
      </c>
      <c r="Q138" s="50" t="s">
        <v>196</v>
      </c>
      <c r="R138" s="65">
        <v>9</v>
      </c>
      <c r="S138" s="71">
        <v>132.6</v>
      </c>
      <c r="T138" s="71">
        <v>31.2</v>
      </c>
      <c r="U138" s="65">
        <v>9</v>
      </c>
      <c r="V138" s="65">
        <v>151.69999999999999</v>
      </c>
      <c r="W138" s="70">
        <v>31.2</v>
      </c>
      <c r="X138" s="130">
        <f t="shared" si="24"/>
        <v>19.099999999999994</v>
      </c>
      <c r="Y138" s="16">
        <f t="shared" si="25"/>
        <v>10.4</v>
      </c>
      <c r="Z138" s="15">
        <f t="shared" si="28"/>
        <v>-6.6000000000000085</v>
      </c>
      <c r="AA138" s="16">
        <f t="shared" si="29"/>
        <v>1915.4766666666667</v>
      </c>
      <c r="AB138" s="16">
        <f t="shared" si="30"/>
        <v>21.266530607366921</v>
      </c>
      <c r="AC138" s="66" t="s">
        <v>48</v>
      </c>
      <c r="AD138" s="51" t="s">
        <v>194</v>
      </c>
      <c r="AE138" s="13">
        <v>4</v>
      </c>
      <c r="AF138" s="13">
        <v>3</v>
      </c>
      <c r="AG138" s="13">
        <v>10</v>
      </c>
      <c r="AH138" s="13">
        <v>205160</v>
      </c>
      <c r="AI138" s="13">
        <v>3</v>
      </c>
      <c r="AJ138" s="135">
        <f t="shared" si="26"/>
        <v>30</v>
      </c>
      <c r="AK138" s="136">
        <f t="shared" si="27"/>
        <v>90</v>
      </c>
      <c r="AL138" s="136" t="str" cm="1">
        <f t="array" ref="AL138">_xlfn.IFS(
AI138&lt;3,"Ligera",
AI138&lt;=6,"Moderada",
AI138&gt;6,"Vigorosa"
)</f>
        <v>Moderada</v>
      </c>
      <c r="AM138" s="45" t="s">
        <v>48</v>
      </c>
      <c r="AN138" s="46" t="s">
        <v>60</v>
      </c>
      <c r="AO138" s="46" t="s">
        <v>61</v>
      </c>
      <c r="AP138" s="289" t="s">
        <v>62</v>
      </c>
      <c r="AQ138" s="139">
        <v>0</v>
      </c>
    </row>
    <row r="139" spans="1:45" ht="70.5" customHeight="1" thickBot="1">
      <c r="A139" s="138" t="s">
        <v>191</v>
      </c>
      <c r="B139" s="12">
        <v>17</v>
      </c>
      <c r="C139" s="12">
        <v>90.3</v>
      </c>
      <c r="D139" s="12">
        <v>37.5</v>
      </c>
      <c r="E139" s="12" t="s">
        <v>45</v>
      </c>
      <c r="F139" s="12" t="s">
        <v>45</v>
      </c>
      <c r="G139" s="12" t="s">
        <v>192</v>
      </c>
      <c r="H139" s="12"/>
      <c r="I139" s="12" t="s">
        <v>47</v>
      </c>
      <c r="J139" s="12" t="s">
        <v>47</v>
      </c>
      <c r="K139" s="12" t="s">
        <v>49</v>
      </c>
      <c r="L139" s="12" t="s">
        <v>49</v>
      </c>
      <c r="M139" s="11" t="s">
        <v>50</v>
      </c>
      <c r="N139" s="11" t="s">
        <v>50</v>
      </c>
      <c r="O139" s="11" t="s">
        <v>50</v>
      </c>
      <c r="P139" s="11" t="s">
        <v>197</v>
      </c>
      <c r="Q139" s="50" t="s">
        <v>198</v>
      </c>
      <c r="R139" s="65">
        <v>8</v>
      </c>
      <c r="S139" s="70">
        <v>35.6</v>
      </c>
      <c r="T139" s="70">
        <v>14.9</v>
      </c>
      <c r="U139" s="65">
        <v>8</v>
      </c>
      <c r="V139" s="65">
        <v>28.4</v>
      </c>
      <c r="W139" s="70">
        <v>16.600000000000001</v>
      </c>
      <c r="X139" s="130">
        <f t="shared" si="24"/>
        <v>-7.2000000000000028</v>
      </c>
      <c r="Y139" s="16">
        <f t="shared" si="25"/>
        <v>5.5927408307555249</v>
      </c>
      <c r="Z139" s="130" t="s">
        <v>53</v>
      </c>
      <c r="AA139" s="131" t="s">
        <v>53</v>
      </c>
      <c r="AB139" s="16">
        <v>5.5927408307555249</v>
      </c>
      <c r="AC139" s="66" t="s">
        <v>48</v>
      </c>
      <c r="AD139" s="51" t="s">
        <v>193</v>
      </c>
      <c r="AE139" s="13">
        <v>4</v>
      </c>
      <c r="AF139" s="49">
        <v>0</v>
      </c>
      <c r="AG139" s="49">
        <v>0</v>
      </c>
      <c r="AH139" s="134">
        <v>0</v>
      </c>
      <c r="AI139" s="134">
        <v>0</v>
      </c>
      <c r="AJ139" s="135">
        <f t="shared" si="26"/>
        <v>0</v>
      </c>
      <c r="AK139" s="136">
        <f t="shared" si="27"/>
        <v>0</v>
      </c>
      <c r="AL139" s="136" t="str" cm="1">
        <f t="array" ref="AL139">_xlfn.IFS(
AI139&lt;3,"Ligera",
AI139&lt;=6,"Moderada",
AI139&gt;6,"Vigorosa"
)</f>
        <v>Ligera</v>
      </c>
      <c r="AM139" s="45" t="s">
        <v>49</v>
      </c>
      <c r="AN139" s="289" t="s">
        <v>49</v>
      </c>
      <c r="AO139" s="46" t="s">
        <v>61</v>
      </c>
      <c r="AP139" s="289" t="s">
        <v>62</v>
      </c>
      <c r="AQ139" s="139">
        <v>0</v>
      </c>
    </row>
    <row r="140" spans="1:45" ht="70.5" customHeight="1" thickBot="1">
      <c r="A140" s="140" t="s">
        <v>191</v>
      </c>
      <c r="B140" s="141">
        <v>17</v>
      </c>
      <c r="C140" s="141">
        <v>86.1</v>
      </c>
      <c r="D140" s="141">
        <v>44.44</v>
      </c>
      <c r="E140" s="141" t="s">
        <v>45</v>
      </c>
      <c r="F140" s="141" t="s">
        <v>45</v>
      </c>
      <c r="G140" s="141" t="s">
        <v>192</v>
      </c>
      <c r="H140" s="141"/>
      <c r="I140" s="141" t="s">
        <v>47</v>
      </c>
      <c r="J140" s="141" t="s">
        <v>47</v>
      </c>
      <c r="K140" s="141" t="s">
        <v>49</v>
      </c>
      <c r="L140" s="141" t="s">
        <v>49</v>
      </c>
      <c r="M140" s="142" t="s">
        <v>56</v>
      </c>
      <c r="N140" s="142" t="s">
        <v>57</v>
      </c>
      <c r="O140" s="142" t="s">
        <v>58</v>
      </c>
      <c r="P140" s="142" t="s">
        <v>197</v>
      </c>
      <c r="Q140" s="158" t="s">
        <v>198</v>
      </c>
      <c r="R140" s="144">
        <v>9</v>
      </c>
      <c r="S140" s="164">
        <v>34.200000000000003</v>
      </c>
      <c r="T140" s="164">
        <v>10.3</v>
      </c>
      <c r="U140" s="144">
        <v>9</v>
      </c>
      <c r="V140" s="144">
        <v>22.8</v>
      </c>
      <c r="W140" s="162">
        <v>4.4000000000000004</v>
      </c>
      <c r="X140" s="130">
        <f t="shared" ref="X140:X192" si="31">V140-S140</f>
        <v>-11.400000000000002</v>
      </c>
      <c r="Y140" s="16">
        <f t="shared" si="25"/>
        <v>2.9838453936712832</v>
      </c>
      <c r="Z140" s="15">
        <f t="shared" si="28"/>
        <v>-4.1999999999999993</v>
      </c>
      <c r="AA140" s="16">
        <f t="shared" si="29"/>
        <v>138.92000000000004</v>
      </c>
      <c r="AB140" s="16">
        <f t="shared" si="30"/>
        <v>5.7271769272090385</v>
      </c>
      <c r="AC140" s="66" t="s">
        <v>48</v>
      </c>
      <c r="AD140" s="151" t="s">
        <v>194</v>
      </c>
      <c r="AE140" s="146">
        <v>4</v>
      </c>
      <c r="AF140" s="146">
        <v>3</v>
      </c>
      <c r="AG140" s="146">
        <v>10</v>
      </c>
      <c r="AH140" s="13">
        <v>205160</v>
      </c>
      <c r="AI140" s="13">
        <v>3</v>
      </c>
      <c r="AJ140" s="135">
        <f t="shared" ref="AJ140:AJ192" si="32">AI140*AG140</f>
        <v>30</v>
      </c>
      <c r="AK140" s="136">
        <f t="shared" ref="AK140:AK192" si="33">AJ140*AF140</f>
        <v>90</v>
      </c>
      <c r="AL140" s="136" t="str" cm="1">
        <f t="array" ref="AL140">_xlfn.IFS(
AI140&lt;3,"Ligera",
AI140&lt;=6,"Moderada",
AI140&gt;6,"Vigorosa"
)</f>
        <v>Moderada</v>
      </c>
      <c r="AM140" s="147" t="s">
        <v>48</v>
      </c>
      <c r="AN140" s="148" t="s">
        <v>60</v>
      </c>
      <c r="AO140" s="148" t="s">
        <v>61</v>
      </c>
      <c r="AP140" s="290" t="s">
        <v>62</v>
      </c>
      <c r="AQ140" s="149">
        <v>0</v>
      </c>
    </row>
    <row r="141" spans="1:45" ht="70.5" customHeight="1" thickBot="1">
      <c r="A141" s="124" t="s">
        <v>199</v>
      </c>
      <c r="B141" s="125">
        <v>64</v>
      </c>
      <c r="C141" s="125">
        <v>72.2</v>
      </c>
      <c r="D141" s="125" t="s">
        <v>47</v>
      </c>
      <c r="E141" s="125" t="s">
        <v>45</v>
      </c>
      <c r="F141" s="125" t="s">
        <v>45</v>
      </c>
      <c r="G141" s="125" t="s">
        <v>200</v>
      </c>
      <c r="H141" s="125"/>
      <c r="I141" s="125" t="s">
        <v>45</v>
      </c>
      <c r="J141" s="125" t="s">
        <v>47</v>
      </c>
      <c r="K141" s="125" t="s">
        <v>49</v>
      </c>
      <c r="L141" s="125" t="s">
        <v>49</v>
      </c>
      <c r="M141" s="126" t="s">
        <v>50</v>
      </c>
      <c r="N141" s="126" t="s">
        <v>50</v>
      </c>
      <c r="O141" s="126" t="s">
        <v>50</v>
      </c>
      <c r="P141" s="126" t="s">
        <v>51</v>
      </c>
      <c r="Q141" s="159" t="s">
        <v>124</v>
      </c>
      <c r="R141" s="128">
        <v>30</v>
      </c>
      <c r="S141" s="182">
        <v>19.5</v>
      </c>
      <c r="T141" s="182">
        <v>9</v>
      </c>
      <c r="U141" s="128">
        <v>30</v>
      </c>
      <c r="V141" s="128">
        <v>21.8</v>
      </c>
      <c r="W141" s="166">
        <v>9</v>
      </c>
      <c r="X141" s="130">
        <f t="shared" si="31"/>
        <v>2.3000000000000007</v>
      </c>
      <c r="Y141" s="16">
        <f>SQRT((T141^2+W141^2-(2*0.5*T141*W141)))/SQRT(U141)</f>
        <v>1.6431676725154982</v>
      </c>
      <c r="Z141" s="130" t="s">
        <v>53</v>
      </c>
      <c r="AA141" s="131" t="s">
        <v>53</v>
      </c>
      <c r="AB141" s="16">
        <v>1.6431676725154982</v>
      </c>
      <c r="AC141" s="66" t="s">
        <v>48</v>
      </c>
      <c r="AD141" s="133" t="s">
        <v>201</v>
      </c>
      <c r="AE141" s="134">
        <v>8</v>
      </c>
      <c r="AF141" s="161">
        <v>0</v>
      </c>
      <c r="AG141" s="161">
        <v>0</v>
      </c>
      <c r="AH141" s="134">
        <v>0</v>
      </c>
      <c r="AI141" s="134">
        <v>0</v>
      </c>
      <c r="AJ141" s="135">
        <f t="shared" si="32"/>
        <v>0</v>
      </c>
      <c r="AK141" s="136">
        <f t="shared" si="33"/>
        <v>0</v>
      </c>
      <c r="AL141" s="136" t="str" cm="1">
        <f t="array" ref="AL141">_xlfn.IFS(
AI141&lt;3,"Ligera",
AI141&lt;=6,"Moderada",
AI141&gt;6,"Vigorosa"
)</f>
        <v>Ligera</v>
      </c>
      <c r="AM141" s="136" t="s">
        <v>49</v>
      </c>
      <c r="AN141" s="288" t="s">
        <v>49</v>
      </c>
      <c r="AO141" s="135" t="s">
        <v>49</v>
      </c>
      <c r="AP141" s="288" t="s">
        <v>49</v>
      </c>
      <c r="AQ141" s="137">
        <v>0</v>
      </c>
    </row>
    <row r="142" spans="1:45" ht="70.5" customHeight="1" thickBot="1">
      <c r="A142" s="140" t="s">
        <v>199</v>
      </c>
      <c r="B142" s="141">
        <v>64</v>
      </c>
      <c r="C142" s="141">
        <v>72.2</v>
      </c>
      <c r="D142" s="141" t="s">
        <v>47</v>
      </c>
      <c r="E142" s="141" t="s">
        <v>45</v>
      </c>
      <c r="F142" s="141" t="s">
        <v>45</v>
      </c>
      <c r="G142" s="141" t="s">
        <v>200</v>
      </c>
      <c r="H142" s="141"/>
      <c r="I142" s="141" t="s">
        <v>45</v>
      </c>
      <c r="J142" s="141" t="s">
        <v>47</v>
      </c>
      <c r="K142" s="141" t="s">
        <v>49</v>
      </c>
      <c r="L142" s="141" t="s">
        <v>49</v>
      </c>
      <c r="M142" s="142" t="s">
        <v>56</v>
      </c>
      <c r="N142" s="142" t="s">
        <v>152</v>
      </c>
      <c r="O142" s="142" t="s">
        <v>202</v>
      </c>
      <c r="P142" s="142" t="s">
        <v>51</v>
      </c>
      <c r="Q142" s="158" t="s">
        <v>124</v>
      </c>
      <c r="R142" s="144">
        <v>30</v>
      </c>
      <c r="S142" s="162">
        <v>15.4</v>
      </c>
      <c r="T142" s="162">
        <v>4.5999999999999996</v>
      </c>
      <c r="U142" s="144">
        <v>30</v>
      </c>
      <c r="V142" s="162">
        <v>14.1</v>
      </c>
      <c r="W142" s="162">
        <v>4.4000000000000004</v>
      </c>
      <c r="X142" s="130">
        <f t="shared" si="31"/>
        <v>-1.3000000000000007</v>
      </c>
      <c r="Y142" s="16">
        <f t="shared" ref="Y142:Y193" si="34">SQRT((T142^2+W142^2-(2*0.5*T142*W142)))/SQRT(U142)</f>
        <v>0.82219219164377855</v>
      </c>
      <c r="Z142" s="15">
        <f t="shared" ref="Z142:Z194" si="35">X142-X141</f>
        <v>-3.6000000000000014</v>
      </c>
      <c r="AA142" s="16">
        <f t="shared" ref="AA142:AA194" si="36">((U142-1)*W142^2+(U141-1)*W141^2)/((U142-1)+(U141-1))</f>
        <v>50.18</v>
      </c>
      <c r="AB142" s="16">
        <f t="shared" ref="AB142:AB194" si="37">SQRT(AA142*((1/U142)+(1/U141)))</f>
        <v>1.8290252413056887</v>
      </c>
      <c r="AC142" s="66" t="s">
        <v>48</v>
      </c>
      <c r="AD142" s="151" t="s">
        <v>203</v>
      </c>
      <c r="AE142" s="146">
        <v>8</v>
      </c>
      <c r="AF142" s="146">
        <v>3</v>
      </c>
      <c r="AG142" s="146">
        <v>40</v>
      </c>
      <c r="AH142" s="146">
        <v>2220060</v>
      </c>
      <c r="AI142" s="146">
        <v>2.8</v>
      </c>
      <c r="AJ142" s="135">
        <f t="shared" si="32"/>
        <v>112</v>
      </c>
      <c r="AK142" s="136">
        <f t="shared" si="33"/>
        <v>336</v>
      </c>
      <c r="AL142" s="136" t="str" cm="1">
        <f t="array" ref="AL142">_xlfn.IFS(
AI142&lt;3,"Ligera",
AI142&lt;=6,"Moderada",
AI142&gt;6,"Vigorosa"
)</f>
        <v>Ligera</v>
      </c>
      <c r="AM142" s="147" t="s">
        <v>48</v>
      </c>
      <c r="AN142" s="148" t="s">
        <v>60</v>
      </c>
      <c r="AO142" s="148" t="s">
        <v>61</v>
      </c>
      <c r="AP142" s="290" t="s">
        <v>62</v>
      </c>
      <c r="AQ142" s="149">
        <v>0</v>
      </c>
    </row>
    <row r="143" spans="1:45" ht="70.5" customHeight="1" thickBot="1">
      <c r="A143" s="124" t="s">
        <v>204</v>
      </c>
      <c r="B143" s="125">
        <v>33</v>
      </c>
      <c r="C143" s="125">
        <v>86.3</v>
      </c>
      <c r="D143" s="125">
        <v>0</v>
      </c>
      <c r="E143" s="125" t="s">
        <v>45</v>
      </c>
      <c r="F143" s="125" t="s">
        <v>45</v>
      </c>
      <c r="G143" s="125" t="s">
        <v>205</v>
      </c>
      <c r="H143" s="125"/>
      <c r="I143" s="125" t="s">
        <v>45</v>
      </c>
      <c r="J143" s="125">
        <v>4</v>
      </c>
      <c r="K143" s="125" t="s">
        <v>48</v>
      </c>
      <c r="L143" s="125" t="s">
        <v>48</v>
      </c>
      <c r="M143" s="175" t="s">
        <v>50</v>
      </c>
      <c r="N143" s="175" t="s">
        <v>50</v>
      </c>
      <c r="O143" s="175" t="s">
        <v>50</v>
      </c>
      <c r="P143" s="175" t="s">
        <v>51</v>
      </c>
      <c r="Q143" s="176" t="s">
        <v>124</v>
      </c>
      <c r="R143" s="128">
        <v>16</v>
      </c>
      <c r="S143" s="182">
        <v>21.18</v>
      </c>
      <c r="T143" s="183">
        <v>19.920000000000002</v>
      </c>
      <c r="U143" s="128">
        <v>14</v>
      </c>
      <c r="V143" s="152">
        <v>24.08</v>
      </c>
      <c r="W143" s="183">
        <v>8.9</v>
      </c>
      <c r="X143" s="130">
        <f t="shared" si="31"/>
        <v>2.8999999999999986</v>
      </c>
      <c r="Y143" s="16">
        <f t="shared" si="34"/>
        <v>4.6192794738078859</v>
      </c>
      <c r="Z143" s="130" t="s">
        <v>53</v>
      </c>
      <c r="AA143" s="131" t="s">
        <v>53</v>
      </c>
      <c r="AB143" s="16">
        <v>4.6192794738078859</v>
      </c>
      <c r="AC143" s="66" t="s">
        <v>48</v>
      </c>
      <c r="AD143" s="133" t="s">
        <v>206</v>
      </c>
      <c r="AE143" s="134">
        <v>12</v>
      </c>
      <c r="AF143" s="161">
        <v>0</v>
      </c>
      <c r="AG143" s="161">
        <v>0</v>
      </c>
      <c r="AH143" s="134">
        <v>0</v>
      </c>
      <c r="AI143" s="134">
        <v>0</v>
      </c>
      <c r="AJ143" s="135">
        <f t="shared" si="32"/>
        <v>0</v>
      </c>
      <c r="AK143" s="136">
        <f t="shared" si="33"/>
        <v>0</v>
      </c>
      <c r="AL143" s="136" t="str" cm="1">
        <f t="array" ref="AL143">_xlfn.IFS(
AI143&lt;3,"Ligera",
AI143&lt;=6,"Moderada",
AI143&gt;6,"Vigorosa"
)</f>
        <v>Ligera</v>
      </c>
      <c r="AM143" s="136" t="s">
        <v>49</v>
      </c>
      <c r="AN143" s="135" t="s">
        <v>49</v>
      </c>
      <c r="AO143" s="135" t="s">
        <v>49</v>
      </c>
      <c r="AP143" s="135" t="s">
        <v>49</v>
      </c>
      <c r="AQ143" s="137">
        <v>0</v>
      </c>
      <c r="AS143" s="83" t="s">
        <v>207</v>
      </c>
    </row>
    <row r="144" spans="1:45" ht="70.5" customHeight="1" thickBot="1">
      <c r="A144" s="138" t="s">
        <v>204</v>
      </c>
      <c r="B144" s="12">
        <v>33</v>
      </c>
      <c r="C144" s="12">
        <v>86.3</v>
      </c>
      <c r="D144" s="12">
        <v>0</v>
      </c>
      <c r="E144" s="12" t="s">
        <v>45</v>
      </c>
      <c r="F144" s="12" t="s">
        <v>45</v>
      </c>
      <c r="G144" s="12" t="s">
        <v>205</v>
      </c>
      <c r="H144" s="12"/>
      <c r="I144" s="12" t="s">
        <v>45</v>
      </c>
      <c r="J144" s="12">
        <v>4</v>
      </c>
      <c r="K144" s="12" t="s">
        <v>48</v>
      </c>
      <c r="L144" s="12" t="s">
        <v>48</v>
      </c>
      <c r="M144" s="77" t="s">
        <v>56</v>
      </c>
      <c r="N144" s="77" t="s">
        <v>57</v>
      </c>
      <c r="O144" s="77" t="s">
        <v>208</v>
      </c>
      <c r="P144" s="77" t="s">
        <v>51</v>
      </c>
      <c r="Q144" s="78" t="s">
        <v>124</v>
      </c>
      <c r="R144" s="65">
        <v>17</v>
      </c>
      <c r="S144" s="70">
        <v>33.14</v>
      </c>
      <c r="T144" s="82">
        <v>25.08</v>
      </c>
      <c r="U144" s="65">
        <v>14</v>
      </c>
      <c r="V144" s="70">
        <v>26.22</v>
      </c>
      <c r="W144" s="82">
        <v>15.56</v>
      </c>
      <c r="X144" s="130">
        <f t="shared" si="31"/>
        <v>-6.9200000000000017</v>
      </c>
      <c r="Y144" s="16">
        <f t="shared" si="34"/>
        <v>5.8607361799887023</v>
      </c>
      <c r="Z144" s="15">
        <f t="shared" si="35"/>
        <v>-9.82</v>
      </c>
      <c r="AA144" s="16">
        <f t="shared" si="36"/>
        <v>160.6618</v>
      </c>
      <c r="AB144" s="16">
        <f t="shared" si="37"/>
        <v>4.7907917627763483</v>
      </c>
      <c r="AC144" s="66" t="s">
        <v>48</v>
      </c>
      <c r="AD144" s="51" t="s">
        <v>209</v>
      </c>
      <c r="AE144" s="13">
        <v>12</v>
      </c>
      <c r="AF144" s="13">
        <v>3</v>
      </c>
      <c r="AG144" s="13">
        <v>20</v>
      </c>
      <c r="AH144" s="13">
        <v>211360</v>
      </c>
      <c r="AI144" s="13">
        <v>3.5</v>
      </c>
      <c r="AJ144" s="135">
        <f t="shared" si="32"/>
        <v>70</v>
      </c>
      <c r="AK144" s="136">
        <f t="shared" si="33"/>
        <v>210</v>
      </c>
      <c r="AL144" s="136" t="str" cm="1">
        <f t="array" ref="AL144">_xlfn.IFS(
AI144&lt;3,"Ligera",
AI144&lt;=6,"Moderada",
AI144&gt;6,"Vigorosa"
)</f>
        <v>Moderada</v>
      </c>
      <c r="AM144" s="45" t="s">
        <v>48</v>
      </c>
      <c r="AN144" s="46" t="s">
        <v>60</v>
      </c>
      <c r="AO144" s="46" t="s">
        <v>61</v>
      </c>
      <c r="AP144" s="46" t="s">
        <v>62</v>
      </c>
      <c r="AQ144" s="139">
        <v>0</v>
      </c>
      <c r="AS144" s="83" t="s">
        <v>207</v>
      </c>
    </row>
    <row r="145" spans="1:45" ht="70.5" customHeight="1" thickBot="1">
      <c r="A145" s="138" t="s">
        <v>204</v>
      </c>
      <c r="B145" s="12">
        <v>33</v>
      </c>
      <c r="C145" s="12">
        <v>86.3</v>
      </c>
      <c r="D145" s="12">
        <v>0</v>
      </c>
      <c r="E145" s="12" t="s">
        <v>45</v>
      </c>
      <c r="F145" s="12" t="s">
        <v>45</v>
      </c>
      <c r="G145" s="12" t="s">
        <v>205</v>
      </c>
      <c r="H145" s="12"/>
      <c r="I145" s="12" t="s">
        <v>45</v>
      </c>
      <c r="J145" s="12">
        <v>4</v>
      </c>
      <c r="K145" s="12" t="s">
        <v>48</v>
      </c>
      <c r="L145" s="12" t="s">
        <v>48</v>
      </c>
      <c r="M145" s="77" t="s">
        <v>50</v>
      </c>
      <c r="N145" s="77" t="s">
        <v>50</v>
      </c>
      <c r="O145" s="77" t="s">
        <v>50</v>
      </c>
      <c r="P145" s="77" t="s">
        <v>51</v>
      </c>
      <c r="Q145" s="78" t="s">
        <v>210</v>
      </c>
      <c r="R145" s="65">
        <v>16</v>
      </c>
      <c r="S145" s="70">
        <v>0.79</v>
      </c>
      <c r="T145" s="82">
        <v>0.24</v>
      </c>
      <c r="U145" s="65">
        <v>13</v>
      </c>
      <c r="V145" s="70">
        <v>0.47</v>
      </c>
      <c r="W145" s="82">
        <v>0.14799999999999999</v>
      </c>
      <c r="X145" s="130">
        <f t="shared" si="31"/>
        <v>-0.32000000000000006</v>
      </c>
      <c r="Y145" s="16">
        <f t="shared" si="34"/>
        <v>5.8166868708781426E-2</v>
      </c>
      <c r="Z145" s="130" t="s">
        <v>53</v>
      </c>
      <c r="AA145" s="131" t="s">
        <v>53</v>
      </c>
      <c r="AB145" s="16">
        <v>5.8166868708781426E-2</v>
      </c>
      <c r="AC145" s="66" t="s">
        <v>49</v>
      </c>
      <c r="AD145" s="51" t="s">
        <v>206</v>
      </c>
      <c r="AE145" s="13">
        <v>12</v>
      </c>
      <c r="AF145" s="49">
        <v>0</v>
      </c>
      <c r="AG145" s="49">
        <v>0</v>
      </c>
      <c r="AH145" s="134">
        <v>0</v>
      </c>
      <c r="AI145" s="134">
        <v>0</v>
      </c>
      <c r="AJ145" s="135">
        <f t="shared" si="32"/>
        <v>0</v>
      </c>
      <c r="AK145" s="136">
        <f t="shared" si="33"/>
        <v>0</v>
      </c>
      <c r="AL145" s="136" t="str" cm="1">
        <f t="array" ref="AL145">_xlfn.IFS(
AI145&lt;3,"Ligera",
AI145&lt;=6,"Moderada",
AI145&gt;6,"Vigorosa"
)</f>
        <v>Ligera</v>
      </c>
      <c r="AM145" s="45" t="s">
        <v>49</v>
      </c>
      <c r="AN145" s="46" t="s">
        <v>49</v>
      </c>
      <c r="AO145" s="46" t="s">
        <v>49</v>
      </c>
      <c r="AP145" s="46" t="s">
        <v>49</v>
      </c>
      <c r="AQ145" s="139">
        <v>0</v>
      </c>
      <c r="AS145" s="83" t="s">
        <v>207</v>
      </c>
    </row>
    <row r="146" spans="1:45" ht="70.5" customHeight="1" thickBot="1">
      <c r="A146" s="138" t="s">
        <v>204</v>
      </c>
      <c r="B146" s="12">
        <v>33</v>
      </c>
      <c r="C146" s="12">
        <v>86.3</v>
      </c>
      <c r="D146" s="12">
        <v>0</v>
      </c>
      <c r="E146" s="12" t="s">
        <v>45</v>
      </c>
      <c r="F146" s="12" t="s">
        <v>45</v>
      </c>
      <c r="G146" s="12" t="s">
        <v>205</v>
      </c>
      <c r="H146" s="12"/>
      <c r="I146" s="12" t="s">
        <v>45</v>
      </c>
      <c r="J146" s="12">
        <v>4</v>
      </c>
      <c r="K146" s="12" t="s">
        <v>48</v>
      </c>
      <c r="L146" s="12" t="s">
        <v>48</v>
      </c>
      <c r="M146" s="77" t="s">
        <v>56</v>
      </c>
      <c r="N146" s="77" t="s">
        <v>57</v>
      </c>
      <c r="O146" s="77" t="s">
        <v>208</v>
      </c>
      <c r="P146" s="77" t="s">
        <v>51</v>
      </c>
      <c r="Q146" s="78" t="s">
        <v>210</v>
      </c>
      <c r="R146" s="65">
        <v>17</v>
      </c>
      <c r="S146" s="70">
        <v>1.03</v>
      </c>
      <c r="T146" s="82">
        <v>0.53</v>
      </c>
      <c r="U146" s="65">
        <v>14</v>
      </c>
      <c r="V146" s="70">
        <v>0.83</v>
      </c>
      <c r="W146" s="82">
        <v>0.61</v>
      </c>
      <c r="X146" s="130">
        <f t="shared" si="31"/>
        <v>-0.20000000000000007</v>
      </c>
      <c r="Y146" s="16">
        <f t="shared" si="34"/>
        <v>0.15346009253222806</v>
      </c>
      <c r="Z146" s="15">
        <f t="shared" si="35"/>
        <v>0.12</v>
      </c>
      <c r="AA146" s="16">
        <f t="shared" si="36"/>
        <v>0.20400592000000001</v>
      </c>
      <c r="AB146" s="16">
        <f t="shared" si="37"/>
        <v>0.17396727998533087</v>
      </c>
      <c r="AC146" s="66" t="s">
        <v>49</v>
      </c>
      <c r="AD146" s="51" t="s">
        <v>209</v>
      </c>
      <c r="AE146" s="13">
        <v>12</v>
      </c>
      <c r="AF146" s="13">
        <v>3</v>
      </c>
      <c r="AG146" s="13">
        <v>20</v>
      </c>
      <c r="AH146" s="13">
        <v>211360</v>
      </c>
      <c r="AI146" s="13">
        <v>3.5</v>
      </c>
      <c r="AJ146" s="135">
        <f t="shared" si="32"/>
        <v>70</v>
      </c>
      <c r="AK146" s="136">
        <f t="shared" si="33"/>
        <v>210</v>
      </c>
      <c r="AL146" s="136" t="str" cm="1">
        <f t="array" ref="AL146">_xlfn.IFS(
AI146&lt;3,"Ligera",
AI146&lt;=6,"Moderada",
AI146&gt;6,"Vigorosa"
)</f>
        <v>Moderada</v>
      </c>
      <c r="AM146" s="45" t="s">
        <v>48</v>
      </c>
      <c r="AN146" s="46" t="s">
        <v>60</v>
      </c>
      <c r="AO146" s="46" t="s">
        <v>61</v>
      </c>
      <c r="AP146" s="46" t="s">
        <v>62</v>
      </c>
      <c r="AQ146" s="139">
        <v>0</v>
      </c>
      <c r="AS146" s="83" t="s">
        <v>207</v>
      </c>
    </row>
    <row r="147" spans="1:45" ht="70.5" customHeight="1" thickBot="1">
      <c r="A147" s="138" t="s">
        <v>204</v>
      </c>
      <c r="B147" s="12">
        <v>33</v>
      </c>
      <c r="C147" s="12">
        <v>86.3</v>
      </c>
      <c r="D147" s="12">
        <v>0</v>
      </c>
      <c r="E147" s="12" t="s">
        <v>45</v>
      </c>
      <c r="F147" s="12" t="s">
        <v>45</v>
      </c>
      <c r="G147" s="12" t="s">
        <v>205</v>
      </c>
      <c r="H147" s="12"/>
      <c r="I147" s="12" t="s">
        <v>45</v>
      </c>
      <c r="J147" s="12">
        <v>4</v>
      </c>
      <c r="K147" s="12" t="s">
        <v>48</v>
      </c>
      <c r="L147" s="12" t="s">
        <v>48</v>
      </c>
      <c r="M147" s="77" t="s">
        <v>50</v>
      </c>
      <c r="N147" s="77" t="s">
        <v>50</v>
      </c>
      <c r="O147" s="77" t="s">
        <v>50</v>
      </c>
      <c r="P147" s="77" t="s">
        <v>94</v>
      </c>
      <c r="Q147" s="78" t="s">
        <v>119</v>
      </c>
      <c r="R147" s="65">
        <v>16</v>
      </c>
      <c r="S147" s="71">
        <v>18.3</v>
      </c>
      <c r="T147" s="70">
        <v>6.9</v>
      </c>
      <c r="U147" s="65">
        <v>16</v>
      </c>
      <c r="V147" s="70" t="s">
        <v>47</v>
      </c>
      <c r="W147" s="71" t="s">
        <v>47</v>
      </c>
      <c r="X147" s="130"/>
      <c r="Y147" s="16"/>
      <c r="Z147" s="130"/>
      <c r="AA147" s="131"/>
      <c r="AB147" s="16"/>
      <c r="AC147" s="66" t="s">
        <v>49</v>
      </c>
      <c r="AD147" s="51" t="s">
        <v>206</v>
      </c>
      <c r="AE147" s="13">
        <v>12</v>
      </c>
      <c r="AF147" s="49">
        <v>0</v>
      </c>
      <c r="AG147" s="49">
        <v>0</v>
      </c>
      <c r="AH147" s="134">
        <v>0</v>
      </c>
      <c r="AI147" s="134">
        <v>0</v>
      </c>
      <c r="AJ147" s="135">
        <f t="shared" si="32"/>
        <v>0</v>
      </c>
      <c r="AK147" s="136">
        <f t="shared" si="33"/>
        <v>0</v>
      </c>
      <c r="AL147" s="136" t="str" cm="1">
        <f t="array" ref="AL147">_xlfn.IFS(
AI147&lt;3,"Ligera",
AI147&lt;=6,"Moderada",
AI147&gt;6,"Vigorosa"
)</f>
        <v>Ligera</v>
      </c>
      <c r="AM147" s="45" t="s">
        <v>49</v>
      </c>
      <c r="AN147" s="289" t="s">
        <v>49</v>
      </c>
      <c r="AO147" s="46" t="s">
        <v>49</v>
      </c>
      <c r="AP147" s="289" t="s">
        <v>49</v>
      </c>
      <c r="AQ147" s="139">
        <v>0</v>
      </c>
    </row>
    <row r="148" spans="1:45" ht="70.5" customHeight="1" thickBot="1">
      <c r="A148" s="140" t="s">
        <v>204</v>
      </c>
      <c r="B148" s="141">
        <v>33</v>
      </c>
      <c r="C148" s="141">
        <v>84.6</v>
      </c>
      <c r="D148" s="141">
        <v>35.299999999999997</v>
      </c>
      <c r="E148" s="141" t="s">
        <v>45</v>
      </c>
      <c r="F148" s="141" t="s">
        <v>45</v>
      </c>
      <c r="G148" s="141" t="s">
        <v>205</v>
      </c>
      <c r="H148" s="141"/>
      <c r="I148" s="141" t="s">
        <v>45</v>
      </c>
      <c r="J148" s="141">
        <v>4</v>
      </c>
      <c r="K148" s="141" t="s">
        <v>48</v>
      </c>
      <c r="L148" s="141" t="s">
        <v>48</v>
      </c>
      <c r="M148" s="177" t="s">
        <v>56</v>
      </c>
      <c r="N148" s="177" t="s">
        <v>57</v>
      </c>
      <c r="O148" s="177" t="s">
        <v>208</v>
      </c>
      <c r="P148" s="177" t="s">
        <v>94</v>
      </c>
      <c r="Q148" s="178" t="s">
        <v>119</v>
      </c>
      <c r="R148" s="144">
        <v>17</v>
      </c>
      <c r="S148" s="162">
        <v>19.600000000000001</v>
      </c>
      <c r="T148" s="162">
        <v>8.1999999999999993</v>
      </c>
      <c r="U148" s="144">
        <v>17</v>
      </c>
      <c r="V148" s="144" t="s">
        <v>47</v>
      </c>
      <c r="W148" s="162" t="s">
        <v>47</v>
      </c>
      <c r="X148" s="130"/>
      <c r="Y148" s="16"/>
      <c r="Z148" s="15"/>
      <c r="AA148" s="16"/>
      <c r="AB148" s="16"/>
      <c r="AC148" s="66" t="s">
        <v>49</v>
      </c>
      <c r="AD148" s="151" t="s">
        <v>209</v>
      </c>
      <c r="AE148" s="146">
        <v>12</v>
      </c>
      <c r="AF148" s="146">
        <v>3</v>
      </c>
      <c r="AG148" s="13">
        <v>20</v>
      </c>
      <c r="AH148" s="13">
        <v>211360</v>
      </c>
      <c r="AI148" s="13">
        <v>3.5</v>
      </c>
      <c r="AJ148" s="135">
        <f t="shared" si="32"/>
        <v>70</v>
      </c>
      <c r="AK148" s="136">
        <f t="shared" si="33"/>
        <v>210</v>
      </c>
      <c r="AL148" s="136" t="str" cm="1">
        <f t="array" ref="AL148">_xlfn.IFS(
AI148&lt;3,"Ligera",
AI148&lt;=6,"Moderada",
AI148&gt;6,"Vigorosa"
)</f>
        <v>Moderada</v>
      </c>
      <c r="AM148" s="147" t="s">
        <v>48</v>
      </c>
      <c r="AN148" s="148" t="s">
        <v>60</v>
      </c>
      <c r="AO148" s="148" t="s">
        <v>61</v>
      </c>
      <c r="AP148" s="290" t="s">
        <v>62</v>
      </c>
      <c r="AQ148" s="149">
        <v>0</v>
      </c>
    </row>
    <row r="149" spans="1:45" ht="70.5" customHeight="1" thickBot="1">
      <c r="A149" s="124" t="s">
        <v>211</v>
      </c>
      <c r="B149" s="125">
        <v>24</v>
      </c>
      <c r="C149" s="125">
        <v>78.599999999999994</v>
      </c>
      <c r="D149" s="125">
        <v>36.36</v>
      </c>
      <c r="E149" s="125" t="s">
        <v>45</v>
      </c>
      <c r="F149" s="125" t="s">
        <v>45</v>
      </c>
      <c r="G149" s="125" t="s">
        <v>212</v>
      </c>
      <c r="H149" s="125"/>
      <c r="I149" s="125" t="s">
        <v>45</v>
      </c>
      <c r="J149" s="125" t="s">
        <v>47</v>
      </c>
      <c r="K149" s="125" t="s">
        <v>48</v>
      </c>
      <c r="L149" s="125" t="s">
        <v>49</v>
      </c>
      <c r="M149" s="126" t="s">
        <v>56</v>
      </c>
      <c r="N149" s="126" t="s">
        <v>57</v>
      </c>
      <c r="O149" s="126" t="s">
        <v>126</v>
      </c>
      <c r="P149" s="126" t="s">
        <v>51</v>
      </c>
      <c r="Q149" s="159" t="s">
        <v>83</v>
      </c>
      <c r="R149" s="128">
        <v>11</v>
      </c>
      <c r="S149" s="152">
        <v>-23.2</v>
      </c>
      <c r="T149" s="152">
        <v>9.4</v>
      </c>
      <c r="U149" s="128">
        <v>11</v>
      </c>
      <c r="V149" s="128">
        <v>-19.899999999999999</v>
      </c>
      <c r="W149" s="166">
        <v>9.6999999999999993</v>
      </c>
      <c r="X149" s="130">
        <f t="shared" si="31"/>
        <v>3.3000000000000007</v>
      </c>
      <c r="Y149" s="16">
        <f t="shared" si="34"/>
        <v>2.8804986941973656</v>
      </c>
      <c r="Z149" s="130" t="s">
        <v>53</v>
      </c>
      <c r="AA149" s="131" t="s">
        <v>53</v>
      </c>
      <c r="AB149" s="16">
        <v>2.8804986941973656</v>
      </c>
      <c r="AC149" s="66" t="s">
        <v>49</v>
      </c>
      <c r="AD149" s="133" t="s">
        <v>213</v>
      </c>
      <c r="AE149" s="134">
        <v>6</v>
      </c>
      <c r="AF149" s="134">
        <v>3</v>
      </c>
      <c r="AG149" s="134">
        <v>6</v>
      </c>
      <c r="AH149" s="13">
        <v>205160</v>
      </c>
      <c r="AI149" s="13">
        <v>3</v>
      </c>
      <c r="AJ149" s="135">
        <f t="shared" si="32"/>
        <v>18</v>
      </c>
      <c r="AK149" s="136">
        <f t="shared" si="33"/>
        <v>54</v>
      </c>
      <c r="AL149" s="136" t="str" cm="1">
        <f t="array" ref="AL149">_xlfn.IFS(
AI149&lt;3,"Ligera",
AI149&lt;=6,"Moderada",
AI149&gt;6,"Vigorosa"
)</f>
        <v>Moderada</v>
      </c>
      <c r="AM149" s="136" t="s">
        <v>48</v>
      </c>
      <c r="AN149" s="135" t="s">
        <v>60</v>
      </c>
      <c r="AO149" s="135" t="s">
        <v>61</v>
      </c>
      <c r="AP149" s="288" t="s">
        <v>62</v>
      </c>
      <c r="AQ149" s="137">
        <v>0</v>
      </c>
    </row>
    <row r="150" spans="1:45" ht="70.5" customHeight="1" thickBot="1">
      <c r="A150" s="138" t="s">
        <v>211</v>
      </c>
      <c r="B150" s="12">
        <v>24</v>
      </c>
      <c r="C150" s="12">
        <v>76.3</v>
      </c>
      <c r="D150" s="12">
        <v>40</v>
      </c>
      <c r="E150" s="12" t="s">
        <v>45</v>
      </c>
      <c r="F150" s="12" t="s">
        <v>45</v>
      </c>
      <c r="G150" s="12" t="s">
        <v>212</v>
      </c>
      <c r="H150" s="12"/>
      <c r="I150" s="12" t="s">
        <v>45</v>
      </c>
      <c r="J150" s="12" t="s">
        <v>47</v>
      </c>
      <c r="K150" s="12" t="s">
        <v>48</v>
      </c>
      <c r="L150" s="12" t="s">
        <v>49</v>
      </c>
      <c r="M150" s="11" t="s">
        <v>56</v>
      </c>
      <c r="N150" s="11" t="s">
        <v>57</v>
      </c>
      <c r="O150" s="11" t="s">
        <v>58</v>
      </c>
      <c r="P150" s="11" t="s">
        <v>51</v>
      </c>
      <c r="Q150" s="50" t="s">
        <v>83</v>
      </c>
      <c r="R150" s="65">
        <v>10</v>
      </c>
      <c r="S150" s="70">
        <v>-21</v>
      </c>
      <c r="T150" s="70">
        <v>6.9</v>
      </c>
      <c r="U150" s="65">
        <v>10</v>
      </c>
      <c r="V150" s="65">
        <v>-18.100000000000001</v>
      </c>
      <c r="W150" s="70">
        <v>8</v>
      </c>
      <c r="X150" s="130">
        <f t="shared" si="31"/>
        <v>2.8999999999999986</v>
      </c>
      <c r="Y150" s="16">
        <f t="shared" si="34"/>
        <v>2.3750789460563202</v>
      </c>
      <c r="Z150" s="15">
        <f t="shared" si="35"/>
        <v>-0.40000000000000213</v>
      </c>
      <c r="AA150" s="16">
        <f t="shared" si="36"/>
        <v>79.836842105263145</v>
      </c>
      <c r="AB150" s="16">
        <f t="shared" si="37"/>
        <v>3.9040464837612294</v>
      </c>
      <c r="AC150" s="66" t="s">
        <v>49</v>
      </c>
      <c r="AD150" s="51" t="s">
        <v>214</v>
      </c>
      <c r="AE150" s="13">
        <v>6</v>
      </c>
      <c r="AF150" s="13">
        <v>3</v>
      </c>
      <c r="AG150" s="13">
        <v>6</v>
      </c>
      <c r="AH150" s="13">
        <v>205160</v>
      </c>
      <c r="AI150" s="13">
        <v>3</v>
      </c>
      <c r="AJ150" s="135">
        <f t="shared" si="32"/>
        <v>18</v>
      </c>
      <c r="AK150" s="136">
        <f t="shared" si="33"/>
        <v>54</v>
      </c>
      <c r="AL150" s="136" t="str" cm="1">
        <f t="array" ref="AL150">_xlfn.IFS(
AI150&lt;3,"Ligera",
AI150&lt;=6,"Moderada",
AI150&gt;6,"Vigorosa"
)</f>
        <v>Moderada</v>
      </c>
      <c r="AM150" s="45" t="s">
        <v>48</v>
      </c>
      <c r="AN150" s="46" t="s">
        <v>60</v>
      </c>
      <c r="AO150" s="46" t="s">
        <v>61</v>
      </c>
      <c r="AP150" s="289" t="s">
        <v>62</v>
      </c>
      <c r="AQ150" s="139">
        <v>0</v>
      </c>
    </row>
    <row r="151" spans="1:45" ht="70.5" customHeight="1" thickBot="1">
      <c r="A151" s="138" t="s">
        <v>211</v>
      </c>
      <c r="B151" s="12">
        <v>24</v>
      </c>
      <c r="C151" s="12">
        <v>78.599999999999994</v>
      </c>
      <c r="D151" s="12">
        <v>36.36</v>
      </c>
      <c r="E151" s="12" t="s">
        <v>45</v>
      </c>
      <c r="F151" s="12" t="s">
        <v>45</v>
      </c>
      <c r="G151" s="12" t="s">
        <v>212</v>
      </c>
      <c r="H151" s="12"/>
      <c r="I151" s="12" t="s">
        <v>45</v>
      </c>
      <c r="J151" s="12" t="s">
        <v>47</v>
      </c>
      <c r="K151" s="12" t="s">
        <v>48</v>
      </c>
      <c r="L151" s="12" t="s">
        <v>49</v>
      </c>
      <c r="M151" s="11" t="s">
        <v>56</v>
      </c>
      <c r="N151" s="11" t="s">
        <v>57</v>
      </c>
      <c r="O151" s="11" t="s">
        <v>126</v>
      </c>
      <c r="P151" s="11" t="s">
        <v>51</v>
      </c>
      <c r="Q151" s="50" t="s">
        <v>64</v>
      </c>
      <c r="R151" s="65">
        <v>11</v>
      </c>
      <c r="S151" s="70">
        <v>8.1999999999999993</v>
      </c>
      <c r="T151" s="70">
        <v>3.1</v>
      </c>
      <c r="U151" s="65">
        <v>11</v>
      </c>
      <c r="V151" s="65">
        <v>8.3000000000000007</v>
      </c>
      <c r="W151" s="71">
        <v>4</v>
      </c>
      <c r="X151" s="130">
        <f t="shared" si="31"/>
        <v>0.10000000000000142</v>
      </c>
      <c r="Y151" s="16">
        <f t="shared" si="34"/>
        <v>1.095859977784156</v>
      </c>
      <c r="Z151" s="130" t="s">
        <v>53</v>
      </c>
      <c r="AA151" s="131" t="s">
        <v>53</v>
      </c>
      <c r="AB151" s="16">
        <v>1.095859977784156</v>
      </c>
      <c r="AC151" s="66" t="s">
        <v>49</v>
      </c>
      <c r="AD151" s="51" t="s">
        <v>213</v>
      </c>
      <c r="AE151" s="13">
        <v>6</v>
      </c>
      <c r="AF151" s="13">
        <v>3</v>
      </c>
      <c r="AG151" s="13">
        <v>6</v>
      </c>
      <c r="AH151" s="13">
        <v>205160</v>
      </c>
      <c r="AI151" s="13">
        <v>3</v>
      </c>
      <c r="AJ151" s="135">
        <f t="shared" si="32"/>
        <v>18</v>
      </c>
      <c r="AK151" s="136">
        <f t="shared" si="33"/>
        <v>54</v>
      </c>
      <c r="AL151" s="136" t="str" cm="1">
        <f t="array" ref="AL151">_xlfn.IFS(
AI151&lt;3,"Ligera",
AI151&lt;=6,"Moderada",
AI151&gt;6,"Vigorosa"
)</f>
        <v>Moderada</v>
      </c>
      <c r="AM151" s="45" t="s">
        <v>48</v>
      </c>
      <c r="AN151" s="46" t="s">
        <v>60</v>
      </c>
      <c r="AO151" s="46" t="s">
        <v>61</v>
      </c>
      <c r="AP151" s="289" t="s">
        <v>62</v>
      </c>
      <c r="AQ151" s="139">
        <v>0</v>
      </c>
    </row>
    <row r="152" spans="1:45" ht="70.5" customHeight="1" thickBot="1">
      <c r="A152" s="138" t="s">
        <v>211</v>
      </c>
      <c r="B152" s="12">
        <v>24</v>
      </c>
      <c r="C152" s="12">
        <v>76.3</v>
      </c>
      <c r="D152" s="12">
        <v>40</v>
      </c>
      <c r="E152" s="12" t="s">
        <v>45</v>
      </c>
      <c r="F152" s="12" t="s">
        <v>45</v>
      </c>
      <c r="G152" s="12" t="s">
        <v>212</v>
      </c>
      <c r="H152" s="12"/>
      <c r="I152" s="12" t="s">
        <v>45</v>
      </c>
      <c r="J152" s="12" t="s">
        <v>47</v>
      </c>
      <c r="K152" s="12" t="s">
        <v>48</v>
      </c>
      <c r="L152" s="12" t="s">
        <v>49</v>
      </c>
      <c r="M152" s="11" t="s">
        <v>56</v>
      </c>
      <c r="N152" s="11" t="s">
        <v>57</v>
      </c>
      <c r="O152" s="11" t="s">
        <v>58</v>
      </c>
      <c r="P152" s="11" t="s">
        <v>51</v>
      </c>
      <c r="Q152" s="50" t="s">
        <v>64</v>
      </c>
      <c r="R152" s="65">
        <v>10</v>
      </c>
      <c r="S152" s="70">
        <v>7</v>
      </c>
      <c r="T152" s="70">
        <v>4.0999999999999996</v>
      </c>
      <c r="U152" s="65">
        <v>10</v>
      </c>
      <c r="V152" s="65">
        <v>8.8000000000000007</v>
      </c>
      <c r="W152" s="70">
        <v>5.4</v>
      </c>
      <c r="X152" s="130">
        <f t="shared" si="31"/>
        <v>1.8000000000000007</v>
      </c>
      <c r="Y152" s="16">
        <f t="shared" si="34"/>
        <v>1.5436968614336168</v>
      </c>
      <c r="Z152" s="15">
        <f t="shared" si="35"/>
        <v>1.6999999999999993</v>
      </c>
      <c r="AA152" s="16">
        <f t="shared" si="36"/>
        <v>22.23368421052632</v>
      </c>
      <c r="AB152" s="16">
        <f t="shared" si="37"/>
        <v>2.0602457232552114</v>
      </c>
      <c r="AC152" s="66" t="s">
        <v>49</v>
      </c>
      <c r="AD152" s="51" t="s">
        <v>214</v>
      </c>
      <c r="AE152" s="13">
        <v>6</v>
      </c>
      <c r="AF152" s="13">
        <v>3</v>
      </c>
      <c r="AG152" s="13">
        <v>6</v>
      </c>
      <c r="AH152" s="13">
        <v>205160</v>
      </c>
      <c r="AI152" s="13">
        <v>3</v>
      </c>
      <c r="AJ152" s="135">
        <f t="shared" si="32"/>
        <v>18</v>
      </c>
      <c r="AK152" s="136">
        <f t="shared" si="33"/>
        <v>54</v>
      </c>
      <c r="AL152" s="136" t="str" cm="1">
        <f t="array" ref="AL152">_xlfn.IFS(
AI152&lt;3,"Ligera",
AI152&lt;=6,"Moderada",
AI152&gt;6,"Vigorosa"
)</f>
        <v>Moderada</v>
      </c>
      <c r="AM152" s="45" t="s">
        <v>48</v>
      </c>
      <c r="AN152" s="46" t="s">
        <v>60</v>
      </c>
      <c r="AO152" s="46" t="s">
        <v>61</v>
      </c>
      <c r="AP152" s="289" t="s">
        <v>62</v>
      </c>
      <c r="AQ152" s="139">
        <v>0</v>
      </c>
    </row>
    <row r="153" spans="1:45" ht="70.5" customHeight="1" thickBot="1">
      <c r="A153" s="138" t="s">
        <v>211</v>
      </c>
      <c r="B153" s="12">
        <v>24</v>
      </c>
      <c r="C153" s="12">
        <v>78.599999999999994</v>
      </c>
      <c r="D153" s="12">
        <v>36.36</v>
      </c>
      <c r="E153" s="12" t="s">
        <v>45</v>
      </c>
      <c r="F153" s="12" t="s">
        <v>45</v>
      </c>
      <c r="G153" s="12" t="s">
        <v>212</v>
      </c>
      <c r="H153" s="12"/>
      <c r="I153" s="12" t="s">
        <v>45</v>
      </c>
      <c r="J153" s="12" t="s">
        <v>47</v>
      </c>
      <c r="K153" s="12" t="s">
        <v>48</v>
      </c>
      <c r="L153" s="12" t="s">
        <v>49</v>
      </c>
      <c r="M153" s="11" t="s">
        <v>56</v>
      </c>
      <c r="N153" s="11" t="s">
        <v>57</v>
      </c>
      <c r="O153" s="11" t="s">
        <v>126</v>
      </c>
      <c r="P153" s="11" t="s">
        <v>86</v>
      </c>
      <c r="Q153" s="50" t="s">
        <v>156</v>
      </c>
      <c r="R153" s="65">
        <v>11</v>
      </c>
      <c r="S153" s="70">
        <v>13.2</v>
      </c>
      <c r="T153" s="70">
        <v>2.6</v>
      </c>
      <c r="U153" s="65">
        <v>11</v>
      </c>
      <c r="V153" s="65">
        <v>11.8</v>
      </c>
      <c r="W153" s="71">
        <v>3.1</v>
      </c>
      <c r="X153" s="130">
        <f t="shared" si="31"/>
        <v>-1.3999999999999986</v>
      </c>
      <c r="Y153" s="16">
        <f t="shared" si="34"/>
        <v>0.86916888201001852</v>
      </c>
      <c r="Z153" s="130" t="s">
        <v>53</v>
      </c>
      <c r="AA153" s="131" t="s">
        <v>53</v>
      </c>
      <c r="AB153" s="16">
        <v>0.86916888201001852</v>
      </c>
      <c r="AC153" s="66" t="s">
        <v>49</v>
      </c>
      <c r="AD153" s="51" t="s">
        <v>213</v>
      </c>
      <c r="AE153" s="13">
        <v>6</v>
      </c>
      <c r="AF153" s="13">
        <v>3</v>
      </c>
      <c r="AG153" s="13">
        <v>6</v>
      </c>
      <c r="AH153" s="13">
        <v>205160</v>
      </c>
      <c r="AI153" s="13">
        <v>3</v>
      </c>
      <c r="AJ153" s="135">
        <f t="shared" si="32"/>
        <v>18</v>
      </c>
      <c r="AK153" s="136">
        <f t="shared" si="33"/>
        <v>54</v>
      </c>
      <c r="AL153" s="136" t="str" cm="1">
        <f t="array" ref="AL153">_xlfn.IFS(
AI153&lt;3,"Ligera",
AI153&lt;=6,"Moderada",
AI153&gt;6,"Vigorosa"
)</f>
        <v>Moderada</v>
      </c>
      <c r="AM153" s="45" t="s">
        <v>48</v>
      </c>
      <c r="AN153" s="46" t="s">
        <v>60</v>
      </c>
      <c r="AO153" s="46" t="s">
        <v>61</v>
      </c>
      <c r="AP153" s="289" t="s">
        <v>62</v>
      </c>
      <c r="AQ153" s="139">
        <v>0</v>
      </c>
    </row>
    <row r="154" spans="1:45" ht="70.5" customHeight="1" thickBot="1">
      <c r="A154" s="138" t="s">
        <v>211</v>
      </c>
      <c r="B154" s="12">
        <v>24</v>
      </c>
      <c r="C154" s="12">
        <v>76.3</v>
      </c>
      <c r="D154" s="12">
        <v>40</v>
      </c>
      <c r="E154" s="12" t="s">
        <v>45</v>
      </c>
      <c r="F154" s="12" t="s">
        <v>45</v>
      </c>
      <c r="G154" s="12" t="s">
        <v>212</v>
      </c>
      <c r="H154" s="12"/>
      <c r="I154" s="12" t="s">
        <v>45</v>
      </c>
      <c r="J154" s="12" t="s">
        <v>47</v>
      </c>
      <c r="K154" s="12" t="s">
        <v>48</v>
      </c>
      <c r="L154" s="12" t="s">
        <v>49</v>
      </c>
      <c r="M154" s="11" t="s">
        <v>56</v>
      </c>
      <c r="N154" s="11" t="s">
        <v>57</v>
      </c>
      <c r="O154" s="11" t="s">
        <v>58</v>
      </c>
      <c r="P154" s="11" t="s">
        <v>86</v>
      </c>
      <c r="Q154" s="50" t="s">
        <v>156</v>
      </c>
      <c r="R154" s="65">
        <v>10</v>
      </c>
      <c r="S154" s="70">
        <v>13.4</v>
      </c>
      <c r="T154" s="70">
        <v>3.1</v>
      </c>
      <c r="U154" s="65">
        <v>10</v>
      </c>
      <c r="V154" s="65">
        <v>13.9</v>
      </c>
      <c r="W154" s="70">
        <v>2.5</v>
      </c>
      <c r="X154" s="130">
        <f t="shared" si="31"/>
        <v>0.5</v>
      </c>
      <c r="Y154" s="16">
        <f t="shared" si="34"/>
        <v>0.90055538419355419</v>
      </c>
      <c r="Z154" s="15">
        <f t="shared" si="35"/>
        <v>1.8999999999999986</v>
      </c>
      <c r="AA154" s="16">
        <f t="shared" si="36"/>
        <v>8.0184210526315809</v>
      </c>
      <c r="AB154" s="16">
        <f t="shared" si="37"/>
        <v>1.2372507723514303</v>
      </c>
      <c r="AC154" s="66" t="s">
        <v>49</v>
      </c>
      <c r="AD154" s="51" t="s">
        <v>214</v>
      </c>
      <c r="AE154" s="13">
        <v>6</v>
      </c>
      <c r="AF154" s="13">
        <v>3</v>
      </c>
      <c r="AG154" s="13">
        <v>6</v>
      </c>
      <c r="AH154" s="13">
        <v>205160</v>
      </c>
      <c r="AI154" s="13">
        <v>3</v>
      </c>
      <c r="AJ154" s="135">
        <f t="shared" si="32"/>
        <v>18</v>
      </c>
      <c r="AK154" s="136">
        <f t="shared" si="33"/>
        <v>54</v>
      </c>
      <c r="AL154" s="136" t="str" cm="1">
        <f t="array" ref="AL154">_xlfn.IFS(
AI154&lt;3,"Ligera",
AI154&lt;=6,"Moderada",
AI154&gt;6,"Vigorosa"
)</f>
        <v>Moderada</v>
      </c>
      <c r="AM154" s="45" t="s">
        <v>48</v>
      </c>
      <c r="AN154" s="46" t="s">
        <v>60</v>
      </c>
      <c r="AO154" s="46" t="s">
        <v>61</v>
      </c>
      <c r="AP154" s="289" t="s">
        <v>62</v>
      </c>
      <c r="AQ154" s="139">
        <v>0</v>
      </c>
    </row>
    <row r="155" spans="1:45" ht="70.5" customHeight="1" thickBot="1">
      <c r="A155" s="138" t="s">
        <v>211</v>
      </c>
      <c r="B155" s="12">
        <v>24</v>
      </c>
      <c r="C155" s="12">
        <v>78.599999999999994</v>
      </c>
      <c r="D155" s="12">
        <v>36.36</v>
      </c>
      <c r="E155" s="12" t="s">
        <v>45</v>
      </c>
      <c r="F155" s="12" t="s">
        <v>45</v>
      </c>
      <c r="G155" s="12" t="s">
        <v>212</v>
      </c>
      <c r="H155" s="12"/>
      <c r="I155" s="12" t="s">
        <v>45</v>
      </c>
      <c r="J155" s="12" t="s">
        <v>47</v>
      </c>
      <c r="K155" s="12" t="s">
        <v>48</v>
      </c>
      <c r="L155" s="12" t="s">
        <v>49</v>
      </c>
      <c r="M155" s="11" t="s">
        <v>56</v>
      </c>
      <c r="N155" s="11" t="s">
        <v>57</v>
      </c>
      <c r="O155" s="11" t="s">
        <v>126</v>
      </c>
      <c r="P155" s="11" t="s">
        <v>86</v>
      </c>
      <c r="Q155" s="50" t="s">
        <v>157</v>
      </c>
      <c r="R155" s="65">
        <v>11</v>
      </c>
      <c r="S155" s="70">
        <v>9.9</v>
      </c>
      <c r="T155" s="70">
        <v>2.1</v>
      </c>
      <c r="U155" s="63">
        <v>11</v>
      </c>
      <c r="V155" s="65">
        <v>9.5</v>
      </c>
      <c r="W155" s="65">
        <v>2.2999999999999998</v>
      </c>
      <c r="X155" s="130">
        <f t="shared" si="31"/>
        <v>-0.40000000000000036</v>
      </c>
      <c r="Y155" s="16">
        <f t="shared" si="34"/>
        <v>0.66537754149600858</v>
      </c>
      <c r="Z155" s="130" t="s">
        <v>53</v>
      </c>
      <c r="AA155" s="131" t="s">
        <v>53</v>
      </c>
      <c r="AB155" s="16">
        <v>0.66537754149600858</v>
      </c>
      <c r="AC155" s="66" t="s">
        <v>49</v>
      </c>
      <c r="AD155" s="51" t="s">
        <v>213</v>
      </c>
      <c r="AE155" s="13">
        <v>6</v>
      </c>
      <c r="AF155" s="13">
        <v>3</v>
      </c>
      <c r="AG155" s="13">
        <v>6</v>
      </c>
      <c r="AH155" s="13">
        <v>205160</v>
      </c>
      <c r="AI155" s="13">
        <v>3</v>
      </c>
      <c r="AJ155" s="135">
        <f t="shared" si="32"/>
        <v>18</v>
      </c>
      <c r="AK155" s="136">
        <f t="shared" si="33"/>
        <v>54</v>
      </c>
      <c r="AL155" s="136" t="str" cm="1">
        <f t="array" ref="AL155">_xlfn.IFS(
AI155&lt;3,"Ligera",
AI155&lt;=6,"Moderada",
AI155&gt;6,"Vigorosa"
)</f>
        <v>Moderada</v>
      </c>
      <c r="AM155" s="45" t="s">
        <v>48</v>
      </c>
      <c r="AN155" s="46" t="s">
        <v>60</v>
      </c>
      <c r="AO155" s="46" t="s">
        <v>61</v>
      </c>
      <c r="AP155" s="289" t="s">
        <v>62</v>
      </c>
      <c r="AQ155" s="139">
        <v>0</v>
      </c>
    </row>
    <row r="156" spans="1:45" ht="70.5" customHeight="1" thickBot="1">
      <c r="A156" s="138" t="s">
        <v>211</v>
      </c>
      <c r="B156" s="12">
        <v>24</v>
      </c>
      <c r="C156" s="12">
        <v>76.3</v>
      </c>
      <c r="D156" s="12">
        <v>40</v>
      </c>
      <c r="E156" s="12" t="s">
        <v>45</v>
      </c>
      <c r="F156" s="12" t="s">
        <v>45</v>
      </c>
      <c r="G156" s="12" t="s">
        <v>212</v>
      </c>
      <c r="H156" s="12"/>
      <c r="I156" s="12" t="s">
        <v>45</v>
      </c>
      <c r="J156" s="12" t="s">
        <v>47</v>
      </c>
      <c r="K156" s="12" t="s">
        <v>48</v>
      </c>
      <c r="L156" s="12" t="s">
        <v>49</v>
      </c>
      <c r="M156" s="11" t="s">
        <v>56</v>
      </c>
      <c r="N156" s="11" t="s">
        <v>57</v>
      </c>
      <c r="O156" s="11" t="s">
        <v>58</v>
      </c>
      <c r="P156" s="11" t="s">
        <v>86</v>
      </c>
      <c r="Q156" s="50" t="s">
        <v>157</v>
      </c>
      <c r="R156" s="65">
        <v>10</v>
      </c>
      <c r="S156" s="70">
        <v>9.9</v>
      </c>
      <c r="T156" s="70">
        <v>2.8</v>
      </c>
      <c r="U156" s="65">
        <v>10</v>
      </c>
      <c r="V156" s="65">
        <v>9.5</v>
      </c>
      <c r="W156" s="70">
        <v>3.1</v>
      </c>
      <c r="X156" s="130">
        <f t="shared" si="31"/>
        <v>-0.40000000000000036</v>
      </c>
      <c r="Y156" s="16">
        <f t="shared" si="34"/>
        <v>0.93648278147545239</v>
      </c>
      <c r="Z156" s="15">
        <f t="shared" si="35"/>
        <v>0</v>
      </c>
      <c r="AA156" s="16">
        <f t="shared" si="36"/>
        <v>7.3363157894736837</v>
      </c>
      <c r="AB156" s="16">
        <f t="shared" si="37"/>
        <v>1.1834565382769369</v>
      </c>
      <c r="AC156" s="66" t="s">
        <v>49</v>
      </c>
      <c r="AD156" s="51" t="s">
        <v>214</v>
      </c>
      <c r="AE156" s="13">
        <v>6</v>
      </c>
      <c r="AF156" s="13">
        <v>3</v>
      </c>
      <c r="AG156" s="13">
        <v>6</v>
      </c>
      <c r="AH156" s="13">
        <v>205160</v>
      </c>
      <c r="AI156" s="13">
        <v>3</v>
      </c>
      <c r="AJ156" s="135">
        <f t="shared" si="32"/>
        <v>18</v>
      </c>
      <c r="AK156" s="136">
        <f t="shared" si="33"/>
        <v>54</v>
      </c>
      <c r="AL156" s="136" t="str" cm="1">
        <f t="array" ref="AL156">_xlfn.IFS(
AI156&lt;3,"Ligera",
AI156&lt;=6,"Moderada",
AI156&gt;6,"Vigorosa"
)</f>
        <v>Moderada</v>
      </c>
      <c r="AM156" s="45" t="s">
        <v>48</v>
      </c>
      <c r="AN156" s="46" t="s">
        <v>60</v>
      </c>
      <c r="AO156" s="46" t="s">
        <v>61</v>
      </c>
      <c r="AP156" s="289" t="s">
        <v>62</v>
      </c>
      <c r="AQ156" s="139">
        <v>0</v>
      </c>
    </row>
    <row r="157" spans="1:45" ht="70.5" customHeight="1" thickBot="1">
      <c r="A157" s="138" t="s">
        <v>211</v>
      </c>
      <c r="B157" s="12">
        <v>24</v>
      </c>
      <c r="C157" s="12">
        <v>78.599999999999994</v>
      </c>
      <c r="D157" s="12">
        <v>36.36</v>
      </c>
      <c r="E157" s="12" t="s">
        <v>45</v>
      </c>
      <c r="F157" s="12" t="s">
        <v>45</v>
      </c>
      <c r="G157" s="12" t="s">
        <v>212</v>
      </c>
      <c r="H157" s="12"/>
      <c r="I157" s="12" t="s">
        <v>45</v>
      </c>
      <c r="J157" s="12" t="s">
        <v>47</v>
      </c>
      <c r="K157" s="12" t="s">
        <v>48</v>
      </c>
      <c r="L157" s="12" t="s">
        <v>49</v>
      </c>
      <c r="M157" s="11" t="s">
        <v>56</v>
      </c>
      <c r="N157" s="11" t="s">
        <v>57</v>
      </c>
      <c r="O157" s="11" t="s">
        <v>126</v>
      </c>
      <c r="P157" s="11" t="s">
        <v>86</v>
      </c>
      <c r="Q157" s="50" t="s">
        <v>158</v>
      </c>
      <c r="R157" s="65">
        <v>11</v>
      </c>
      <c r="S157" s="70">
        <v>23.1</v>
      </c>
      <c r="T157" s="70">
        <v>4.3</v>
      </c>
      <c r="U157" s="63">
        <v>11</v>
      </c>
      <c r="V157" s="65">
        <v>21.3</v>
      </c>
      <c r="W157" s="70">
        <v>4.9000000000000004</v>
      </c>
      <c r="X157" s="130">
        <f t="shared" si="31"/>
        <v>-1.8000000000000007</v>
      </c>
      <c r="Y157" s="16">
        <f t="shared" si="34"/>
        <v>1.3957728390328485</v>
      </c>
      <c r="Z157" s="130" t="s">
        <v>53</v>
      </c>
      <c r="AA157" s="131" t="s">
        <v>53</v>
      </c>
      <c r="AB157" s="16">
        <v>1.3957728390328485</v>
      </c>
      <c r="AC157" s="66" t="s">
        <v>49</v>
      </c>
      <c r="AD157" s="51" t="s">
        <v>213</v>
      </c>
      <c r="AE157" s="13">
        <v>6</v>
      </c>
      <c r="AF157" s="13">
        <v>3</v>
      </c>
      <c r="AG157" s="13">
        <v>6</v>
      </c>
      <c r="AH157" s="13">
        <v>205160</v>
      </c>
      <c r="AI157" s="13">
        <v>3</v>
      </c>
      <c r="AJ157" s="135">
        <f t="shared" si="32"/>
        <v>18</v>
      </c>
      <c r="AK157" s="136">
        <f t="shared" si="33"/>
        <v>54</v>
      </c>
      <c r="AL157" s="136" t="str" cm="1">
        <f t="array" ref="AL157">_xlfn.IFS(
AI157&lt;3,"Ligera",
AI157&lt;=6,"Moderada",
AI157&gt;6,"Vigorosa"
)</f>
        <v>Moderada</v>
      </c>
      <c r="AM157" s="45" t="s">
        <v>48</v>
      </c>
      <c r="AN157" s="46" t="s">
        <v>60</v>
      </c>
      <c r="AO157" s="46" t="s">
        <v>61</v>
      </c>
      <c r="AP157" s="289" t="s">
        <v>62</v>
      </c>
      <c r="AQ157" s="139">
        <v>0</v>
      </c>
    </row>
    <row r="158" spans="1:45" ht="70.5" customHeight="1" thickBot="1">
      <c r="A158" s="138" t="s">
        <v>211</v>
      </c>
      <c r="B158" s="12">
        <v>24</v>
      </c>
      <c r="C158" s="12">
        <v>76.3</v>
      </c>
      <c r="D158" s="12">
        <v>40</v>
      </c>
      <c r="E158" s="12" t="s">
        <v>45</v>
      </c>
      <c r="F158" s="12" t="s">
        <v>45</v>
      </c>
      <c r="G158" s="12" t="s">
        <v>212</v>
      </c>
      <c r="H158" s="12"/>
      <c r="I158" s="12" t="s">
        <v>45</v>
      </c>
      <c r="J158" s="12" t="s">
        <v>47</v>
      </c>
      <c r="K158" s="12" t="s">
        <v>48</v>
      </c>
      <c r="L158" s="12" t="s">
        <v>49</v>
      </c>
      <c r="M158" s="11" t="s">
        <v>56</v>
      </c>
      <c r="N158" s="11" t="s">
        <v>57</v>
      </c>
      <c r="O158" s="11" t="s">
        <v>58</v>
      </c>
      <c r="P158" s="11" t="s">
        <v>86</v>
      </c>
      <c r="Q158" s="50" t="s">
        <v>158</v>
      </c>
      <c r="R158" s="65">
        <v>10</v>
      </c>
      <c r="S158" s="70">
        <v>23.3</v>
      </c>
      <c r="T158" s="70">
        <v>5.6</v>
      </c>
      <c r="U158" s="65">
        <v>10</v>
      </c>
      <c r="V158" s="65">
        <v>23.4</v>
      </c>
      <c r="W158" s="70">
        <v>5.5</v>
      </c>
      <c r="X158" s="130">
        <f t="shared" si="31"/>
        <v>9.9999999999997868E-2</v>
      </c>
      <c r="Y158" s="16">
        <f t="shared" si="34"/>
        <v>1.7552777557982098</v>
      </c>
      <c r="Z158" s="15">
        <f t="shared" si="35"/>
        <v>1.8999999999999986</v>
      </c>
      <c r="AA158" s="16">
        <f t="shared" si="36"/>
        <v>26.965789473684211</v>
      </c>
      <c r="AB158" s="16">
        <f t="shared" si="37"/>
        <v>2.268923611333574</v>
      </c>
      <c r="AC158" s="66" t="s">
        <v>49</v>
      </c>
      <c r="AD158" s="51" t="s">
        <v>214</v>
      </c>
      <c r="AE158" s="13">
        <v>6</v>
      </c>
      <c r="AF158" s="13">
        <v>3</v>
      </c>
      <c r="AG158" s="13">
        <v>6</v>
      </c>
      <c r="AH158" s="13">
        <v>205160</v>
      </c>
      <c r="AI158" s="13">
        <v>3</v>
      </c>
      <c r="AJ158" s="135">
        <f t="shared" si="32"/>
        <v>18</v>
      </c>
      <c r="AK158" s="136">
        <f t="shared" si="33"/>
        <v>54</v>
      </c>
      <c r="AL158" s="136" t="str" cm="1">
        <f t="array" ref="AL158">_xlfn.IFS(
AI158&lt;3,"Ligera",
AI158&lt;=6,"Moderada",
AI158&gt;6,"Vigorosa"
)</f>
        <v>Moderada</v>
      </c>
      <c r="AM158" s="45" t="s">
        <v>48</v>
      </c>
      <c r="AN158" s="46" t="s">
        <v>60</v>
      </c>
      <c r="AO158" s="46" t="s">
        <v>61</v>
      </c>
      <c r="AP158" s="289" t="s">
        <v>62</v>
      </c>
      <c r="AQ158" s="139">
        <v>0</v>
      </c>
    </row>
    <row r="159" spans="1:45" ht="70.5" customHeight="1" thickBot="1">
      <c r="A159" s="138" t="s">
        <v>211</v>
      </c>
      <c r="B159" s="12">
        <v>24</v>
      </c>
      <c r="C159" s="12">
        <v>78.599999999999994</v>
      </c>
      <c r="D159" s="12">
        <v>36.36</v>
      </c>
      <c r="E159" s="12" t="s">
        <v>45</v>
      </c>
      <c r="F159" s="12" t="s">
        <v>45</v>
      </c>
      <c r="G159" s="12" t="s">
        <v>212</v>
      </c>
      <c r="H159" s="12"/>
      <c r="I159" s="12" t="s">
        <v>45</v>
      </c>
      <c r="J159" s="12" t="s">
        <v>47</v>
      </c>
      <c r="K159" s="12" t="s">
        <v>48</v>
      </c>
      <c r="L159" s="12" t="s">
        <v>49</v>
      </c>
      <c r="M159" s="11" t="s">
        <v>56</v>
      </c>
      <c r="N159" s="11" t="s">
        <v>57</v>
      </c>
      <c r="O159" s="11" t="s">
        <v>126</v>
      </c>
      <c r="P159" s="11" t="s">
        <v>51</v>
      </c>
      <c r="Q159" s="50" t="s">
        <v>124</v>
      </c>
      <c r="R159" s="65">
        <v>11</v>
      </c>
      <c r="S159" s="70">
        <v>14.8</v>
      </c>
      <c r="T159" s="70">
        <v>6.3</v>
      </c>
      <c r="U159" s="65">
        <v>11</v>
      </c>
      <c r="V159" s="65">
        <v>14.3</v>
      </c>
      <c r="W159" s="65">
        <v>7.1</v>
      </c>
      <c r="X159" s="130">
        <f t="shared" si="31"/>
        <v>-0.5</v>
      </c>
      <c r="Y159" s="16">
        <f t="shared" si="34"/>
        <v>2.0308976967207024</v>
      </c>
      <c r="Z159" s="130" t="s">
        <v>53</v>
      </c>
      <c r="AA159" s="131" t="s">
        <v>53</v>
      </c>
      <c r="AB159" s="16">
        <v>2.0308976967207024</v>
      </c>
      <c r="AC159" s="66" t="s">
        <v>48</v>
      </c>
      <c r="AD159" s="51" t="s">
        <v>213</v>
      </c>
      <c r="AE159" s="13">
        <v>6</v>
      </c>
      <c r="AF159" s="13">
        <v>3</v>
      </c>
      <c r="AG159" s="13">
        <v>6</v>
      </c>
      <c r="AH159" s="13">
        <v>205160</v>
      </c>
      <c r="AI159" s="13">
        <v>3</v>
      </c>
      <c r="AJ159" s="135">
        <f t="shared" si="32"/>
        <v>18</v>
      </c>
      <c r="AK159" s="136">
        <f t="shared" si="33"/>
        <v>54</v>
      </c>
      <c r="AL159" s="136" t="str" cm="1">
        <f t="array" ref="AL159">_xlfn.IFS(
AI159&lt;3,"Ligera",
AI159&lt;=6,"Moderada",
AI159&gt;6,"Vigorosa"
)</f>
        <v>Moderada</v>
      </c>
      <c r="AM159" s="45" t="s">
        <v>48</v>
      </c>
      <c r="AN159" s="46" t="s">
        <v>60</v>
      </c>
      <c r="AO159" s="46" t="s">
        <v>61</v>
      </c>
      <c r="AP159" s="289" t="s">
        <v>62</v>
      </c>
      <c r="AQ159" s="139">
        <v>0</v>
      </c>
    </row>
    <row r="160" spans="1:45" ht="70.5" customHeight="1" thickBot="1">
      <c r="A160" s="138" t="s">
        <v>211</v>
      </c>
      <c r="B160" s="12">
        <v>24</v>
      </c>
      <c r="C160" s="12">
        <v>76.3</v>
      </c>
      <c r="D160" s="12">
        <v>40</v>
      </c>
      <c r="E160" s="12" t="s">
        <v>45</v>
      </c>
      <c r="F160" s="12" t="s">
        <v>45</v>
      </c>
      <c r="G160" s="12" t="s">
        <v>212</v>
      </c>
      <c r="H160" s="12"/>
      <c r="I160" s="12" t="s">
        <v>45</v>
      </c>
      <c r="J160" s="12" t="s">
        <v>47</v>
      </c>
      <c r="K160" s="12" t="s">
        <v>48</v>
      </c>
      <c r="L160" s="12" t="s">
        <v>49</v>
      </c>
      <c r="M160" s="11" t="s">
        <v>56</v>
      </c>
      <c r="N160" s="11" t="s">
        <v>57</v>
      </c>
      <c r="O160" s="11" t="s">
        <v>58</v>
      </c>
      <c r="P160" s="11" t="s">
        <v>51</v>
      </c>
      <c r="Q160" s="50" t="s">
        <v>124</v>
      </c>
      <c r="R160" s="65">
        <v>10</v>
      </c>
      <c r="S160" s="70">
        <v>15.3</v>
      </c>
      <c r="T160" s="70">
        <v>5.5</v>
      </c>
      <c r="U160" s="65">
        <v>10</v>
      </c>
      <c r="V160" s="65">
        <v>12</v>
      </c>
      <c r="W160" s="70">
        <v>3.7</v>
      </c>
      <c r="X160" s="130">
        <f t="shared" si="31"/>
        <v>-3.3000000000000007</v>
      </c>
      <c r="Y160" s="16">
        <f t="shared" si="34"/>
        <v>1.5359036428109671</v>
      </c>
      <c r="Z160" s="15">
        <f t="shared" si="35"/>
        <v>-2.8000000000000007</v>
      </c>
      <c r="AA160" s="16">
        <f t="shared" si="36"/>
        <v>33.01631578947368</v>
      </c>
      <c r="AB160" s="16">
        <f t="shared" si="37"/>
        <v>2.5106004924192709</v>
      </c>
      <c r="AC160" s="66" t="s">
        <v>48</v>
      </c>
      <c r="AD160" s="51" t="s">
        <v>214</v>
      </c>
      <c r="AE160" s="13">
        <v>6</v>
      </c>
      <c r="AF160" s="13">
        <v>3</v>
      </c>
      <c r="AG160" s="13">
        <v>6</v>
      </c>
      <c r="AH160" s="13">
        <v>205160</v>
      </c>
      <c r="AI160" s="13">
        <v>3</v>
      </c>
      <c r="AJ160" s="135">
        <f t="shared" si="32"/>
        <v>18</v>
      </c>
      <c r="AK160" s="136">
        <f t="shared" si="33"/>
        <v>54</v>
      </c>
      <c r="AL160" s="136" t="str" cm="1">
        <f t="array" ref="AL160">_xlfn.IFS(
AI160&lt;3,"Ligera",
AI160&lt;=6,"Moderada",
AI160&gt;6,"Vigorosa"
)</f>
        <v>Moderada</v>
      </c>
      <c r="AM160" s="45" t="s">
        <v>48</v>
      </c>
      <c r="AN160" s="46" t="s">
        <v>60</v>
      </c>
      <c r="AO160" s="46" t="s">
        <v>61</v>
      </c>
      <c r="AP160" s="289" t="s">
        <v>62</v>
      </c>
      <c r="AQ160" s="139">
        <v>0</v>
      </c>
    </row>
    <row r="161" spans="1:43" ht="70.5" customHeight="1" thickBot="1">
      <c r="A161" s="138" t="s">
        <v>211</v>
      </c>
      <c r="B161" s="12">
        <v>24</v>
      </c>
      <c r="C161" s="12">
        <v>78.599999999999994</v>
      </c>
      <c r="D161" s="12">
        <v>36.36</v>
      </c>
      <c r="E161" s="12" t="s">
        <v>45</v>
      </c>
      <c r="F161" s="12" t="s">
        <v>45</v>
      </c>
      <c r="G161" s="12" t="s">
        <v>212</v>
      </c>
      <c r="H161" s="12"/>
      <c r="I161" s="12" t="s">
        <v>45</v>
      </c>
      <c r="J161" s="12" t="s">
        <v>47</v>
      </c>
      <c r="K161" s="12" t="s">
        <v>48</v>
      </c>
      <c r="L161" s="12" t="s">
        <v>49</v>
      </c>
      <c r="M161" s="11" t="s">
        <v>56</v>
      </c>
      <c r="N161" s="11" t="s">
        <v>57</v>
      </c>
      <c r="O161" s="11" t="s">
        <v>126</v>
      </c>
      <c r="P161" s="11" t="s">
        <v>51</v>
      </c>
      <c r="Q161" s="50" t="s">
        <v>92</v>
      </c>
      <c r="R161" s="65">
        <v>11</v>
      </c>
      <c r="S161" s="65">
        <v>4.42</v>
      </c>
      <c r="T161" s="65">
        <v>2.5099999999999998</v>
      </c>
      <c r="U161" s="65">
        <v>11</v>
      </c>
      <c r="V161" s="65">
        <v>4.6500000000000004</v>
      </c>
      <c r="W161" s="65">
        <v>2.59</v>
      </c>
      <c r="X161" s="130">
        <f t="shared" si="31"/>
        <v>0.23000000000000043</v>
      </c>
      <c r="Y161" s="16">
        <f t="shared" si="34"/>
        <v>0.76913765170658965</v>
      </c>
      <c r="Z161" s="130" t="s">
        <v>53</v>
      </c>
      <c r="AA161" s="131" t="s">
        <v>53</v>
      </c>
      <c r="AB161" s="16">
        <v>0.76913765170658965</v>
      </c>
      <c r="AC161" s="66" t="s">
        <v>49</v>
      </c>
      <c r="AD161" s="51" t="s">
        <v>213</v>
      </c>
      <c r="AE161" s="13">
        <v>6</v>
      </c>
      <c r="AF161" s="13">
        <v>3</v>
      </c>
      <c r="AG161" s="13">
        <v>6</v>
      </c>
      <c r="AH161" s="13">
        <v>205160</v>
      </c>
      <c r="AI161" s="13">
        <v>3</v>
      </c>
      <c r="AJ161" s="135">
        <f t="shared" si="32"/>
        <v>18</v>
      </c>
      <c r="AK161" s="136">
        <f t="shared" si="33"/>
        <v>54</v>
      </c>
      <c r="AL161" s="136" t="str" cm="1">
        <f t="array" ref="AL161">_xlfn.IFS(
AI161&lt;3,"Ligera",
AI161&lt;=6,"Moderada",
AI161&gt;6,"Vigorosa"
)</f>
        <v>Moderada</v>
      </c>
      <c r="AM161" s="45" t="s">
        <v>48</v>
      </c>
      <c r="AN161" s="46" t="s">
        <v>60</v>
      </c>
      <c r="AO161" s="46" t="s">
        <v>61</v>
      </c>
      <c r="AP161" s="289" t="s">
        <v>62</v>
      </c>
      <c r="AQ161" s="139">
        <v>0</v>
      </c>
    </row>
    <row r="162" spans="1:43" ht="70.5" customHeight="1" thickBot="1">
      <c r="A162" s="138" t="s">
        <v>211</v>
      </c>
      <c r="B162" s="12">
        <v>24</v>
      </c>
      <c r="C162" s="12">
        <v>76.3</v>
      </c>
      <c r="D162" s="12">
        <v>40</v>
      </c>
      <c r="E162" s="12" t="s">
        <v>45</v>
      </c>
      <c r="F162" s="12" t="s">
        <v>45</v>
      </c>
      <c r="G162" s="12" t="s">
        <v>212</v>
      </c>
      <c r="H162" s="12"/>
      <c r="I162" s="12" t="s">
        <v>45</v>
      </c>
      <c r="J162" s="12" t="s">
        <v>47</v>
      </c>
      <c r="K162" s="12" t="s">
        <v>48</v>
      </c>
      <c r="L162" s="12" t="s">
        <v>49</v>
      </c>
      <c r="M162" s="11" t="s">
        <v>56</v>
      </c>
      <c r="N162" s="11" t="s">
        <v>57</v>
      </c>
      <c r="O162" s="11" t="s">
        <v>58</v>
      </c>
      <c r="P162" s="11" t="s">
        <v>51</v>
      </c>
      <c r="Q162" s="50" t="s">
        <v>92</v>
      </c>
      <c r="R162" s="65">
        <v>10</v>
      </c>
      <c r="S162" s="65">
        <v>4.42</v>
      </c>
      <c r="T162" s="69">
        <v>1.93</v>
      </c>
      <c r="U162" s="65">
        <v>10</v>
      </c>
      <c r="V162" s="65">
        <v>4.55</v>
      </c>
      <c r="W162" s="65">
        <v>2.12</v>
      </c>
      <c r="X162" s="130">
        <f t="shared" si="31"/>
        <v>0.12999999999999989</v>
      </c>
      <c r="Y162" s="16">
        <f t="shared" si="34"/>
        <v>0.64247178926393345</v>
      </c>
      <c r="Z162" s="15">
        <f t="shared" si="35"/>
        <v>-0.10000000000000053</v>
      </c>
      <c r="AA162" s="16">
        <f t="shared" si="36"/>
        <v>5.6595052631578939</v>
      </c>
      <c r="AB162" s="16">
        <f t="shared" si="37"/>
        <v>1.0394474516706889</v>
      </c>
      <c r="AC162" s="66" t="s">
        <v>49</v>
      </c>
      <c r="AD162" s="51" t="s">
        <v>214</v>
      </c>
      <c r="AE162" s="13">
        <v>6</v>
      </c>
      <c r="AF162" s="13">
        <v>3</v>
      </c>
      <c r="AG162" s="13">
        <v>6</v>
      </c>
      <c r="AH162" s="13">
        <v>205160</v>
      </c>
      <c r="AI162" s="13">
        <v>3</v>
      </c>
      <c r="AJ162" s="135">
        <f t="shared" si="32"/>
        <v>18</v>
      </c>
      <c r="AK162" s="136">
        <f t="shared" si="33"/>
        <v>54</v>
      </c>
      <c r="AL162" s="136" t="str" cm="1">
        <f t="array" ref="AL162">_xlfn.IFS(
AI162&lt;3,"Ligera",
AI162&lt;=6,"Moderada",
AI162&gt;6,"Vigorosa"
)</f>
        <v>Moderada</v>
      </c>
      <c r="AM162" s="45" t="s">
        <v>48</v>
      </c>
      <c r="AN162" s="46" t="s">
        <v>60</v>
      </c>
      <c r="AO162" s="46" t="s">
        <v>61</v>
      </c>
      <c r="AP162" s="289" t="s">
        <v>62</v>
      </c>
      <c r="AQ162" s="139">
        <v>0</v>
      </c>
    </row>
    <row r="163" spans="1:43" ht="70.5" customHeight="1" thickBot="1">
      <c r="A163" s="138" t="s">
        <v>211</v>
      </c>
      <c r="B163" s="12">
        <v>24</v>
      </c>
      <c r="C163" s="12">
        <v>78.599999999999994</v>
      </c>
      <c r="D163" s="12">
        <v>36.36</v>
      </c>
      <c r="E163" s="12" t="s">
        <v>45</v>
      </c>
      <c r="F163" s="12" t="s">
        <v>45</v>
      </c>
      <c r="G163" s="12" t="s">
        <v>212</v>
      </c>
      <c r="H163" s="12"/>
      <c r="I163" s="12" t="s">
        <v>45</v>
      </c>
      <c r="J163" s="12" t="s">
        <v>47</v>
      </c>
      <c r="K163" s="12" t="s">
        <v>48</v>
      </c>
      <c r="L163" s="12" t="s">
        <v>49</v>
      </c>
      <c r="M163" s="11" t="s">
        <v>56</v>
      </c>
      <c r="N163" s="11" t="s">
        <v>57</v>
      </c>
      <c r="O163" s="11" t="s">
        <v>126</v>
      </c>
      <c r="P163" s="11" t="s">
        <v>51</v>
      </c>
      <c r="Q163" s="50" t="s">
        <v>215</v>
      </c>
      <c r="R163" s="65">
        <v>11</v>
      </c>
      <c r="S163" s="65">
        <v>150.1</v>
      </c>
      <c r="T163" s="65">
        <v>101.5</v>
      </c>
      <c r="U163" s="65">
        <v>11</v>
      </c>
      <c r="V163" s="65">
        <v>193</v>
      </c>
      <c r="W163" s="65">
        <v>125.5</v>
      </c>
      <c r="X163" s="130">
        <f t="shared" si="31"/>
        <v>42.900000000000006</v>
      </c>
      <c r="Y163" s="16">
        <f t="shared" si="34"/>
        <v>34.790607405395548</v>
      </c>
      <c r="Z163" s="130" t="s">
        <v>53</v>
      </c>
      <c r="AA163" s="131" t="s">
        <v>53</v>
      </c>
      <c r="AB163" s="16">
        <v>34.790607405395548</v>
      </c>
      <c r="AC163" s="66" t="s">
        <v>49</v>
      </c>
      <c r="AD163" s="51" t="s">
        <v>213</v>
      </c>
      <c r="AE163" s="13">
        <v>6</v>
      </c>
      <c r="AF163" s="13">
        <v>3</v>
      </c>
      <c r="AG163" s="13">
        <v>6</v>
      </c>
      <c r="AH163" s="13">
        <v>205160</v>
      </c>
      <c r="AI163" s="13">
        <v>3</v>
      </c>
      <c r="AJ163" s="135">
        <f t="shared" si="32"/>
        <v>18</v>
      </c>
      <c r="AK163" s="136">
        <f t="shared" si="33"/>
        <v>54</v>
      </c>
      <c r="AL163" s="136" t="str" cm="1">
        <f t="array" ref="AL163">_xlfn.IFS(
AI163&lt;3,"Ligera",
AI163&lt;=6,"Moderada",
AI163&gt;6,"Vigorosa"
)</f>
        <v>Moderada</v>
      </c>
      <c r="AM163" s="45" t="s">
        <v>48</v>
      </c>
      <c r="AN163" s="46" t="s">
        <v>60</v>
      </c>
      <c r="AO163" s="46" t="s">
        <v>61</v>
      </c>
      <c r="AP163" s="289" t="s">
        <v>62</v>
      </c>
      <c r="AQ163" s="139">
        <v>0</v>
      </c>
    </row>
    <row r="164" spans="1:43" ht="70.5" customHeight="1" thickBot="1">
      <c r="A164" s="138" t="s">
        <v>211</v>
      </c>
      <c r="B164" s="12">
        <v>24</v>
      </c>
      <c r="C164" s="12">
        <v>76.3</v>
      </c>
      <c r="D164" s="12">
        <v>40</v>
      </c>
      <c r="E164" s="12" t="s">
        <v>45</v>
      </c>
      <c r="F164" s="12" t="s">
        <v>45</v>
      </c>
      <c r="G164" s="12" t="s">
        <v>212</v>
      </c>
      <c r="H164" s="12"/>
      <c r="I164" s="12" t="s">
        <v>45</v>
      </c>
      <c r="J164" s="12" t="s">
        <v>47</v>
      </c>
      <c r="K164" s="12" t="s">
        <v>48</v>
      </c>
      <c r="L164" s="12" t="s">
        <v>49</v>
      </c>
      <c r="M164" s="11" t="s">
        <v>56</v>
      </c>
      <c r="N164" s="11" t="s">
        <v>57</v>
      </c>
      <c r="O164" s="11" t="s">
        <v>58</v>
      </c>
      <c r="P164" s="11" t="s">
        <v>51</v>
      </c>
      <c r="Q164" s="50" t="s">
        <v>215</v>
      </c>
      <c r="R164" s="65">
        <v>10</v>
      </c>
      <c r="S164" s="65">
        <v>100.5</v>
      </c>
      <c r="T164" s="69">
        <v>56.5</v>
      </c>
      <c r="U164" s="65">
        <v>10</v>
      </c>
      <c r="V164" s="65">
        <v>158.1</v>
      </c>
      <c r="W164" s="65">
        <v>107.4</v>
      </c>
      <c r="X164" s="130">
        <f t="shared" si="31"/>
        <v>57.599999999999994</v>
      </c>
      <c r="Y164" s="16">
        <f t="shared" si="34"/>
        <v>29.426025895455201</v>
      </c>
      <c r="Z164" s="15">
        <f t="shared" si="35"/>
        <v>14.699999999999989</v>
      </c>
      <c r="AA164" s="16">
        <f t="shared" si="36"/>
        <v>13753.438947368422</v>
      </c>
      <c r="AB164" s="16">
        <f t="shared" si="37"/>
        <v>51.241160470034146</v>
      </c>
      <c r="AC164" s="66" t="s">
        <v>49</v>
      </c>
      <c r="AD164" s="51" t="s">
        <v>214</v>
      </c>
      <c r="AE164" s="13">
        <v>6</v>
      </c>
      <c r="AF164" s="13">
        <v>3</v>
      </c>
      <c r="AG164" s="13">
        <v>6</v>
      </c>
      <c r="AH164" s="13">
        <v>205160</v>
      </c>
      <c r="AI164" s="13">
        <v>3</v>
      </c>
      <c r="AJ164" s="135">
        <f t="shared" si="32"/>
        <v>18</v>
      </c>
      <c r="AK164" s="136">
        <f t="shared" si="33"/>
        <v>54</v>
      </c>
      <c r="AL164" s="136" t="str" cm="1">
        <f t="array" ref="AL164">_xlfn.IFS(
AI164&lt;3,"Ligera",
AI164&lt;=6,"Moderada",
AI164&gt;6,"Vigorosa"
)</f>
        <v>Moderada</v>
      </c>
      <c r="AM164" s="45" t="s">
        <v>48</v>
      </c>
      <c r="AN164" s="46" t="s">
        <v>60</v>
      </c>
      <c r="AO164" s="46" t="s">
        <v>61</v>
      </c>
      <c r="AP164" s="289" t="s">
        <v>62</v>
      </c>
      <c r="AQ164" s="139">
        <v>0</v>
      </c>
    </row>
    <row r="165" spans="1:43" ht="70.5" customHeight="1" thickBot="1">
      <c r="A165" s="138" t="s">
        <v>211</v>
      </c>
      <c r="B165" s="12">
        <v>24</v>
      </c>
      <c r="C165" s="12">
        <v>78.599999999999994</v>
      </c>
      <c r="D165" s="12">
        <v>36.36</v>
      </c>
      <c r="E165" s="12" t="s">
        <v>45</v>
      </c>
      <c r="F165" s="12" t="s">
        <v>45</v>
      </c>
      <c r="G165" s="12" t="s">
        <v>212</v>
      </c>
      <c r="H165" s="12"/>
      <c r="I165" s="12" t="s">
        <v>45</v>
      </c>
      <c r="J165" s="12" t="s">
        <v>47</v>
      </c>
      <c r="K165" s="12" t="s">
        <v>48</v>
      </c>
      <c r="L165" s="12" t="s">
        <v>49</v>
      </c>
      <c r="M165" s="11" t="s">
        <v>56</v>
      </c>
      <c r="N165" s="11" t="s">
        <v>57</v>
      </c>
      <c r="O165" s="11" t="s">
        <v>126</v>
      </c>
      <c r="P165" s="11" t="s">
        <v>51</v>
      </c>
      <c r="Q165" s="50" t="s">
        <v>216</v>
      </c>
      <c r="R165" s="65">
        <v>11</v>
      </c>
      <c r="S165" s="65">
        <v>187.3</v>
      </c>
      <c r="T165" s="65">
        <v>168.7</v>
      </c>
      <c r="U165" s="65">
        <v>11</v>
      </c>
      <c r="V165" s="65">
        <v>239.3</v>
      </c>
      <c r="W165" s="65">
        <v>200.9</v>
      </c>
      <c r="X165" s="130">
        <f t="shared" si="31"/>
        <v>52</v>
      </c>
      <c r="Y165" s="16">
        <f t="shared" si="34"/>
        <v>56.350098814142612</v>
      </c>
      <c r="Z165" s="286" t="s">
        <v>53</v>
      </c>
      <c r="AA165" s="287" t="s">
        <v>53</v>
      </c>
      <c r="AB165" s="16">
        <v>56.350098814142612</v>
      </c>
      <c r="AC165" s="66" t="s">
        <v>49</v>
      </c>
      <c r="AD165" s="51" t="s">
        <v>213</v>
      </c>
      <c r="AE165" s="13">
        <v>6</v>
      </c>
      <c r="AF165" s="13">
        <v>3</v>
      </c>
      <c r="AG165" s="13">
        <v>6</v>
      </c>
      <c r="AH165" s="13">
        <v>205160</v>
      </c>
      <c r="AI165" s="13">
        <v>3</v>
      </c>
      <c r="AJ165" s="135">
        <f t="shared" si="32"/>
        <v>18</v>
      </c>
      <c r="AK165" s="136">
        <f t="shared" si="33"/>
        <v>54</v>
      </c>
      <c r="AL165" s="136" t="str" cm="1">
        <f t="array" ref="AL165">_xlfn.IFS(
AI165&lt;3,"Ligera",
AI165&lt;=6,"Moderada",
AI165&gt;6,"Vigorosa"
)</f>
        <v>Moderada</v>
      </c>
      <c r="AM165" s="45" t="s">
        <v>48</v>
      </c>
      <c r="AN165" s="46" t="s">
        <v>60</v>
      </c>
      <c r="AO165" s="46" t="s">
        <v>61</v>
      </c>
      <c r="AP165" s="289" t="s">
        <v>62</v>
      </c>
      <c r="AQ165" s="139">
        <v>0</v>
      </c>
    </row>
    <row r="166" spans="1:43" ht="70.5" customHeight="1" thickBot="1">
      <c r="A166" s="140" t="s">
        <v>211</v>
      </c>
      <c r="B166" s="141">
        <v>24</v>
      </c>
      <c r="C166" s="141">
        <v>76.3</v>
      </c>
      <c r="D166" s="141">
        <v>40</v>
      </c>
      <c r="E166" s="141" t="s">
        <v>45</v>
      </c>
      <c r="F166" s="141" t="s">
        <v>45</v>
      </c>
      <c r="G166" s="141" t="s">
        <v>212</v>
      </c>
      <c r="H166" s="141"/>
      <c r="I166" s="141" t="s">
        <v>45</v>
      </c>
      <c r="J166" s="141" t="s">
        <v>47</v>
      </c>
      <c r="K166" s="141" t="s">
        <v>48</v>
      </c>
      <c r="L166" s="141" t="s">
        <v>49</v>
      </c>
      <c r="M166" s="142" t="s">
        <v>56</v>
      </c>
      <c r="N166" s="142" t="s">
        <v>57</v>
      </c>
      <c r="O166" s="142" t="s">
        <v>58</v>
      </c>
      <c r="P166" s="142" t="s">
        <v>51</v>
      </c>
      <c r="Q166" s="158" t="s">
        <v>216</v>
      </c>
      <c r="R166" s="144">
        <v>10</v>
      </c>
      <c r="S166" s="144">
        <v>108</v>
      </c>
      <c r="T166" s="144">
        <v>87.7</v>
      </c>
      <c r="U166" s="144">
        <v>10</v>
      </c>
      <c r="V166" s="144">
        <v>205.7</v>
      </c>
      <c r="W166" s="162">
        <v>172.2</v>
      </c>
      <c r="X166" s="130">
        <f t="shared" si="31"/>
        <v>97.699999999999989</v>
      </c>
      <c r="Y166" s="16">
        <f t="shared" si="34"/>
        <v>47.161626350243687</v>
      </c>
      <c r="Z166" s="15">
        <f t="shared" si="35"/>
        <v>45.699999999999989</v>
      </c>
      <c r="AA166" s="16">
        <f t="shared" si="36"/>
        <v>35288.613684210519</v>
      </c>
      <c r="AB166" s="16">
        <f t="shared" si="37"/>
        <v>82.078725367142098</v>
      </c>
      <c r="AC166" s="66" t="s">
        <v>49</v>
      </c>
      <c r="AD166" s="151" t="s">
        <v>214</v>
      </c>
      <c r="AE166" s="146">
        <v>6</v>
      </c>
      <c r="AF166" s="146">
        <v>3</v>
      </c>
      <c r="AG166" s="146">
        <v>6</v>
      </c>
      <c r="AH166" s="13">
        <v>205160</v>
      </c>
      <c r="AI166" s="13">
        <v>3</v>
      </c>
      <c r="AJ166" s="135">
        <f t="shared" si="32"/>
        <v>18</v>
      </c>
      <c r="AK166" s="136">
        <f t="shared" si="33"/>
        <v>54</v>
      </c>
      <c r="AL166" s="136" t="str" cm="1">
        <f t="array" ref="AL166">_xlfn.IFS(
AI166&lt;3,"Ligera",
AI166&lt;=6,"Moderada",
AI166&gt;6,"Vigorosa"
)</f>
        <v>Moderada</v>
      </c>
      <c r="AM166" s="147" t="s">
        <v>48</v>
      </c>
      <c r="AN166" s="148" t="s">
        <v>60</v>
      </c>
      <c r="AO166" s="148" t="s">
        <v>61</v>
      </c>
      <c r="AP166" s="290" t="s">
        <v>62</v>
      </c>
      <c r="AQ166" s="149">
        <v>0</v>
      </c>
    </row>
    <row r="167" spans="1:43" ht="70.5" customHeight="1" thickBot="1">
      <c r="A167" s="138" t="s">
        <v>217</v>
      </c>
      <c r="B167" s="12">
        <v>24</v>
      </c>
      <c r="C167" s="12">
        <v>83.8</v>
      </c>
      <c r="D167" s="12">
        <v>10</v>
      </c>
      <c r="E167" s="12" t="s">
        <v>97</v>
      </c>
      <c r="F167" s="12" t="s">
        <v>97</v>
      </c>
      <c r="G167" s="12" t="s">
        <v>183</v>
      </c>
      <c r="H167" s="12"/>
      <c r="I167" s="12" t="s">
        <v>45</v>
      </c>
      <c r="J167" s="12" t="s">
        <v>47</v>
      </c>
      <c r="K167" s="12" t="s">
        <v>49</v>
      </c>
      <c r="L167" s="12" t="s">
        <v>49</v>
      </c>
      <c r="M167" s="11" t="s">
        <v>50</v>
      </c>
      <c r="N167" s="11" t="s">
        <v>50</v>
      </c>
      <c r="O167" s="11" t="s">
        <v>50</v>
      </c>
      <c r="P167" s="11" t="s">
        <v>94</v>
      </c>
      <c r="Q167" s="50" t="s">
        <v>136</v>
      </c>
      <c r="R167" s="65">
        <v>10</v>
      </c>
      <c r="S167" s="65">
        <v>11.6</v>
      </c>
      <c r="T167" s="65">
        <v>11.9</v>
      </c>
      <c r="U167" s="65">
        <v>10</v>
      </c>
      <c r="V167" s="65" t="s">
        <v>47</v>
      </c>
      <c r="W167" s="79" t="s">
        <v>47</v>
      </c>
      <c r="X167" s="130"/>
      <c r="Y167" s="16"/>
      <c r="Z167" s="286"/>
      <c r="AA167" s="287"/>
      <c r="AB167" s="16"/>
      <c r="AC167" s="66" t="s">
        <v>49</v>
      </c>
      <c r="AD167" s="51" t="s">
        <v>218</v>
      </c>
      <c r="AE167" s="13">
        <v>16</v>
      </c>
      <c r="AF167" s="49">
        <v>0</v>
      </c>
      <c r="AG167" s="49">
        <v>0</v>
      </c>
      <c r="AH167" s="134">
        <v>0</v>
      </c>
      <c r="AI167" s="134">
        <v>0</v>
      </c>
      <c r="AJ167" s="135">
        <f t="shared" si="32"/>
        <v>0</v>
      </c>
      <c r="AK167" s="136">
        <f t="shared" si="33"/>
        <v>0</v>
      </c>
      <c r="AL167" s="136" t="str" cm="1">
        <f t="array" ref="AL167">_xlfn.IFS(
AI167&lt;3,"Ligera",
AI167&lt;=6,"Moderada",
AI167&gt;6,"Vigorosa"
)</f>
        <v>Ligera</v>
      </c>
      <c r="AM167" s="45" t="s">
        <v>49</v>
      </c>
      <c r="AN167" s="289" t="s">
        <v>49</v>
      </c>
      <c r="AO167" s="46" t="s">
        <v>49</v>
      </c>
      <c r="AP167" s="289" t="s">
        <v>49</v>
      </c>
      <c r="AQ167" s="139">
        <v>0</v>
      </c>
    </row>
    <row r="168" spans="1:43" ht="70.5" customHeight="1" thickBot="1">
      <c r="A168" s="138" t="s">
        <v>217</v>
      </c>
      <c r="B168" s="12">
        <v>24</v>
      </c>
      <c r="C168" s="12">
        <v>83.6</v>
      </c>
      <c r="D168" s="12">
        <v>14.3</v>
      </c>
      <c r="E168" s="12" t="s">
        <v>97</v>
      </c>
      <c r="F168" s="12" t="s">
        <v>97</v>
      </c>
      <c r="G168" s="12" t="s">
        <v>183</v>
      </c>
      <c r="H168" s="12"/>
      <c r="I168" s="12" t="s">
        <v>45</v>
      </c>
      <c r="J168" s="12" t="s">
        <v>47</v>
      </c>
      <c r="K168" s="12" t="s">
        <v>49</v>
      </c>
      <c r="L168" s="12" t="s">
        <v>49</v>
      </c>
      <c r="M168" s="11" t="s">
        <v>56</v>
      </c>
      <c r="N168" s="11" t="s">
        <v>76</v>
      </c>
      <c r="O168" s="11" t="s">
        <v>103</v>
      </c>
      <c r="P168" s="11" t="s">
        <v>94</v>
      </c>
      <c r="Q168" s="50" t="s">
        <v>136</v>
      </c>
      <c r="R168" s="65">
        <v>14</v>
      </c>
      <c r="S168" s="65">
        <v>11.1</v>
      </c>
      <c r="T168" s="65">
        <v>6.8</v>
      </c>
      <c r="U168" s="65">
        <v>14</v>
      </c>
      <c r="V168" s="65" t="s">
        <v>47</v>
      </c>
      <c r="W168" s="70" t="s">
        <v>47</v>
      </c>
      <c r="X168" s="130"/>
      <c r="Y168" s="16"/>
      <c r="Z168" s="15"/>
      <c r="AA168" s="16"/>
      <c r="AB168" s="16"/>
      <c r="AC168" s="66" t="s">
        <v>49</v>
      </c>
      <c r="AD168" s="51" t="s">
        <v>220</v>
      </c>
      <c r="AE168" s="13">
        <v>16</v>
      </c>
      <c r="AF168" s="13">
        <v>2</v>
      </c>
      <c r="AG168" s="13">
        <v>55</v>
      </c>
      <c r="AH168" s="134" t="s">
        <v>219</v>
      </c>
      <c r="AI168" s="13">
        <v>3.06</v>
      </c>
      <c r="AJ168" s="135">
        <v>178.5</v>
      </c>
      <c r="AK168" s="136">
        <f t="shared" si="33"/>
        <v>357</v>
      </c>
      <c r="AL168" s="136" t="str" cm="1">
        <f t="array" ref="AL168">_xlfn.IFS(
AI168&lt;3,"Ligera",
AI168&lt;=6,"Moderada",
AI168&gt;6,"Vigorosa"
)</f>
        <v>Moderada</v>
      </c>
      <c r="AM168" s="45" t="s">
        <v>48</v>
      </c>
      <c r="AN168" s="46" t="s">
        <v>60</v>
      </c>
      <c r="AO168" s="46" t="s">
        <v>61</v>
      </c>
      <c r="AP168" s="289" t="s">
        <v>173</v>
      </c>
      <c r="AQ168" s="139">
        <v>0</v>
      </c>
    </row>
    <row r="169" spans="1:43" ht="70.5" customHeight="1" thickBot="1">
      <c r="A169" s="138" t="s">
        <v>217</v>
      </c>
      <c r="B169" s="12">
        <v>24</v>
      </c>
      <c r="C169" s="12">
        <v>83.8</v>
      </c>
      <c r="D169" s="12">
        <v>10</v>
      </c>
      <c r="E169" s="12" t="s">
        <v>97</v>
      </c>
      <c r="F169" s="12" t="s">
        <v>97</v>
      </c>
      <c r="G169" s="12" t="s">
        <v>183</v>
      </c>
      <c r="H169" s="12"/>
      <c r="I169" s="12" t="s">
        <v>45</v>
      </c>
      <c r="J169" s="12" t="s">
        <v>47</v>
      </c>
      <c r="K169" s="12" t="s">
        <v>49</v>
      </c>
      <c r="L169" s="12" t="s">
        <v>49</v>
      </c>
      <c r="M169" s="11" t="s">
        <v>50</v>
      </c>
      <c r="N169" s="11" t="s">
        <v>50</v>
      </c>
      <c r="O169" s="11" t="s">
        <v>50</v>
      </c>
      <c r="P169" s="11" t="s">
        <v>51</v>
      </c>
      <c r="Q169" s="50" t="s">
        <v>91</v>
      </c>
      <c r="R169" s="65">
        <v>3</v>
      </c>
      <c r="S169" s="65">
        <v>7</v>
      </c>
      <c r="T169" s="65">
        <v>3.6</v>
      </c>
      <c r="U169" s="70">
        <v>3</v>
      </c>
      <c r="V169" s="65">
        <v>6.3</v>
      </c>
      <c r="W169" s="79" t="s">
        <v>221</v>
      </c>
      <c r="X169" s="130">
        <f t="shared" si="31"/>
        <v>-0.70000000000000018</v>
      </c>
      <c r="Y169" s="16">
        <f t="shared" si="34"/>
        <v>2.2368132093076825</v>
      </c>
      <c r="Z169" s="286" t="s">
        <v>53</v>
      </c>
      <c r="AA169" s="287" t="s">
        <v>53</v>
      </c>
      <c r="AB169" s="16">
        <v>2.2368132093076825</v>
      </c>
      <c r="AC169" s="66" t="s">
        <v>49</v>
      </c>
      <c r="AD169" s="51" t="s">
        <v>218</v>
      </c>
      <c r="AE169" s="13">
        <v>16</v>
      </c>
      <c r="AF169" s="49">
        <v>0</v>
      </c>
      <c r="AG169" s="49">
        <v>0</v>
      </c>
      <c r="AH169" s="134">
        <v>0</v>
      </c>
      <c r="AI169" s="134">
        <v>0</v>
      </c>
      <c r="AJ169" s="135">
        <f t="shared" si="32"/>
        <v>0</v>
      </c>
      <c r="AK169" s="136">
        <f t="shared" si="33"/>
        <v>0</v>
      </c>
      <c r="AL169" s="136" t="str" cm="1">
        <f t="array" ref="AL169">_xlfn.IFS(
AI169&lt;3,"Ligera",
AI169&lt;=6,"Moderada",
AI169&gt;6,"Vigorosa"
)</f>
        <v>Ligera</v>
      </c>
      <c r="AM169" s="45" t="s">
        <v>49</v>
      </c>
      <c r="AN169" s="289" t="s">
        <v>49</v>
      </c>
      <c r="AO169" s="46" t="s">
        <v>49</v>
      </c>
      <c r="AP169" s="289" t="s">
        <v>49</v>
      </c>
      <c r="AQ169" s="139">
        <v>0</v>
      </c>
    </row>
    <row r="170" spans="1:43" ht="70.5" customHeight="1" thickBot="1">
      <c r="A170" s="138" t="s">
        <v>217</v>
      </c>
      <c r="B170" s="12">
        <v>24</v>
      </c>
      <c r="C170" s="12">
        <v>83.6</v>
      </c>
      <c r="D170" s="12">
        <v>14.3</v>
      </c>
      <c r="E170" s="12" t="s">
        <v>97</v>
      </c>
      <c r="F170" s="12" t="s">
        <v>97</v>
      </c>
      <c r="G170" s="12" t="s">
        <v>183</v>
      </c>
      <c r="H170" s="12"/>
      <c r="I170" s="12" t="s">
        <v>45</v>
      </c>
      <c r="J170" s="12" t="s">
        <v>47</v>
      </c>
      <c r="K170" s="12" t="s">
        <v>49</v>
      </c>
      <c r="L170" s="12" t="s">
        <v>49</v>
      </c>
      <c r="M170" s="11" t="s">
        <v>56</v>
      </c>
      <c r="N170" s="11" t="s">
        <v>76</v>
      </c>
      <c r="O170" s="11" t="s">
        <v>103</v>
      </c>
      <c r="P170" s="11" t="s">
        <v>51</v>
      </c>
      <c r="Q170" s="50" t="s">
        <v>91</v>
      </c>
      <c r="R170" s="65">
        <v>12</v>
      </c>
      <c r="S170" s="65">
        <v>6.1</v>
      </c>
      <c r="T170" s="65">
        <v>3.1</v>
      </c>
      <c r="U170" s="80">
        <v>12</v>
      </c>
      <c r="V170" s="65">
        <v>6.8</v>
      </c>
      <c r="W170" s="70">
        <v>3.1</v>
      </c>
      <c r="X170" s="130">
        <f t="shared" si="31"/>
        <v>0.70000000000000018</v>
      </c>
      <c r="Y170" s="16">
        <f t="shared" si="34"/>
        <v>0.89489291724392006</v>
      </c>
      <c r="Z170" s="15">
        <f t="shared" si="35"/>
        <v>1.4000000000000004</v>
      </c>
      <c r="AA170" s="16">
        <f t="shared" si="36"/>
        <v>10.717692307692309</v>
      </c>
      <c r="AB170" s="16">
        <f t="shared" si="37"/>
        <v>2.1132215047659173</v>
      </c>
      <c r="AC170" s="66" t="s">
        <v>49</v>
      </c>
      <c r="AD170" s="51" t="s">
        <v>220</v>
      </c>
      <c r="AE170" s="13">
        <v>16</v>
      </c>
      <c r="AF170" s="13">
        <v>2</v>
      </c>
      <c r="AG170" s="13">
        <v>55</v>
      </c>
      <c r="AH170" s="134" t="s">
        <v>219</v>
      </c>
      <c r="AI170" s="13">
        <v>3.06</v>
      </c>
      <c r="AJ170" s="135">
        <v>178.5</v>
      </c>
      <c r="AK170" s="136">
        <f t="shared" si="33"/>
        <v>357</v>
      </c>
      <c r="AL170" s="136" t="str" cm="1">
        <f t="array" ref="AL170">_xlfn.IFS(
AI170&lt;3,"Ligera",
AI170&lt;=6,"Moderada",
AI170&gt;6,"Vigorosa"
)</f>
        <v>Moderada</v>
      </c>
      <c r="AM170" s="45" t="s">
        <v>48</v>
      </c>
      <c r="AN170" s="46" t="s">
        <v>60</v>
      </c>
      <c r="AO170" s="46" t="s">
        <v>61</v>
      </c>
      <c r="AP170" s="289" t="s">
        <v>173</v>
      </c>
      <c r="AQ170" s="139">
        <v>0</v>
      </c>
    </row>
    <row r="171" spans="1:43" ht="70.5" customHeight="1" thickBot="1">
      <c r="A171" s="124" t="s">
        <v>222</v>
      </c>
      <c r="B171" s="125">
        <v>43</v>
      </c>
      <c r="C171" s="125">
        <v>75.569999999999993</v>
      </c>
      <c r="D171" s="125">
        <v>100</v>
      </c>
      <c r="E171" s="125" t="s">
        <v>45</v>
      </c>
      <c r="F171" s="125" t="s">
        <v>45</v>
      </c>
      <c r="G171" s="125" t="s">
        <v>223</v>
      </c>
      <c r="H171" s="125"/>
      <c r="I171" s="125" t="s">
        <v>45</v>
      </c>
      <c r="J171" s="125" t="s">
        <v>47</v>
      </c>
      <c r="K171" s="125" t="s">
        <v>49</v>
      </c>
      <c r="L171" s="125" t="s">
        <v>49</v>
      </c>
      <c r="M171" s="126" t="s">
        <v>50</v>
      </c>
      <c r="N171" s="126" t="s">
        <v>50</v>
      </c>
      <c r="O171" s="126" t="s">
        <v>50</v>
      </c>
      <c r="P171" s="126" t="s">
        <v>94</v>
      </c>
      <c r="Q171" s="159" t="s">
        <v>119</v>
      </c>
      <c r="R171" s="128">
        <v>14</v>
      </c>
      <c r="S171" s="152">
        <v>26.5</v>
      </c>
      <c r="T171" s="152">
        <v>1.78</v>
      </c>
      <c r="U171" s="128">
        <v>14</v>
      </c>
      <c r="V171" s="128" t="s">
        <v>47</v>
      </c>
      <c r="W171" s="152" t="s">
        <v>47</v>
      </c>
      <c r="X171" s="130"/>
      <c r="Y171" s="16"/>
      <c r="Z171" s="286"/>
      <c r="AA171" s="287"/>
      <c r="AB171" s="16"/>
      <c r="AC171" s="66" t="s">
        <v>49</v>
      </c>
      <c r="AD171" s="133" t="s">
        <v>224</v>
      </c>
      <c r="AE171" s="134">
        <v>8</v>
      </c>
      <c r="AF171" s="134">
        <v>0</v>
      </c>
      <c r="AG171" s="134">
        <v>0</v>
      </c>
      <c r="AH171" s="134">
        <v>0</v>
      </c>
      <c r="AI171" s="134">
        <v>0</v>
      </c>
      <c r="AJ171" s="135">
        <f>AI171*AG171</f>
        <v>0</v>
      </c>
      <c r="AK171" s="136">
        <f t="shared" si="33"/>
        <v>0</v>
      </c>
      <c r="AL171" s="136" t="str" cm="1">
        <f t="array" ref="AL171">_xlfn.IFS(
AI171&lt;3,"Ligera",
AI171&lt;=6,"Moderada",
AI171&gt;6,"Vigorosa"
)</f>
        <v>Ligera</v>
      </c>
      <c r="AM171" s="136" t="s">
        <v>49</v>
      </c>
      <c r="AN171" s="135" t="s">
        <v>49</v>
      </c>
      <c r="AO171" s="135" t="s">
        <v>49</v>
      </c>
      <c r="AP171" s="288" t="s">
        <v>49</v>
      </c>
      <c r="AQ171" s="137">
        <v>0</v>
      </c>
    </row>
    <row r="172" spans="1:43" ht="70.5" customHeight="1" thickBot="1">
      <c r="A172" s="138" t="s">
        <v>222</v>
      </c>
      <c r="B172" s="12">
        <v>43</v>
      </c>
      <c r="C172" s="12">
        <v>75.53</v>
      </c>
      <c r="D172" s="12">
        <v>100</v>
      </c>
      <c r="E172" s="12" t="s">
        <v>45</v>
      </c>
      <c r="F172" s="12" t="s">
        <v>45</v>
      </c>
      <c r="G172" s="12" t="s">
        <v>223</v>
      </c>
      <c r="H172" s="12"/>
      <c r="I172" s="12" t="s">
        <v>45</v>
      </c>
      <c r="J172" s="12" t="s">
        <v>47</v>
      </c>
      <c r="K172" s="12" t="s">
        <v>49</v>
      </c>
      <c r="L172" s="12" t="s">
        <v>49</v>
      </c>
      <c r="M172" s="11" t="s">
        <v>56</v>
      </c>
      <c r="N172" s="11" t="s">
        <v>152</v>
      </c>
      <c r="O172" s="11" t="s">
        <v>153</v>
      </c>
      <c r="P172" s="11" t="s">
        <v>94</v>
      </c>
      <c r="Q172" s="50" t="s">
        <v>119</v>
      </c>
      <c r="R172" s="65">
        <v>15</v>
      </c>
      <c r="S172" s="65">
        <v>26.26</v>
      </c>
      <c r="T172" s="65">
        <v>1.62</v>
      </c>
      <c r="U172" s="65">
        <v>15</v>
      </c>
      <c r="V172" s="65" t="s">
        <v>47</v>
      </c>
      <c r="W172" s="65" t="s">
        <v>47</v>
      </c>
      <c r="X172" s="130"/>
      <c r="Y172" s="16"/>
      <c r="Z172" s="15"/>
      <c r="AA172" s="16"/>
      <c r="AB172" s="16"/>
      <c r="AC172" s="66" t="s">
        <v>49</v>
      </c>
      <c r="AD172" s="51" t="s">
        <v>225</v>
      </c>
      <c r="AE172" s="13">
        <v>8</v>
      </c>
      <c r="AF172" s="13">
        <v>2</v>
      </c>
      <c r="AG172" s="13">
        <v>45</v>
      </c>
      <c r="AH172" s="13">
        <v>2230060</v>
      </c>
      <c r="AI172" s="46">
        <v>3.5</v>
      </c>
      <c r="AJ172" s="135">
        <f>AI172*AG172</f>
        <v>157.5</v>
      </c>
      <c r="AK172" s="136">
        <f t="shared" si="33"/>
        <v>315</v>
      </c>
      <c r="AL172" s="136" t="str" cm="1">
        <f t="array" ref="AL172">_xlfn.IFS(
AH172&lt;3,"Ligera",
AH172&lt;=6,"Moderada",
AH172&gt;6,"Vigorosa"
)</f>
        <v>Vigorosa</v>
      </c>
      <c r="AM172" s="45" t="s">
        <v>49</v>
      </c>
      <c r="AN172" s="46" t="s">
        <v>49</v>
      </c>
      <c r="AO172" s="46" t="s">
        <v>61</v>
      </c>
      <c r="AP172" s="289" t="s">
        <v>155</v>
      </c>
      <c r="AQ172" s="139">
        <v>0</v>
      </c>
    </row>
    <row r="173" spans="1:43" ht="70.5" customHeight="1" thickBot="1">
      <c r="A173" s="138" t="s">
        <v>222</v>
      </c>
      <c r="B173" s="12">
        <v>43</v>
      </c>
      <c r="C173" s="12">
        <v>75.069999999999993</v>
      </c>
      <c r="D173" s="12">
        <v>100</v>
      </c>
      <c r="E173" s="12" t="s">
        <v>45</v>
      </c>
      <c r="F173" s="12" t="s">
        <v>45</v>
      </c>
      <c r="G173" s="12" t="s">
        <v>223</v>
      </c>
      <c r="H173" s="12"/>
      <c r="I173" s="12" t="s">
        <v>45</v>
      </c>
      <c r="J173" s="12" t="s">
        <v>47</v>
      </c>
      <c r="K173" s="12" t="s">
        <v>49</v>
      </c>
      <c r="L173" s="12" t="s">
        <v>49</v>
      </c>
      <c r="M173" s="11" t="s">
        <v>56</v>
      </c>
      <c r="N173" s="11" t="s">
        <v>152</v>
      </c>
      <c r="O173" s="11" t="s">
        <v>153</v>
      </c>
      <c r="P173" s="11" t="s">
        <v>94</v>
      </c>
      <c r="Q173" s="50" t="s">
        <v>119</v>
      </c>
      <c r="R173" s="65">
        <v>14</v>
      </c>
      <c r="S173" s="75">
        <v>26.92</v>
      </c>
      <c r="T173" s="75">
        <v>1.1399999999999999</v>
      </c>
      <c r="U173" s="65">
        <v>14</v>
      </c>
      <c r="V173" s="65" t="s">
        <v>47</v>
      </c>
      <c r="W173" s="65" t="s">
        <v>47</v>
      </c>
      <c r="X173" s="130"/>
      <c r="Y173" s="16"/>
      <c r="Z173" s="15"/>
      <c r="AA173" s="16"/>
      <c r="AB173" s="16"/>
      <c r="AC173" s="66" t="s">
        <v>49</v>
      </c>
      <c r="AD173" s="51" t="s">
        <v>225</v>
      </c>
      <c r="AE173" s="13">
        <v>8</v>
      </c>
      <c r="AF173" s="13">
        <v>2</v>
      </c>
      <c r="AG173" s="13">
        <v>45</v>
      </c>
      <c r="AH173" s="13">
        <v>2230060</v>
      </c>
      <c r="AI173" s="46">
        <v>3.5</v>
      </c>
      <c r="AJ173" s="135">
        <f t="shared" si="32"/>
        <v>157.5</v>
      </c>
      <c r="AK173" s="136">
        <f t="shared" si="33"/>
        <v>315</v>
      </c>
      <c r="AL173" s="136" t="str" cm="1">
        <f t="array" ref="AL173">_xlfn.IFS(
AI173&lt;3,"Ligera",
AI173&lt;=6,"Moderada",
AI173&gt;6,"Vigorosa"
)</f>
        <v>Moderada</v>
      </c>
      <c r="AM173" s="45" t="s">
        <v>49</v>
      </c>
      <c r="AN173" s="46" t="s">
        <v>49</v>
      </c>
      <c r="AO173" s="46" t="s">
        <v>61</v>
      </c>
      <c r="AP173" s="289" t="s">
        <v>155</v>
      </c>
      <c r="AQ173" s="139">
        <v>0</v>
      </c>
    </row>
    <row r="174" spans="1:43" ht="70.5" customHeight="1" thickBot="1">
      <c r="A174" s="138" t="s">
        <v>222</v>
      </c>
      <c r="B174" s="12">
        <v>43</v>
      </c>
      <c r="C174" s="12">
        <v>75.569999999999993</v>
      </c>
      <c r="D174" s="12">
        <v>100</v>
      </c>
      <c r="E174" s="12" t="s">
        <v>45</v>
      </c>
      <c r="F174" s="12" t="s">
        <v>45</v>
      </c>
      <c r="G174" s="12" t="s">
        <v>223</v>
      </c>
      <c r="H174" s="12"/>
      <c r="I174" s="12" t="s">
        <v>45</v>
      </c>
      <c r="J174" s="12" t="s">
        <v>47</v>
      </c>
      <c r="K174" s="12" t="s">
        <v>49</v>
      </c>
      <c r="L174" s="12" t="s">
        <v>49</v>
      </c>
      <c r="M174" s="11" t="s">
        <v>50</v>
      </c>
      <c r="N174" s="11" t="s">
        <v>50</v>
      </c>
      <c r="O174" s="11" t="s">
        <v>50</v>
      </c>
      <c r="P174" s="11" t="s">
        <v>51</v>
      </c>
      <c r="Q174" s="50" t="s">
        <v>124</v>
      </c>
      <c r="R174" s="65">
        <v>14</v>
      </c>
      <c r="S174" s="70">
        <v>15.98</v>
      </c>
      <c r="T174" s="70">
        <v>8.51</v>
      </c>
      <c r="U174" s="65">
        <v>14</v>
      </c>
      <c r="V174" s="65">
        <v>16.21</v>
      </c>
      <c r="W174" s="70">
        <v>8.27</v>
      </c>
      <c r="X174" s="130">
        <f t="shared" si="31"/>
        <v>0.23000000000000043</v>
      </c>
      <c r="Y174" s="16">
        <f t="shared" si="34"/>
        <v>2.2430097764260544</v>
      </c>
      <c r="Z174" s="286" t="s">
        <v>53</v>
      </c>
      <c r="AA174" s="287" t="s">
        <v>53</v>
      </c>
      <c r="AB174" s="16">
        <v>2.2430097764260544</v>
      </c>
      <c r="AC174" s="66" t="s">
        <v>48</v>
      </c>
      <c r="AD174" s="51" t="s">
        <v>224</v>
      </c>
      <c r="AE174" s="13">
        <v>8</v>
      </c>
      <c r="AF174" s="13">
        <v>0</v>
      </c>
      <c r="AG174" s="13">
        <v>0</v>
      </c>
      <c r="AH174" s="134">
        <v>0</v>
      </c>
      <c r="AI174" s="134">
        <v>0</v>
      </c>
      <c r="AJ174" s="135">
        <f t="shared" si="32"/>
        <v>0</v>
      </c>
      <c r="AK174" s="136">
        <f t="shared" si="33"/>
        <v>0</v>
      </c>
      <c r="AL174" s="136" t="str" cm="1">
        <f t="array" ref="AL174">_xlfn.IFS(
AI174&lt;3,"Ligera",
AI174&lt;=6,"Moderada",
AI174&gt;6,"Vigorosa"
)</f>
        <v>Ligera</v>
      </c>
      <c r="AM174" s="45" t="s">
        <v>49</v>
      </c>
      <c r="AN174" s="46" t="s">
        <v>49</v>
      </c>
      <c r="AO174" s="46" t="s">
        <v>49</v>
      </c>
      <c r="AP174" s="289" t="s">
        <v>49</v>
      </c>
      <c r="AQ174" s="139">
        <v>0</v>
      </c>
    </row>
    <row r="175" spans="1:43" ht="70.5" customHeight="1" thickBot="1">
      <c r="A175" s="138" t="s">
        <v>222</v>
      </c>
      <c r="B175" s="12">
        <v>43</v>
      </c>
      <c r="C175" s="12">
        <v>75.53</v>
      </c>
      <c r="D175" s="12">
        <v>100</v>
      </c>
      <c r="E175" s="12" t="s">
        <v>45</v>
      </c>
      <c r="F175" s="12" t="s">
        <v>45</v>
      </c>
      <c r="G175" s="12" t="s">
        <v>223</v>
      </c>
      <c r="H175" s="12"/>
      <c r="I175" s="12" t="s">
        <v>45</v>
      </c>
      <c r="J175" s="12" t="s">
        <v>47</v>
      </c>
      <c r="K175" s="12" t="s">
        <v>49</v>
      </c>
      <c r="L175" s="12" t="s">
        <v>49</v>
      </c>
      <c r="M175" s="11" t="s">
        <v>56</v>
      </c>
      <c r="N175" s="11" t="s">
        <v>152</v>
      </c>
      <c r="O175" s="11" t="s">
        <v>153</v>
      </c>
      <c r="P175" s="11" t="s">
        <v>51</v>
      </c>
      <c r="Q175" s="50" t="s">
        <v>124</v>
      </c>
      <c r="R175" s="65">
        <v>15</v>
      </c>
      <c r="S175" s="65">
        <v>14.89</v>
      </c>
      <c r="T175" s="65">
        <v>4.83</v>
      </c>
      <c r="U175" s="65">
        <v>15</v>
      </c>
      <c r="V175" s="65">
        <v>14.2</v>
      </c>
      <c r="W175" s="65">
        <v>4.97</v>
      </c>
      <c r="X175" s="130">
        <f t="shared" si="31"/>
        <v>-0.69000000000000128</v>
      </c>
      <c r="Y175" s="16">
        <f t="shared" si="34"/>
        <v>1.2655617988334928</v>
      </c>
      <c r="Z175" s="15">
        <f t="shared" si="35"/>
        <v>-0.92000000000000171</v>
      </c>
      <c r="AA175" s="16">
        <f t="shared" si="36"/>
        <v>45.737788888888886</v>
      </c>
      <c r="AB175" s="16">
        <f t="shared" si="37"/>
        <v>2.5131993248767293</v>
      </c>
      <c r="AC175" s="66" t="s">
        <v>48</v>
      </c>
      <c r="AD175" s="51" t="s">
        <v>225</v>
      </c>
      <c r="AE175" s="13">
        <v>8</v>
      </c>
      <c r="AF175" s="13">
        <v>2</v>
      </c>
      <c r="AG175" s="13">
        <v>45</v>
      </c>
      <c r="AH175" s="13">
        <v>2230060</v>
      </c>
      <c r="AI175" s="46">
        <v>3.5</v>
      </c>
      <c r="AJ175" s="135">
        <f t="shared" si="32"/>
        <v>157.5</v>
      </c>
      <c r="AK175" s="136">
        <f t="shared" si="33"/>
        <v>315</v>
      </c>
      <c r="AL175" s="136" t="str" cm="1">
        <f t="array" ref="AL175">_xlfn.IFS(
AI175&lt;3,"Ligera",
AI175&lt;=6,"Moderada",
AI175&gt;6,"Vigorosa"
)</f>
        <v>Moderada</v>
      </c>
      <c r="AM175" s="45" t="s">
        <v>49</v>
      </c>
      <c r="AN175" s="46" t="s">
        <v>49</v>
      </c>
      <c r="AO175" s="46" t="s">
        <v>61</v>
      </c>
      <c r="AP175" s="289" t="s">
        <v>155</v>
      </c>
      <c r="AQ175" s="139">
        <v>0</v>
      </c>
    </row>
    <row r="176" spans="1:43" ht="70.5" customHeight="1" thickBot="1">
      <c r="A176" s="138" t="s">
        <v>222</v>
      </c>
      <c r="B176" s="12">
        <v>43</v>
      </c>
      <c r="C176" s="12">
        <v>75.069999999999993</v>
      </c>
      <c r="D176" s="12">
        <v>100</v>
      </c>
      <c r="E176" s="12" t="s">
        <v>45</v>
      </c>
      <c r="F176" s="12" t="s">
        <v>45</v>
      </c>
      <c r="G176" s="12" t="s">
        <v>223</v>
      </c>
      <c r="H176" s="12"/>
      <c r="I176" s="12" t="s">
        <v>45</v>
      </c>
      <c r="J176" s="12" t="s">
        <v>47</v>
      </c>
      <c r="K176" s="12" t="s">
        <v>49</v>
      </c>
      <c r="L176" s="12" t="s">
        <v>49</v>
      </c>
      <c r="M176" s="11" t="s">
        <v>56</v>
      </c>
      <c r="N176" s="11" t="s">
        <v>152</v>
      </c>
      <c r="O176" s="11" t="s">
        <v>153</v>
      </c>
      <c r="P176" s="11" t="s">
        <v>51</v>
      </c>
      <c r="Q176" s="50" t="s">
        <v>124</v>
      </c>
      <c r="R176" s="65">
        <v>14</v>
      </c>
      <c r="S176" s="75">
        <v>13.82</v>
      </c>
      <c r="T176" s="75">
        <v>3.37</v>
      </c>
      <c r="U176" s="65">
        <v>14</v>
      </c>
      <c r="V176" s="65">
        <v>12.3</v>
      </c>
      <c r="W176" s="65">
        <v>3.41</v>
      </c>
      <c r="X176" s="130">
        <f t="shared" si="31"/>
        <v>-1.5199999999999996</v>
      </c>
      <c r="Y176" s="16">
        <f t="shared" si="34"/>
        <v>0.90606291172302156</v>
      </c>
      <c r="Z176" s="15">
        <f>X176-X174</f>
        <v>-1.75</v>
      </c>
      <c r="AA176" s="16">
        <f>((U176-1)*W176^2+(U174-1)*W174^2)/((U176-1)+(U174-1))</f>
        <v>40.010500000000008</v>
      </c>
      <c r="AB176" s="16">
        <f>SQRT(AA176*((1/U176)+(1/U174)))</f>
        <v>2.3907709455917594</v>
      </c>
      <c r="AC176" s="66" t="s">
        <v>48</v>
      </c>
      <c r="AD176" s="51" t="s">
        <v>225</v>
      </c>
      <c r="AE176" s="13">
        <v>8</v>
      </c>
      <c r="AF176" s="13">
        <v>2</v>
      </c>
      <c r="AG176" s="13">
        <v>45</v>
      </c>
      <c r="AH176" s="13">
        <v>2230060</v>
      </c>
      <c r="AI176" s="46">
        <v>3.5</v>
      </c>
      <c r="AJ176" s="135">
        <f t="shared" si="32"/>
        <v>157.5</v>
      </c>
      <c r="AK176" s="136">
        <f t="shared" si="33"/>
        <v>315</v>
      </c>
      <c r="AL176" s="136" t="str" cm="1">
        <f t="array" ref="AL176">_xlfn.IFS(
AI176&lt;3,"Ligera",
AI176&lt;=6,"Moderada",
AI176&gt;6,"Vigorosa"
)</f>
        <v>Moderada</v>
      </c>
      <c r="AM176" s="45" t="s">
        <v>49</v>
      </c>
      <c r="AN176" s="46" t="s">
        <v>49</v>
      </c>
      <c r="AO176" s="46" t="s">
        <v>61</v>
      </c>
      <c r="AP176" s="289" t="s">
        <v>155</v>
      </c>
      <c r="AQ176" s="139">
        <v>0</v>
      </c>
    </row>
    <row r="177" spans="1:43" ht="70.5" customHeight="1" thickBot="1">
      <c r="A177" s="138" t="s">
        <v>222</v>
      </c>
      <c r="B177" s="12">
        <v>43</v>
      </c>
      <c r="C177" s="12">
        <v>75.569999999999993</v>
      </c>
      <c r="D177" s="12">
        <v>100</v>
      </c>
      <c r="E177" s="12" t="s">
        <v>45</v>
      </c>
      <c r="F177" s="12" t="s">
        <v>45</v>
      </c>
      <c r="G177" s="12" t="s">
        <v>223</v>
      </c>
      <c r="H177" s="12"/>
      <c r="I177" s="12" t="s">
        <v>45</v>
      </c>
      <c r="J177" s="12" t="s">
        <v>47</v>
      </c>
      <c r="K177" s="12" t="s">
        <v>49</v>
      </c>
      <c r="L177" s="12" t="s">
        <v>49</v>
      </c>
      <c r="M177" s="11" t="s">
        <v>50</v>
      </c>
      <c r="N177" s="11" t="s">
        <v>50</v>
      </c>
      <c r="O177" s="11" t="s">
        <v>50</v>
      </c>
      <c r="P177" s="11" t="s">
        <v>51</v>
      </c>
      <c r="Q177" s="50" t="s">
        <v>226</v>
      </c>
      <c r="R177" s="65">
        <v>14</v>
      </c>
      <c r="S177" s="70">
        <v>9.93</v>
      </c>
      <c r="T177" s="70">
        <v>3.31</v>
      </c>
      <c r="U177" s="65">
        <v>14</v>
      </c>
      <c r="V177" s="65">
        <v>9.82</v>
      </c>
      <c r="W177" s="70">
        <v>3.23</v>
      </c>
      <c r="X177" s="130">
        <f t="shared" si="31"/>
        <v>-0.10999999999999943</v>
      </c>
      <c r="Y177" s="16">
        <f t="shared" si="34"/>
        <v>0.87414039408520006</v>
      </c>
      <c r="Z177" s="286" t="s">
        <v>53</v>
      </c>
      <c r="AA177" s="287" t="s">
        <v>53</v>
      </c>
      <c r="AB177" s="16">
        <v>0.87414039408520006</v>
      </c>
      <c r="AC177" s="66" t="s">
        <v>49</v>
      </c>
      <c r="AD177" s="51" t="s">
        <v>224</v>
      </c>
      <c r="AE177" s="13">
        <v>8</v>
      </c>
      <c r="AF177" s="13">
        <v>0</v>
      </c>
      <c r="AG177" s="13">
        <v>0</v>
      </c>
      <c r="AH177" s="134">
        <v>0</v>
      </c>
      <c r="AI177" s="134">
        <v>0</v>
      </c>
      <c r="AJ177" s="135">
        <f t="shared" si="32"/>
        <v>0</v>
      </c>
      <c r="AK177" s="136">
        <f t="shared" si="33"/>
        <v>0</v>
      </c>
      <c r="AL177" s="136" t="str" cm="1">
        <f t="array" ref="AL177">_xlfn.IFS(
AI177&lt;3,"Ligera",
AI177&lt;=6,"Moderada",
AI177&gt;6,"Vigorosa"
)</f>
        <v>Ligera</v>
      </c>
      <c r="AM177" s="45" t="s">
        <v>49</v>
      </c>
      <c r="AN177" s="46" t="s">
        <v>49</v>
      </c>
      <c r="AO177" s="46" t="s">
        <v>49</v>
      </c>
      <c r="AP177" s="289" t="s">
        <v>49</v>
      </c>
      <c r="AQ177" s="139">
        <v>0</v>
      </c>
    </row>
    <row r="178" spans="1:43" ht="70.5" customHeight="1" thickBot="1">
      <c r="A178" s="138" t="s">
        <v>222</v>
      </c>
      <c r="B178" s="12">
        <v>43</v>
      </c>
      <c r="C178" s="12">
        <v>75.53</v>
      </c>
      <c r="D178" s="12">
        <v>100</v>
      </c>
      <c r="E178" s="12" t="s">
        <v>45</v>
      </c>
      <c r="F178" s="12" t="s">
        <v>45</v>
      </c>
      <c r="G178" s="12" t="s">
        <v>223</v>
      </c>
      <c r="H178" s="12"/>
      <c r="I178" s="12" t="s">
        <v>45</v>
      </c>
      <c r="J178" s="12" t="s">
        <v>47</v>
      </c>
      <c r="K178" s="12" t="s">
        <v>49</v>
      </c>
      <c r="L178" s="12" t="s">
        <v>49</v>
      </c>
      <c r="M178" s="11" t="s">
        <v>56</v>
      </c>
      <c r="N178" s="11" t="s">
        <v>152</v>
      </c>
      <c r="O178" s="11" t="s">
        <v>153</v>
      </c>
      <c r="P178" s="11" t="s">
        <v>51</v>
      </c>
      <c r="Q178" s="50" t="s">
        <v>226</v>
      </c>
      <c r="R178" s="65">
        <v>15</v>
      </c>
      <c r="S178" s="65">
        <v>10.17</v>
      </c>
      <c r="T178" s="65">
        <v>3.53</v>
      </c>
      <c r="U178" s="65">
        <v>15</v>
      </c>
      <c r="V178" s="65">
        <v>10.39</v>
      </c>
      <c r="W178" s="65">
        <v>3.42</v>
      </c>
      <c r="X178" s="130">
        <f t="shared" si="31"/>
        <v>0.22000000000000064</v>
      </c>
      <c r="Y178" s="16">
        <f t="shared" si="34"/>
        <v>0.89757822314641</v>
      </c>
      <c r="Z178" s="15">
        <f t="shared" si="35"/>
        <v>0.33000000000000007</v>
      </c>
      <c r="AA178" s="16">
        <f t="shared" si="36"/>
        <v>11.088048148148149</v>
      </c>
      <c r="AB178" s="16">
        <f t="shared" si="37"/>
        <v>1.2374193505154114</v>
      </c>
      <c r="AC178" s="66" t="s">
        <v>49</v>
      </c>
      <c r="AD178" s="51" t="s">
        <v>225</v>
      </c>
      <c r="AE178" s="13">
        <v>8</v>
      </c>
      <c r="AF178" s="13">
        <v>2</v>
      </c>
      <c r="AG178" s="13">
        <v>45</v>
      </c>
      <c r="AH178" s="13">
        <v>2230060</v>
      </c>
      <c r="AI178" s="46">
        <v>3.5</v>
      </c>
      <c r="AJ178" s="135">
        <f t="shared" si="32"/>
        <v>157.5</v>
      </c>
      <c r="AK178" s="136">
        <f t="shared" si="33"/>
        <v>315</v>
      </c>
      <c r="AL178" s="136" t="str" cm="1">
        <f t="array" ref="AL178">_xlfn.IFS(
AI178&lt;3,"Ligera",
AI178&lt;=6,"Moderada",
AI178&gt;6,"Vigorosa"
)</f>
        <v>Moderada</v>
      </c>
      <c r="AM178" s="45" t="s">
        <v>49</v>
      </c>
      <c r="AN178" s="46" t="s">
        <v>49</v>
      </c>
      <c r="AO178" s="46" t="s">
        <v>61</v>
      </c>
      <c r="AP178" s="289" t="s">
        <v>155</v>
      </c>
      <c r="AQ178" s="139">
        <v>0</v>
      </c>
    </row>
    <row r="179" spans="1:43" ht="70.5" customHeight="1" thickBot="1">
      <c r="A179" s="138" t="s">
        <v>222</v>
      </c>
      <c r="B179" s="12">
        <v>43</v>
      </c>
      <c r="C179" s="12">
        <v>75.069999999999993</v>
      </c>
      <c r="D179" s="12">
        <v>100</v>
      </c>
      <c r="E179" s="12" t="s">
        <v>45</v>
      </c>
      <c r="F179" s="12" t="s">
        <v>45</v>
      </c>
      <c r="G179" s="12" t="s">
        <v>223</v>
      </c>
      <c r="H179" s="12"/>
      <c r="I179" s="12" t="s">
        <v>45</v>
      </c>
      <c r="J179" s="12" t="s">
        <v>47</v>
      </c>
      <c r="K179" s="12" t="s">
        <v>49</v>
      </c>
      <c r="L179" s="12" t="s">
        <v>49</v>
      </c>
      <c r="M179" s="11" t="s">
        <v>56</v>
      </c>
      <c r="N179" s="11" t="s">
        <v>152</v>
      </c>
      <c r="O179" s="11" t="s">
        <v>153</v>
      </c>
      <c r="P179" s="11" t="s">
        <v>51</v>
      </c>
      <c r="Q179" s="50" t="s">
        <v>226</v>
      </c>
      <c r="R179" s="65">
        <v>14</v>
      </c>
      <c r="S179" s="75">
        <v>8.81</v>
      </c>
      <c r="T179" s="75">
        <v>3.52</v>
      </c>
      <c r="U179" s="65">
        <v>14</v>
      </c>
      <c r="V179" s="65">
        <v>9.16</v>
      </c>
      <c r="W179" s="65">
        <v>3.44</v>
      </c>
      <c r="X179" s="130">
        <f t="shared" si="31"/>
        <v>0.34999999999999964</v>
      </c>
      <c r="Y179" s="16">
        <f t="shared" si="34"/>
        <v>0.93025342169294289</v>
      </c>
      <c r="Z179" s="15">
        <f>X179-X177</f>
        <v>0.45999999999999908</v>
      </c>
      <c r="AA179" s="16">
        <f>((U179-1)*W179^2+(U177-1)*W177^2)/((U179-1)+(U177-1))</f>
        <v>11.13325</v>
      </c>
      <c r="AB179" s="16">
        <f>SQRT(AA179*((1/U179)+(1/U177)))</f>
        <v>1.2611361091152238</v>
      </c>
      <c r="AC179" s="66" t="s">
        <v>49</v>
      </c>
      <c r="AD179" s="51" t="s">
        <v>225</v>
      </c>
      <c r="AE179" s="13">
        <v>8</v>
      </c>
      <c r="AF179" s="13">
        <v>2</v>
      </c>
      <c r="AG179" s="13">
        <v>45</v>
      </c>
      <c r="AH179" s="13">
        <v>2230060</v>
      </c>
      <c r="AI179" s="46">
        <v>3.5</v>
      </c>
      <c r="AJ179" s="135">
        <f t="shared" si="32"/>
        <v>157.5</v>
      </c>
      <c r="AK179" s="136">
        <f t="shared" si="33"/>
        <v>315</v>
      </c>
      <c r="AL179" s="136" t="str" cm="1">
        <f t="array" ref="AL179">_xlfn.IFS(
AI179&lt;3,"Ligera",
AI179&lt;=6,"Moderada",
AI179&gt;6,"Vigorosa"
)</f>
        <v>Moderada</v>
      </c>
      <c r="AM179" s="45" t="s">
        <v>49</v>
      </c>
      <c r="AN179" s="46" t="s">
        <v>49</v>
      </c>
      <c r="AO179" s="46" t="s">
        <v>61</v>
      </c>
      <c r="AP179" s="289" t="s">
        <v>155</v>
      </c>
      <c r="AQ179" s="139">
        <v>0</v>
      </c>
    </row>
    <row r="180" spans="1:43" ht="70.5" customHeight="1" thickBot="1">
      <c r="A180" s="138" t="s">
        <v>222</v>
      </c>
      <c r="B180" s="12">
        <v>43</v>
      </c>
      <c r="C180" s="12">
        <v>75.569999999999993</v>
      </c>
      <c r="D180" s="12">
        <v>100</v>
      </c>
      <c r="E180" s="12" t="s">
        <v>45</v>
      </c>
      <c r="F180" s="12" t="s">
        <v>45</v>
      </c>
      <c r="G180" s="12" t="s">
        <v>223</v>
      </c>
      <c r="H180" s="12"/>
      <c r="I180" s="12" t="s">
        <v>45</v>
      </c>
      <c r="J180" s="12" t="s">
        <v>47</v>
      </c>
      <c r="K180" s="12" t="s">
        <v>49</v>
      </c>
      <c r="L180" s="12" t="s">
        <v>49</v>
      </c>
      <c r="M180" s="11" t="s">
        <v>50</v>
      </c>
      <c r="N180" s="11" t="s">
        <v>50</v>
      </c>
      <c r="O180" s="11" t="s">
        <v>50</v>
      </c>
      <c r="P180" s="11" t="s">
        <v>51</v>
      </c>
      <c r="Q180" s="50" t="s">
        <v>82</v>
      </c>
      <c r="R180" s="65">
        <v>14</v>
      </c>
      <c r="S180" s="70">
        <v>289.64</v>
      </c>
      <c r="T180" s="70">
        <v>146.54</v>
      </c>
      <c r="U180" s="65">
        <v>14</v>
      </c>
      <c r="V180" s="65">
        <v>280.93</v>
      </c>
      <c r="W180" s="70">
        <v>136.35</v>
      </c>
      <c r="X180" s="130">
        <f t="shared" si="31"/>
        <v>-8.7099999999999795</v>
      </c>
      <c r="Y180" s="16">
        <f t="shared" si="34"/>
        <v>37.876269521392189</v>
      </c>
      <c r="Z180" s="286" t="s">
        <v>53</v>
      </c>
      <c r="AA180" s="287" t="s">
        <v>53</v>
      </c>
      <c r="AB180" s="16">
        <v>37.876269521392189</v>
      </c>
      <c r="AC180" s="66" t="s">
        <v>49</v>
      </c>
      <c r="AD180" s="51" t="s">
        <v>224</v>
      </c>
      <c r="AE180" s="13">
        <v>8</v>
      </c>
      <c r="AF180" s="13">
        <v>0</v>
      </c>
      <c r="AG180" s="13">
        <v>0</v>
      </c>
      <c r="AH180" s="134">
        <v>0</v>
      </c>
      <c r="AI180" s="134">
        <v>0</v>
      </c>
      <c r="AJ180" s="135">
        <f t="shared" si="32"/>
        <v>0</v>
      </c>
      <c r="AK180" s="136">
        <f t="shared" si="33"/>
        <v>0</v>
      </c>
      <c r="AL180" s="136" t="str" cm="1">
        <f t="array" ref="AL180">_xlfn.IFS(
AI180&lt;3,"Ligera",
AI180&lt;=6,"Moderada",
AI180&gt;6,"Vigorosa"
)</f>
        <v>Ligera</v>
      </c>
      <c r="AM180" s="45" t="s">
        <v>49</v>
      </c>
      <c r="AN180" s="46" t="s">
        <v>49</v>
      </c>
      <c r="AO180" s="46" t="s">
        <v>49</v>
      </c>
      <c r="AP180" s="289" t="s">
        <v>49</v>
      </c>
      <c r="AQ180" s="139">
        <v>0</v>
      </c>
    </row>
    <row r="181" spans="1:43" ht="70.5" customHeight="1" thickBot="1">
      <c r="A181" s="138" t="s">
        <v>222</v>
      </c>
      <c r="B181" s="12">
        <v>43</v>
      </c>
      <c r="C181" s="12">
        <v>75.53</v>
      </c>
      <c r="D181" s="12">
        <v>100</v>
      </c>
      <c r="E181" s="12" t="s">
        <v>45</v>
      </c>
      <c r="F181" s="12" t="s">
        <v>45</v>
      </c>
      <c r="G181" s="12" t="s">
        <v>223</v>
      </c>
      <c r="H181" s="12"/>
      <c r="I181" s="12" t="s">
        <v>45</v>
      </c>
      <c r="J181" s="12" t="s">
        <v>47</v>
      </c>
      <c r="K181" s="12" t="s">
        <v>49</v>
      </c>
      <c r="L181" s="12" t="s">
        <v>49</v>
      </c>
      <c r="M181" s="11" t="s">
        <v>56</v>
      </c>
      <c r="N181" s="11" t="s">
        <v>152</v>
      </c>
      <c r="O181" s="11" t="s">
        <v>153</v>
      </c>
      <c r="P181" s="11" t="s">
        <v>51</v>
      </c>
      <c r="Q181" s="50" t="s">
        <v>82</v>
      </c>
      <c r="R181" s="65">
        <v>15</v>
      </c>
      <c r="S181" s="65">
        <v>327.94</v>
      </c>
      <c r="T181" s="65">
        <v>70.11</v>
      </c>
      <c r="U181" s="65">
        <v>15</v>
      </c>
      <c r="V181" s="65">
        <v>338.78</v>
      </c>
      <c r="W181" s="65">
        <v>86.47</v>
      </c>
      <c r="X181" s="130">
        <f t="shared" si="31"/>
        <v>10.839999999999975</v>
      </c>
      <c r="Y181" s="16">
        <f t="shared" si="34"/>
        <v>20.542738051843688</v>
      </c>
      <c r="Z181" s="15">
        <f t="shared" si="35"/>
        <v>19.549999999999955</v>
      </c>
      <c r="AA181" s="16">
        <f t="shared" si="36"/>
        <v>12828.37204074074</v>
      </c>
      <c r="AB181" s="16">
        <f t="shared" si="37"/>
        <v>42.089631637024198</v>
      </c>
      <c r="AC181" s="66" t="s">
        <v>49</v>
      </c>
      <c r="AD181" s="51" t="s">
        <v>225</v>
      </c>
      <c r="AE181" s="13">
        <v>8</v>
      </c>
      <c r="AF181" s="13">
        <v>2</v>
      </c>
      <c r="AG181" s="13">
        <v>45</v>
      </c>
      <c r="AH181" s="13">
        <v>2230060</v>
      </c>
      <c r="AI181" s="46">
        <v>3.5</v>
      </c>
      <c r="AJ181" s="135">
        <f t="shared" si="32"/>
        <v>157.5</v>
      </c>
      <c r="AK181" s="136">
        <f t="shared" si="33"/>
        <v>315</v>
      </c>
      <c r="AL181" s="136" t="str" cm="1">
        <f t="array" ref="AL181">_xlfn.IFS(
AI181&lt;3,"Ligera",
AI181&lt;=6,"Moderada",
AI181&gt;6,"Vigorosa"
)</f>
        <v>Moderada</v>
      </c>
      <c r="AM181" s="45" t="s">
        <v>49</v>
      </c>
      <c r="AN181" s="46" t="s">
        <v>49</v>
      </c>
      <c r="AO181" s="46" t="s">
        <v>61</v>
      </c>
      <c r="AP181" s="289" t="s">
        <v>155</v>
      </c>
      <c r="AQ181" s="139">
        <v>0</v>
      </c>
    </row>
    <row r="182" spans="1:43" ht="70.5" customHeight="1" thickBot="1">
      <c r="A182" s="140" t="s">
        <v>222</v>
      </c>
      <c r="B182" s="141">
        <v>43</v>
      </c>
      <c r="C182" s="141">
        <v>75.069999999999993</v>
      </c>
      <c r="D182" s="141">
        <v>100</v>
      </c>
      <c r="E182" s="141" t="s">
        <v>45</v>
      </c>
      <c r="F182" s="141" t="s">
        <v>45</v>
      </c>
      <c r="G182" s="141" t="s">
        <v>223</v>
      </c>
      <c r="H182" s="141"/>
      <c r="I182" s="141" t="s">
        <v>45</v>
      </c>
      <c r="J182" s="141" t="s">
        <v>47</v>
      </c>
      <c r="K182" s="141" t="s">
        <v>49</v>
      </c>
      <c r="L182" s="141" t="s">
        <v>49</v>
      </c>
      <c r="M182" s="142" t="s">
        <v>56</v>
      </c>
      <c r="N182" s="142" t="s">
        <v>152</v>
      </c>
      <c r="O182" s="142" t="s">
        <v>153</v>
      </c>
      <c r="P182" s="142" t="s">
        <v>51</v>
      </c>
      <c r="Q182" s="158" t="s">
        <v>82</v>
      </c>
      <c r="R182" s="144">
        <v>14</v>
      </c>
      <c r="S182" s="165">
        <v>276.24</v>
      </c>
      <c r="T182" s="165">
        <v>82.62</v>
      </c>
      <c r="U182" s="144">
        <v>14</v>
      </c>
      <c r="V182" s="144">
        <v>295.44</v>
      </c>
      <c r="W182" s="144">
        <v>84.74</v>
      </c>
      <c r="X182" s="130">
        <f t="shared" si="31"/>
        <v>19.199999999999989</v>
      </c>
      <c r="Y182" s="16">
        <f t="shared" si="34"/>
        <v>22.369802987829058</v>
      </c>
      <c r="Z182" s="15">
        <f>X182-X180</f>
        <v>27.909999999999968</v>
      </c>
      <c r="AA182" s="16">
        <f>((U182-1)*W182^2+(U180-1)*W180^2)/((U182-1)+(U180-1))</f>
        <v>12886.09505</v>
      </c>
      <c r="AB182" s="16">
        <f>SQRT(AA182*((1/U182)+(1/U180)))</f>
        <v>42.905369377603215</v>
      </c>
      <c r="AC182" s="66" t="s">
        <v>49</v>
      </c>
      <c r="AD182" s="151" t="s">
        <v>225</v>
      </c>
      <c r="AE182" s="146">
        <v>8</v>
      </c>
      <c r="AF182" s="146">
        <v>2</v>
      </c>
      <c r="AG182" s="146">
        <v>45</v>
      </c>
      <c r="AH182" s="13">
        <v>2230060</v>
      </c>
      <c r="AI182" s="46">
        <v>3.5</v>
      </c>
      <c r="AJ182" s="135">
        <f t="shared" si="32"/>
        <v>157.5</v>
      </c>
      <c r="AK182" s="136">
        <f t="shared" si="33"/>
        <v>315</v>
      </c>
      <c r="AL182" s="136" t="str" cm="1">
        <f t="array" ref="AL182">_xlfn.IFS(
AI182&lt;3,"Ligera",
AI182&lt;=6,"Moderada",
AI182&gt;6,"Vigorosa"
)</f>
        <v>Moderada</v>
      </c>
      <c r="AM182" s="147" t="s">
        <v>49</v>
      </c>
      <c r="AN182" s="148" t="s">
        <v>49</v>
      </c>
      <c r="AO182" s="148" t="s">
        <v>61</v>
      </c>
      <c r="AP182" s="290" t="s">
        <v>155</v>
      </c>
      <c r="AQ182" s="149">
        <v>0</v>
      </c>
    </row>
    <row r="183" spans="1:43" ht="70.5" customHeight="1" thickBot="1">
      <c r="A183" s="124" t="s">
        <v>227</v>
      </c>
      <c r="B183" s="125">
        <v>73</v>
      </c>
      <c r="C183" s="125">
        <v>87.3</v>
      </c>
      <c r="D183" s="125">
        <v>38.200000000000003</v>
      </c>
      <c r="E183" s="125" t="s">
        <v>45</v>
      </c>
      <c r="F183" s="125" t="s">
        <v>45</v>
      </c>
      <c r="G183" s="125" t="s">
        <v>46</v>
      </c>
      <c r="H183" s="125"/>
      <c r="I183" s="125" t="s">
        <v>45</v>
      </c>
      <c r="J183" s="125" t="s">
        <v>47</v>
      </c>
      <c r="K183" s="125" t="s">
        <v>49</v>
      </c>
      <c r="L183" s="125" t="s">
        <v>49</v>
      </c>
      <c r="M183" s="126" t="s">
        <v>50</v>
      </c>
      <c r="N183" s="126" t="s">
        <v>50</v>
      </c>
      <c r="O183" s="126" t="s">
        <v>50</v>
      </c>
      <c r="P183" s="126" t="s">
        <v>51</v>
      </c>
      <c r="Q183" s="159" t="s">
        <v>124</v>
      </c>
      <c r="R183" s="128">
        <v>34</v>
      </c>
      <c r="S183" s="152">
        <v>21</v>
      </c>
      <c r="T183" s="152">
        <v>9.5</v>
      </c>
      <c r="U183" s="128">
        <v>34</v>
      </c>
      <c r="V183" s="128">
        <v>24.4</v>
      </c>
      <c r="W183" s="152">
        <v>1.5</v>
      </c>
      <c r="X183" s="130">
        <f t="shared" si="31"/>
        <v>3.3999999999999986</v>
      </c>
      <c r="Y183" s="16">
        <f t="shared" si="34"/>
        <v>1.5170598499186818</v>
      </c>
      <c r="Z183" s="286" t="s">
        <v>53</v>
      </c>
      <c r="AA183" s="287" t="s">
        <v>53</v>
      </c>
      <c r="AB183" s="16">
        <v>1.5170598499186818</v>
      </c>
      <c r="AC183" s="66" t="s">
        <v>48</v>
      </c>
      <c r="AD183" s="133" t="s">
        <v>228</v>
      </c>
      <c r="AE183" s="134">
        <v>24</v>
      </c>
      <c r="AF183" s="134">
        <v>0</v>
      </c>
      <c r="AG183" s="134">
        <v>0</v>
      </c>
      <c r="AH183" s="134">
        <v>0</v>
      </c>
      <c r="AI183" s="134">
        <v>0</v>
      </c>
      <c r="AJ183" s="135">
        <f t="shared" si="32"/>
        <v>0</v>
      </c>
      <c r="AK183" s="136">
        <f t="shared" si="33"/>
        <v>0</v>
      </c>
      <c r="AL183" s="136" t="str" cm="1">
        <f t="array" ref="AL183">_xlfn.IFS(
AI183&lt;3,"Ligera",
AI183&lt;=6,"Moderada",
AI183&gt;6,"Vigorosa"
)</f>
        <v>Ligera</v>
      </c>
      <c r="AM183" s="136" t="s">
        <v>49</v>
      </c>
      <c r="AN183" s="135" t="s">
        <v>49</v>
      </c>
      <c r="AO183" s="135" t="s">
        <v>49</v>
      </c>
      <c r="AP183" s="288" t="s">
        <v>49</v>
      </c>
      <c r="AQ183" s="137">
        <v>0</v>
      </c>
    </row>
    <row r="184" spans="1:43" ht="70.5" customHeight="1" thickBot="1">
      <c r="A184" s="138" t="s">
        <v>227</v>
      </c>
      <c r="B184" s="12">
        <v>73</v>
      </c>
      <c r="C184" s="12">
        <v>86</v>
      </c>
      <c r="D184" s="12">
        <v>23.1</v>
      </c>
      <c r="E184" s="12" t="s">
        <v>45</v>
      </c>
      <c r="F184" s="12" t="s">
        <v>45</v>
      </c>
      <c r="G184" s="12" t="s">
        <v>46</v>
      </c>
      <c r="H184" s="12"/>
      <c r="I184" s="12" t="s">
        <v>45</v>
      </c>
      <c r="J184" s="12" t="s">
        <v>47</v>
      </c>
      <c r="K184" s="12" t="s">
        <v>49</v>
      </c>
      <c r="L184" s="12" t="s">
        <v>49</v>
      </c>
      <c r="M184" s="11" t="s">
        <v>56</v>
      </c>
      <c r="N184" s="11" t="s">
        <v>76</v>
      </c>
      <c r="O184" s="11" t="s">
        <v>103</v>
      </c>
      <c r="P184" s="11" t="s">
        <v>51</v>
      </c>
      <c r="Q184" s="50" t="s">
        <v>124</v>
      </c>
      <c r="R184" s="65">
        <v>39</v>
      </c>
      <c r="S184" s="65">
        <v>27.6</v>
      </c>
      <c r="T184" s="65">
        <v>18.3</v>
      </c>
      <c r="U184" s="65">
        <v>39</v>
      </c>
      <c r="V184" s="65">
        <v>16.2</v>
      </c>
      <c r="W184" s="65">
        <v>1.5</v>
      </c>
      <c r="X184" s="130">
        <f t="shared" si="31"/>
        <v>-11.400000000000002</v>
      </c>
      <c r="Y184" s="16">
        <f t="shared" si="34"/>
        <v>2.8179370523078102</v>
      </c>
      <c r="Z184" s="15">
        <f t="shared" si="35"/>
        <v>-14.8</v>
      </c>
      <c r="AA184" s="16">
        <f t="shared" si="36"/>
        <v>2.25</v>
      </c>
      <c r="AB184" s="16">
        <f t="shared" si="37"/>
        <v>0.3519499655924731</v>
      </c>
      <c r="AC184" s="66" t="s">
        <v>48</v>
      </c>
      <c r="AD184" s="51" t="s">
        <v>229</v>
      </c>
      <c r="AE184" s="13">
        <v>24</v>
      </c>
      <c r="AF184" s="13">
        <v>3</v>
      </c>
      <c r="AG184" s="13">
        <v>55</v>
      </c>
      <c r="AH184" s="13">
        <v>211360</v>
      </c>
      <c r="AI184" s="13">
        <v>3.5</v>
      </c>
      <c r="AJ184" s="135">
        <f t="shared" si="32"/>
        <v>192.5</v>
      </c>
      <c r="AK184" s="136">
        <f t="shared" si="33"/>
        <v>577.5</v>
      </c>
      <c r="AL184" s="136" t="str" cm="1">
        <f t="array" ref="AL184">_xlfn.IFS(
AI184&lt;3,"Ligera",
AI184&lt;=6,"Moderada",
AI184&gt;6,"Vigorosa"
)</f>
        <v>Moderada</v>
      </c>
      <c r="AM184" s="45" t="s">
        <v>48</v>
      </c>
      <c r="AN184" s="46" t="s">
        <v>60</v>
      </c>
      <c r="AO184" s="46" t="s">
        <v>61</v>
      </c>
      <c r="AP184" s="289" t="s">
        <v>128</v>
      </c>
      <c r="AQ184" s="139">
        <v>0</v>
      </c>
    </row>
    <row r="185" spans="1:43" ht="70.5" customHeight="1" thickBot="1">
      <c r="A185" s="138" t="s">
        <v>227</v>
      </c>
      <c r="B185" s="12">
        <v>73</v>
      </c>
      <c r="C185" s="12">
        <v>87.3</v>
      </c>
      <c r="D185" s="12">
        <v>38.200000000000003</v>
      </c>
      <c r="E185" s="12" t="s">
        <v>45</v>
      </c>
      <c r="F185" s="12" t="s">
        <v>45</v>
      </c>
      <c r="G185" s="12" t="s">
        <v>46</v>
      </c>
      <c r="H185" s="12"/>
      <c r="I185" s="12" t="s">
        <v>45</v>
      </c>
      <c r="J185" s="12" t="s">
        <v>47</v>
      </c>
      <c r="K185" s="12" t="s">
        <v>49</v>
      </c>
      <c r="L185" s="12" t="s">
        <v>49</v>
      </c>
      <c r="M185" s="11" t="s">
        <v>50</v>
      </c>
      <c r="N185" s="11" t="s">
        <v>50</v>
      </c>
      <c r="O185" s="11" t="s">
        <v>50</v>
      </c>
      <c r="P185" s="11" t="s">
        <v>86</v>
      </c>
      <c r="Q185" s="50" t="s">
        <v>87</v>
      </c>
      <c r="R185" s="65">
        <v>34</v>
      </c>
      <c r="S185" s="70">
        <v>38.700000000000003</v>
      </c>
      <c r="T185" s="70">
        <v>9.6</v>
      </c>
      <c r="U185" s="65">
        <v>34</v>
      </c>
      <c r="V185" s="65">
        <v>34.200000000000003</v>
      </c>
      <c r="W185" s="70">
        <v>0.9</v>
      </c>
      <c r="X185" s="130">
        <f t="shared" si="31"/>
        <v>-4.5</v>
      </c>
      <c r="Y185" s="16">
        <f t="shared" si="34"/>
        <v>1.574894954480158</v>
      </c>
      <c r="Z185" s="286" t="s">
        <v>53</v>
      </c>
      <c r="AA185" s="287" t="s">
        <v>53</v>
      </c>
      <c r="AB185" s="16">
        <v>1.574894954480158</v>
      </c>
      <c r="AC185" s="66" t="s">
        <v>49</v>
      </c>
      <c r="AD185" s="51" t="s">
        <v>230</v>
      </c>
      <c r="AE185" s="13">
        <v>24</v>
      </c>
      <c r="AF185" s="13">
        <v>0</v>
      </c>
      <c r="AG185" s="13">
        <v>0</v>
      </c>
      <c r="AH185" s="134">
        <v>0</v>
      </c>
      <c r="AI185" s="134">
        <v>0</v>
      </c>
      <c r="AJ185" s="135">
        <f t="shared" si="32"/>
        <v>0</v>
      </c>
      <c r="AK185" s="136">
        <f t="shared" si="33"/>
        <v>0</v>
      </c>
      <c r="AL185" s="136" t="str" cm="1">
        <f t="array" ref="AL185">_xlfn.IFS(
AI185&lt;3,"Ligera",
AI185&lt;=6,"Moderada",
AI185&gt;6,"Vigorosa"
)</f>
        <v>Ligera</v>
      </c>
      <c r="AM185" s="45" t="s">
        <v>49</v>
      </c>
      <c r="AN185" s="46" t="s">
        <v>49</v>
      </c>
      <c r="AO185" s="46" t="s">
        <v>49</v>
      </c>
      <c r="AP185" s="289" t="s">
        <v>49</v>
      </c>
      <c r="AQ185" s="139">
        <v>0</v>
      </c>
    </row>
    <row r="186" spans="1:43" ht="70.5" customHeight="1" thickBot="1">
      <c r="A186" s="138" t="s">
        <v>227</v>
      </c>
      <c r="B186" s="12">
        <v>73</v>
      </c>
      <c r="C186" s="12">
        <v>86</v>
      </c>
      <c r="D186" s="12">
        <v>23.1</v>
      </c>
      <c r="E186" s="12" t="s">
        <v>45</v>
      </c>
      <c r="F186" s="12" t="s">
        <v>45</v>
      </c>
      <c r="G186" s="12" t="s">
        <v>46</v>
      </c>
      <c r="H186" s="12"/>
      <c r="I186" s="12" t="s">
        <v>45</v>
      </c>
      <c r="J186" s="12" t="s">
        <v>47</v>
      </c>
      <c r="K186" s="12" t="s">
        <v>49</v>
      </c>
      <c r="L186" s="12" t="s">
        <v>49</v>
      </c>
      <c r="M186" s="11" t="s">
        <v>56</v>
      </c>
      <c r="N186" s="11" t="s">
        <v>76</v>
      </c>
      <c r="O186" s="11" t="s">
        <v>103</v>
      </c>
      <c r="P186" s="11" t="s">
        <v>86</v>
      </c>
      <c r="Q186" s="50" t="s">
        <v>87</v>
      </c>
      <c r="R186" s="65">
        <v>39</v>
      </c>
      <c r="S186" s="65">
        <v>36.700000000000003</v>
      </c>
      <c r="T186" s="65">
        <v>12.6</v>
      </c>
      <c r="U186" s="65">
        <v>39</v>
      </c>
      <c r="V186" s="65">
        <v>42.4</v>
      </c>
      <c r="W186" s="65">
        <v>0.8</v>
      </c>
      <c r="X186" s="130">
        <f t="shared" si="31"/>
        <v>5.6999999999999957</v>
      </c>
      <c r="Y186" s="16">
        <f t="shared" si="34"/>
        <v>1.9567110028611654</v>
      </c>
      <c r="Z186" s="15">
        <f t="shared" si="35"/>
        <v>10.199999999999996</v>
      </c>
      <c r="AA186" s="16">
        <f t="shared" si="36"/>
        <v>0.71901408450704229</v>
      </c>
      <c r="AB186" s="16">
        <f t="shared" si="37"/>
        <v>0.19895660745710403</v>
      </c>
      <c r="AC186" s="66" t="s">
        <v>49</v>
      </c>
      <c r="AD186" s="51" t="s">
        <v>229</v>
      </c>
      <c r="AE186" s="13">
        <v>24</v>
      </c>
      <c r="AF186" s="13">
        <v>3</v>
      </c>
      <c r="AG186" s="13">
        <v>55</v>
      </c>
      <c r="AH186" s="13">
        <v>211360</v>
      </c>
      <c r="AI186" s="13">
        <v>3.5</v>
      </c>
      <c r="AJ186" s="135">
        <f t="shared" si="32"/>
        <v>192.5</v>
      </c>
      <c r="AK186" s="136">
        <f t="shared" si="33"/>
        <v>577.5</v>
      </c>
      <c r="AL186" s="136" t="str" cm="1">
        <f t="array" ref="AL186">_xlfn.IFS(
AI186&lt;3,"Ligera",
AI186&lt;=6,"Moderada",
AI186&gt;6,"Vigorosa"
)</f>
        <v>Moderada</v>
      </c>
      <c r="AM186" s="45" t="s">
        <v>48</v>
      </c>
      <c r="AN186" s="46" t="s">
        <v>60</v>
      </c>
      <c r="AO186" s="46" t="s">
        <v>61</v>
      </c>
      <c r="AP186" s="289" t="s">
        <v>128</v>
      </c>
      <c r="AQ186" s="139">
        <v>0</v>
      </c>
    </row>
    <row r="187" spans="1:43" ht="70.5" customHeight="1" thickBot="1">
      <c r="A187" s="138" t="s">
        <v>227</v>
      </c>
      <c r="B187" s="12">
        <v>73</v>
      </c>
      <c r="C187" s="12">
        <v>87.3</v>
      </c>
      <c r="D187" s="12">
        <v>38.200000000000003</v>
      </c>
      <c r="E187" s="12" t="s">
        <v>45</v>
      </c>
      <c r="F187" s="12" t="s">
        <v>45</v>
      </c>
      <c r="G187" s="12" t="s">
        <v>46</v>
      </c>
      <c r="H187" s="12"/>
      <c r="I187" s="12" t="s">
        <v>45</v>
      </c>
      <c r="J187" s="12" t="s">
        <v>47</v>
      </c>
      <c r="K187" s="12" t="s">
        <v>49</v>
      </c>
      <c r="L187" s="12" t="s">
        <v>49</v>
      </c>
      <c r="M187" s="11" t="s">
        <v>50</v>
      </c>
      <c r="N187" s="11" t="s">
        <v>50</v>
      </c>
      <c r="O187" s="11" t="s">
        <v>50</v>
      </c>
      <c r="P187" s="11" t="s">
        <v>51</v>
      </c>
      <c r="Q187" s="50" t="s">
        <v>91</v>
      </c>
      <c r="R187" s="65">
        <v>34</v>
      </c>
      <c r="S187" s="70">
        <v>6.5</v>
      </c>
      <c r="T187" s="70">
        <v>2.6</v>
      </c>
      <c r="U187" s="65">
        <v>34</v>
      </c>
      <c r="V187" s="65">
        <v>6</v>
      </c>
      <c r="W187" s="70">
        <v>0.3</v>
      </c>
      <c r="X187" s="130">
        <f t="shared" si="31"/>
        <v>-0.5</v>
      </c>
      <c r="Y187" s="16">
        <f t="shared" si="34"/>
        <v>0.42252740948334455</v>
      </c>
      <c r="Z187" s="286" t="s">
        <v>53</v>
      </c>
      <c r="AA187" s="287" t="s">
        <v>53</v>
      </c>
      <c r="AB187" s="16">
        <v>0.42252740948334455</v>
      </c>
      <c r="AC187" s="66" t="s">
        <v>49</v>
      </c>
      <c r="AD187" s="51" t="s">
        <v>230</v>
      </c>
      <c r="AE187" s="13">
        <v>24</v>
      </c>
      <c r="AF187" s="13">
        <v>0</v>
      </c>
      <c r="AG187" s="13">
        <v>0</v>
      </c>
      <c r="AH187" s="134">
        <v>0</v>
      </c>
      <c r="AI187" s="134">
        <v>0</v>
      </c>
      <c r="AJ187" s="135">
        <f t="shared" si="32"/>
        <v>0</v>
      </c>
      <c r="AK187" s="136">
        <f t="shared" si="33"/>
        <v>0</v>
      </c>
      <c r="AL187" s="136" t="str" cm="1">
        <f t="array" ref="AL187">_xlfn.IFS(
AI187&lt;3,"Ligera",
AI187&lt;=6,"Moderada",
AI187&gt;6,"Vigorosa"
)</f>
        <v>Ligera</v>
      </c>
      <c r="AM187" s="45" t="s">
        <v>49</v>
      </c>
      <c r="AN187" s="46" t="s">
        <v>49</v>
      </c>
      <c r="AO187" s="46" t="s">
        <v>49</v>
      </c>
      <c r="AP187" s="289" t="s">
        <v>49</v>
      </c>
      <c r="AQ187" s="139">
        <v>0</v>
      </c>
    </row>
    <row r="188" spans="1:43" ht="70.5" customHeight="1" thickBot="1">
      <c r="A188" s="138" t="s">
        <v>227</v>
      </c>
      <c r="B188" s="12">
        <v>73</v>
      </c>
      <c r="C188" s="12">
        <v>86</v>
      </c>
      <c r="D188" s="12">
        <v>23.1</v>
      </c>
      <c r="E188" s="12" t="s">
        <v>45</v>
      </c>
      <c r="F188" s="12" t="s">
        <v>45</v>
      </c>
      <c r="G188" s="12" t="s">
        <v>46</v>
      </c>
      <c r="H188" s="12"/>
      <c r="I188" s="12" t="s">
        <v>45</v>
      </c>
      <c r="J188" s="12" t="s">
        <v>47</v>
      </c>
      <c r="K188" s="12" t="s">
        <v>49</v>
      </c>
      <c r="L188" s="12" t="s">
        <v>49</v>
      </c>
      <c r="M188" s="11" t="s">
        <v>56</v>
      </c>
      <c r="N188" s="11" t="s">
        <v>76</v>
      </c>
      <c r="O188" s="11" t="s">
        <v>103</v>
      </c>
      <c r="P188" s="11" t="s">
        <v>51</v>
      </c>
      <c r="Q188" s="50" t="s">
        <v>91</v>
      </c>
      <c r="R188" s="65">
        <v>39</v>
      </c>
      <c r="S188" s="65">
        <v>5.3</v>
      </c>
      <c r="T188" s="65">
        <v>2.6</v>
      </c>
      <c r="U188" s="65">
        <v>39</v>
      </c>
      <c r="V188" s="65">
        <v>6.2</v>
      </c>
      <c r="W188" s="65">
        <v>0.2</v>
      </c>
      <c r="X188" s="130">
        <f t="shared" si="31"/>
        <v>0.90000000000000036</v>
      </c>
      <c r="Y188" s="16">
        <f t="shared" si="34"/>
        <v>0.40128000327158225</v>
      </c>
      <c r="Z188" s="15">
        <f t="shared" si="35"/>
        <v>1.4000000000000004</v>
      </c>
      <c r="AA188" s="16">
        <f t="shared" si="36"/>
        <v>6.3239436619718314E-2</v>
      </c>
      <c r="AB188" s="16">
        <f t="shared" si="37"/>
        <v>5.900430023211807E-2</v>
      </c>
      <c r="AC188" s="66" t="s">
        <v>49</v>
      </c>
      <c r="AD188" s="51" t="s">
        <v>229</v>
      </c>
      <c r="AE188" s="13">
        <v>24</v>
      </c>
      <c r="AF188" s="13">
        <v>3</v>
      </c>
      <c r="AG188" s="13">
        <v>55</v>
      </c>
      <c r="AH188" s="13">
        <v>211360</v>
      </c>
      <c r="AI188" s="13">
        <v>3.5</v>
      </c>
      <c r="AJ188" s="135">
        <f t="shared" si="32"/>
        <v>192.5</v>
      </c>
      <c r="AK188" s="136">
        <f t="shared" si="33"/>
        <v>577.5</v>
      </c>
      <c r="AL188" s="136" t="str" cm="1">
        <f t="array" ref="AL188">_xlfn.IFS(
AI188&lt;3,"Ligera",
AI188&lt;=6,"Moderada",
AI188&gt;6,"Vigorosa"
)</f>
        <v>Moderada</v>
      </c>
      <c r="AM188" s="45" t="s">
        <v>48</v>
      </c>
      <c r="AN188" s="46" t="s">
        <v>60</v>
      </c>
      <c r="AO188" s="46" t="s">
        <v>61</v>
      </c>
      <c r="AP188" s="289" t="s">
        <v>128</v>
      </c>
      <c r="AQ188" s="139">
        <v>0</v>
      </c>
    </row>
    <row r="189" spans="1:43" ht="70.5" customHeight="1" thickBot="1">
      <c r="A189" s="138" t="s">
        <v>227</v>
      </c>
      <c r="B189" s="12">
        <v>73</v>
      </c>
      <c r="C189" s="12">
        <v>87.3</v>
      </c>
      <c r="D189" s="12">
        <v>38.200000000000003</v>
      </c>
      <c r="E189" s="12" t="s">
        <v>45</v>
      </c>
      <c r="F189" s="12" t="s">
        <v>45</v>
      </c>
      <c r="G189" s="12" t="s">
        <v>46</v>
      </c>
      <c r="H189" s="12"/>
      <c r="I189" s="12" t="s">
        <v>45</v>
      </c>
      <c r="J189" s="12" t="s">
        <v>47</v>
      </c>
      <c r="K189" s="12" t="s">
        <v>49</v>
      </c>
      <c r="L189" s="12" t="s">
        <v>49</v>
      </c>
      <c r="M189" s="11" t="s">
        <v>50</v>
      </c>
      <c r="N189" s="11" t="s">
        <v>50</v>
      </c>
      <c r="O189" s="11" t="s">
        <v>50</v>
      </c>
      <c r="P189" s="11" t="s">
        <v>51</v>
      </c>
      <c r="Q189" s="50" t="s">
        <v>149</v>
      </c>
      <c r="R189" s="65">
        <v>34</v>
      </c>
      <c r="S189" s="70">
        <v>20.5</v>
      </c>
      <c r="T189" s="70">
        <v>9.9</v>
      </c>
      <c r="U189" s="65">
        <v>34</v>
      </c>
      <c r="V189" s="65">
        <v>21.2</v>
      </c>
      <c r="W189" s="70">
        <v>1.2</v>
      </c>
      <c r="X189" s="130">
        <f t="shared" si="31"/>
        <v>0.69999999999999929</v>
      </c>
      <c r="Y189" s="16">
        <f t="shared" si="34"/>
        <v>1.6048639304608094</v>
      </c>
      <c r="Z189" s="286" t="s">
        <v>53</v>
      </c>
      <c r="AA189" s="287" t="s">
        <v>53</v>
      </c>
      <c r="AB189" s="16">
        <v>1.6048639304608094</v>
      </c>
      <c r="AC189" s="66" t="s">
        <v>48</v>
      </c>
      <c r="AD189" s="51" t="s">
        <v>230</v>
      </c>
      <c r="AE189" s="13">
        <v>24</v>
      </c>
      <c r="AF189" s="13">
        <v>0</v>
      </c>
      <c r="AG189" s="13">
        <v>0</v>
      </c>
      <c r="AH189" s="134">
        <v>0</v>
      </c>
      <c r="AI189" s="134">
        <v>0</v>
      </c>
      <c r="AJ189" s="135">
        <f t="shared" si="32"/>
        <v>0</v>
      </c>
      <c r="AK189" s="136">
        <f t="shared" si="33"/>
        <v>0</v>
      </c>
      <c r="AL189" s="136" t="str" cm="1">
        <f t="array" ref="AL189">_xlfn.IFS(
AI189&lt;3,"Ligera",
AI189&lt;=6,"Moderada",
AI189&gt;6,"Vigorosa"
)</f>
        <v>Ligera</v>
      </c>
      <c r="AM189" s="45" t="s">
        <v>49</v>
      </c>
      <c r="AN189" s="46" t="s">
        <v>49</v>
      </c>
      <c r="AO189" s="46" t="s">
        <v>49</v>
      </c>
      <c r="AP189" s="289" t="s">
        <v>49</v>
      </c>
      <c r="AQ189" s="139">
        <v>0</v>
      </c>
    </row>
    <row r="190" spans="1:43" ht="70.5" customHeight="1" thickBot="1">
      <c r="A190" s="138" t="s">
        <v>227</v>
      </c>
      <c r="B190" s="12">
        <v>73</v>
      </c>
      <c r="C190" s="12">
        <v>86</v>
      </c>
      <c r="D190" s="12">
        <v>23.1</v>
      </c>
      <c r="E190" s="12" t="s">
        <v>45</v>
      </c>
      <c r="F190" s="12" t="s">
        <v>45</v>
      </c>
      <c r="G190" s="12" t="s">
        <v>46</v>
      </c>
      <c r="H190" s="12"/>
      <c r="I190" s="12" t="s">
        <v>45</v>
      </c>
      <c r="J190" s="12" t="s">
        <v>47</v>
      </c>
      <c r="K190" s="12" t="s">
        <v>49</v>
      </c>
      <c r="L190" s="12" t="s">
        <v>49</v>
      </c>
      <c r="M190" s="11" t="s">
        <v>56</v>
      </c>
      <c r="N190" s="11" t="s">
        <v>76</v>
      </c>
      <c r="O190" s="11" t="s">
        <v>103</v>
      </c>
      <c r="P190" s="11" t="s">
        <v>51</v>
      </c>
      <c r="Q190" s="50" t="s">
        <v>149</v>
      </c>
      <c r="R190" s="65">
        <v>39</v>
      </c>
      <c r="S190" s="65">
        <v>22.4</v>
      </c>
      <c r="T190" s="65">
        <v>13.4</v>
      </c>
      <c r="U190" s="65">
        <v>39</v>
      </c>
      <c r="V190" s="65">
        <v>17.399999999999999</v>
      </c>
      <c r="W190" s="65">
        <v>1.1000000000000001</v>
      </c>
      <c r="X190" s="130">
        <f t="shared" si="31"/>
        <v>-5</v>
      </c>
      <c r="Y190" s="16">
        <f t="shared" si="34"/>
        <v>2.0632933594570324</v>
      </c>
      <c r="Z190" s="15">
        <f t="shared" si="35"/>
        <v>-5.6999999999999993</v>
      </c>
      <c r="AA190" s="16">
        <f t="shared" si="36"/>
        <v>1.3169014084507042</v>
      </c>
      <c r="AB190" s="16">
        <f t="shared" si="37"/>
        <v>0.26925656379554513</v>
      </c>
      <c r="AC190" s="66" t="s">
        <v>48</v>
      </c>
      <c r="AD190" s="51" t="s">
        <v>229</v>
      </c>
      <c r="AE190" s="13">
        <v>24</v>
      </c>
      <c r="AF190" s="13">
        <v>3</v>
      </c>
      <c r="AG190" s="13">
        <v>55</v>
      </c>
      <c r="AH190" s="13">
        <v>211360</v>
      </c>
      <c r="AI190" s="13">
        <v>3.5</v>
      </c>
      <c r="AJ190" s="135">
        <f t="shared" si="32"/>
        <v>192.5</v>
      </c>
      <c r="AK190" s="136">
        <f t="shared" si="33"/>
        <v>577.5</v>
      </c>
      <c r="AL190" s="136" t="str" cm="1">
        <f t="array" ref="AL190">_xlfn.IFS(
AI190&lt;3,"Ligera",
AI190&lt;=6,"Moderada",
AI190&gt;6,"Vigorosa"
)</f>
        <v>Moderada</v>
      </c>
      <c r="AM190" s="45" t="s">
        <v>48</v>
      </c>
      <c r="AN190" s="46" t="s">
        <v>60</v>
      </c>
      <c r="AO190" s="46" t="s">
        <v>61</v>
      </c>
      <c r="AP190" s="289" t="s">
        <v>128</v>
      </c>
      <c r="AQ190" s="139">
        <v>0</v>
      </c>
    </row>
    <row r="191" spans="1:43" ht="70.5" customHeight="1" thickBot="1">
      <c r="A191" s="138" t="s">
        <v>227</v>
      </c>
      <c r="B191" s="12">
        <v>73</v>
      </c>
      <c r="C191" s="12">
        <v>87.3</v>
      </c>
      <c r="D191" s="12">
        <v>38.200000000000003</v>
      </c>
      <c r="E191" s="12" t="s">
        <v>45</v>
      </c>
      <c r="F191" s="12" t="s">
        <v>45</v>
      </c>
      <c r="G191" s="12" t="s">
        <v>46</v>
      </c>
      <c r="H191" s="12"/>
      <c r="I191" s="12" t="s">
        <v>45</v>
      </c>
      <c r="J191" s="12" t="s">
        <v>47</v>
      </c>
      <c r="K191" s="12" t="s">
        <v>49</v>
      </c>
      <c r="L191" s="12" t="s">
        <v>49</v>
      </c>
      <c r="M191" s="11" t="s">
        <v>50</v>
      </c>
      <c r="N191" s="11" t="s">
        <v>50</v>
      </c>
      <c r="O191" s="11" t="s">
        <v>50</v>
      </c>
      <c r="P191" s="11" t="s">
        <v>51</v>
      </c>
      <c r="Q191" s="50" t="s">
        <v>92</v>
      </c>
      <c r="R191" s="65">
        <v>34</v>
      </c>
      <c r="S191" s="70">
        <v>14.5</v>
      </c>
      <c r="T191" s="70">
        <v>6.7</v>
      </c>
      <c r="U191" s="65">
        <v>34</v>
      </c>
      <c r="V191" s="65">
        <v>12.6</v>
      </c>
      <c r="W191" s="70">
        <v>0.6</v>
      </c>
      <c r="X191" s="130">
        <f t="shared" si="31"/>
        <v>-1.9000000000000004</v>
      </c>
      <c r="Y191" s="16">
        <f t="shared" si="34"/>
        <v>1.1012025512245827</v>
      </c>
      <c r="Z191" s="286" t="s">
        <v>53</v>
      </c>
      <c r="AA191" s="287" t="s">
        <v>53</v>
      </c>
      <c r="AB191" s="16">
        <v>1.1012025512245827</v>
      </c>
      <c r="AC191" s="66" t="s">
        <v>49</v>
      </c>
      <c r="AD191" s="51" t="s">
        <v>230</v>
      </c>
      <c r="AE191" s="13">
        <v>24</v>
      </c>
      <c r="AF191" s="13">
        <v>0</v>
      </c>
      <c r="AG191" s="13">
        <v>0</v>
      </c>
      <c r="AH191" s="134">
        <v>0</v>
      </c>
      <c r="AI191" s="134">
        <v>0</v>
      </c>
      <c r="AJ191" s="135">
        <f t="shared" si="32"/>
        <v>0</v>
      </c>
      <c r="AK191" s="136">
        <f t="shared" si="33"/>
        <v>0</v>
      </c>
      <c r="AL191" s="136" t="str" cm="1">
        <f t="array" ref="AL191">_xlfn.IFS(
AI191&lt;3,"Ligera",
AI191&lt;=6,"Moderada",
AI191&gt;6,"Vigorosa"
)</f>
        <v>Ligera</v>
      </c>
      <c r="AM191" s="45" t="s">
        <v>49</v>
      </c>
      <c r="AN191" s="46" t="s">
        <v>49</v>
      </c>
      <c r="AO191" s="46" t="s">
        <v>49</v>
      </c>
      <c r="AP191" s="289" t="s">
        <v>49</v>
      </c>
      <c r="AQ191" s="139">
        <v>0</v>
      </c>
    </row>
    <row r="192" spans="1:43" ht="70.5" customHeight="1" thickBot="1">
      <c r="A192" s="138" t="s">
        <v>227</v>
      </c>
      <c r="B192" s="12">
        <v>73</v>
      </c>
      <c r="C192" s="12">
        <v>86</v>
      </c>
      <c r="D192" s="12">
        <v>23.1</v>
      </c>
      <c r="E192" s="12" t="s">
        <v>45</v>
      </c>
      <c r="F192" s="12" t="s">
        <v>45</v>
      </c>
      <c r="G192" s="12" t="s">
        <v>46</v>
      </c>
      <c r="H192" s="12"/>
      <c r="I192" s="12" t="s">
        <v>45</v>
      </c>
      <c r="J192" s="12" t="s">
        <v>47</v>
      </c>
      <c r="K192" s="12" t="s">
        <v>49</v>
      </c>
      <c r="L192" s="12" t="s">
        <v>49</v>
      </c>
      <c r="M192" s="11" t="s">
        <v>56</v>
      </c>
      <c r="N192" s="11" t="s">
        <v>76</v>
      </c>
      <c r="O192" s="11" t="s">
        <v>103</v>
      </c>
      <c r="P192" s="11" t="s">
        <v>51</v>
      </c>
      <c r="Q192" s="50" t="s">
        <v>92</v>
      </c>
      <c r="R192" s="65">
        <v>39</v>
      </c>
      <c r="S192" s="65">
        <v>14.6</v>
      </c>
      <c r="T192" s="65">
        <v>6.2</v>
      </c>
      <c r="U192" s="65">
        <v>39</v>
      </c>
      <c r="V192" s="65">
        <v>16.100000000000001</v>
      </c>
      <c r="W192" s="65">
        <v>0.5</v>
      </c>
      <c r="X192" s="130">
        <f t="shared" si="31"/>
        <v>1.5000000000000018</v>
      </c>
      <c r="Y192" s="16">
        <f t="shared" si="34"/>
        <v>0.95528221095344523</v>
      </c>
      <c r="Z192" s="15">
        <f t="shared" si="35"/>
        <v>3.4000000000000021</v>
      </c>
      <c r="AA192" s="16">
        <f t="shared" si="36"/>
        <v>0.30112676056338028</v>
      </c>
      <c r="AB192" s="16">
        <f t="shared" si="37"/>
        <v>0.12875507142299031</v>
      </c>
      <c r="AC192" s="66" t="s">
        <v>49</v>
      </c>
      <c r="AD192" s="51" t="s">
        <v>229</v>
      </c>
      <c r="AE192" s="13">
        <v>24</v>
      </c>
      <c r="AF192" s="13">
        <v>3</v>
      </c>
      <c r="AG192" s="13">
        <v>55</v>
      </c>
      <c r="AH192" s="13">
        <v>211360</v>
      </c>
      <c r="AI192" s="13">
        <v>3.5</v>
      </c>
      <c r="AJ192" s="135">
        <f t="shared" si="32"/>
        <v>192.5</v>
      </c>
      <c r="AK192" s="136">
        <f t="shared" si="33"/>
        <v>577.5</v>
      </c>
      <c r="AL192" s="136" t="str" cm="1">
        <f t="array" ref="AL192">_xlfn.IFS(
AI192&lt;3,"Ligera",
AI192&lt;=6,"Moderada",
AI192&gt;6,"Vigorosa"
)</f>
        <v>Moderada</v>
      </c>
      <c r="AM192" s="45" t="s">
        <v>48</v>
      </c>
      <c r="AN192" s="46" t="s">
        <v>60</v>
      </c>
      <c r="AO192" s="46" t="s">
        <v>61</v>
      </c>
      <c r="AP192" s="289" t="s">
        <v>128</v>
      </c>
      <c r="AQ192" s="139">
        <v>0</v>
      </c>
    </row>
    <row r="193" spans="1:43" ht="70.5" customHeight="1" thickBot="1">
      <c r="A193" s="138" t="s">
        <v>227</v>
      </c>
      <c r="B193" s="12">
        <v>73</v>
      </c>
      <c r="C193" s="12">
        <v>87.3</v>
      </c>
      <c r="D193" s="12">
        <v>38.200000000000003</v>
      </c>
      <c r="E193" s="12" t="s">
        <v>45</v>
      </c>
      <c r="F193" s="12" t="s">
        <v>45</v>
      </c>
      <c r="G193" s="12" t="s">
        <v>46</v>
      </c>
      <c r="H193" s="12"/>
      <c r="I193" s="12" t="s">
        <v>45</v>
      </c>
      <c r="J193" s="12" t="s">
        <v>47</v>
      </c>
      <c r="K193" s="12" t="s">
        <v>49</v>
      </c>
      <c r="L193" s="12" t="s">
        <v>49</v>
      </c>
      <c r="M193" s="11" t="s">
        <v>50</v>
      </c>
      <c r="N193" s="11" t="s">
        <v>50</v>
      </c>
      <c r="O193" s="11" t="s">
        <v>50</v>
      </c>
      <c r="P193" s="11" t="s">
        <v>51</v>
      </c>
      <c r="Q193" s="50" t="s">
        <v>210</v>
      </c>
      <c r="R193" s="65">
        <v>34</v>
      </c>
      <c r="S193" s="70">
        <v>0.71</v>
      </c>
      <c r="T193" s="70">
        <v>0.2</v>
      </c>
      <c r="U193" s="65">
        <v>34</v>
      </c>
      <c r="V193" s="65">
        <v>0.6</v>
      </c>
      <c r="W193" s="70">
        <v>0.03</v>
      </c>
      <c r="X193" s="130">
        <f t="shared" ref="X193:X242" si="38">V193-S193</f>
        <v>-0.10999999999999999</v>
      </c>
      <c r="Y193" s="16">
        <f t="shared" si="34"/>
        <v>3.2038579685049931E-2</v>
      </c>
      <c r="Z193" s="286" t="s">
        <v>53</v>
      </c>
      <c r="AA193" s="287" t="s">
        <v>53</v>
      </c>
      <c r="AB193" s="16">
        <v>3.2038579685049931E-2</v>
      </c>
      <c r="AC193" s="66" t="s">
        <v>49</v>
      </c>
      <c r="AD193" s="51" t="s">
        <v>230</v>
      </c>
      <c r="AE193" s="13">
        <v>24</v>
      </c>
      <c r="AF193" s="13">
        <v>0</v>
      </c>
      <c r="AG193" s="13">
        <v>0</v>
      </c>
      <c r="AH193" s="134">
        <v>0</v>
      </c>
      <c r="AI193" s="134">
        <v>0</v>
      </c>
      <c r="AJ193" s="135">
        <f t="shared" ref="AJ193:AJ242" si="39">AI193*AG193</f>
        <v>0</v>
      </c>
      <c r="AK193" s="136">
        <f t="shared" ref="AK193:AK242" si="40">AJ193*AF193</f>
        <v>0</v>
      </c>
      <c r="AL193" s="136" t="str" cm="1">
        <f t="array" ref="AL193">_xlfn.IFS(
AI193&lt;3,"Ligera",
AI193&lt;=6,"Moderada",
AI193&gt;6,"Vigorosa"
)</f>
        <v>Ligera</v>
      </c>
      <c r="AM193" s="45" t="s">
        <v>49</v>
      </c>
      <c r="AN193" s="46" t="s">
        <v>49</v>
      </c>
      <c r="AO193" s="46" t="s">
        <v>49</v>
      </c>
      <c r="AP193" s="289" t="s">
        <v>49</v>
      </c>
      <c r="AQ193" s="139">
        <v>0</v>
      </c>
    </row>
    <row r="194" spans="1:43" ht="70.5" customHeight="1" thickBot="1">
      <c r="A194" s="138" t="s">
        <v>227</v>
      </c>
      <c r="B194" s="12">
        <v>73</v>
      </c>
      <c r="C194" s="12">
        <v>86</v>
      </c>
      <c r="D194" s="12">
        <v>23.1</v>
      </c>
      <c r="E194" s="12" t="s">
        <v>45</v>
      </c>
      <c r="F194" s="12" t="s">
        <v>45</v>
      </c>
      <c r="G194" s="12" t="s">
        <v>46</v>
      </c>
      <c r="H194" s="12"/>
      <c r="I194" s="12" t="s">
        <v>45</v>
      </c>
      <c r="J194" s="12" t="s">
        <v>47</v>
      </c>
      <c r="K194" s="12" t="s">
        <v>49</v>
      </c>
      <c r="L194" s="12" t="s">
        <v>49</v>
      </c>
      <c r="M194" s="11" t="s">
        <v>56</v>
      </c>
      <c r="N194" s="11" t="s">
        <v>76</v>
      </c>
      <c r="O194" s="11" t="s">
        <v>103</v>
      </c>
      <c r="P194" s="11" t="s">
        <v>51</v>
      </c>
      <c r="Q194" s="50" t="s">
        <v>210</v>
      </c>
      <c r="R194" s="65">
        <v>39</v>
      </c>
      <c r="S194" s="65">
        <v>0.53</v>
      </c>
      <c r="T194" s="65">
        <v>0.2</v>
      </c>
      <c r="U194" s="65">
        <v>39</v>
      </c>
      <c r="V194" s="65">
        <v>0.67</v>
      </c>
      <c r="W194" s="65">
        <v>0.03</v>
      </c>
      <c r="X194" s="130">
        <f t="shared" si="38"/>
        <v>0.14000000000000001</v>
      </c>
      <c r="Y194" s="16">
        <f t="shared" ref="Y194:Y243" si="41">SQRT((T194^2+W194^2-(2*0.5*T194*W194)))/SQRT(U194)</f>
        <v>2.9914407814158633E-2</v>
      </c>
      <c r="Z194" s="15">
        <f t="shared" si="35"/>
        <v>0.25</v>
      </c>
      <c r="AA194" s="16">
        <f t="shared" si="36"/>
        <v>8.9999999999999998E-4</v>
      </c>
      <c r="AB194" s="16">
        <f t="shared" si="37"/>
        <v>7.0389993118494618E-3</v>
      </c>
      <c r="AC194" s="66" t="s">
        <v>49</v>
      </c>
      <c r="AD194" s="51" t="s">
        <v>229</v>
      </c>
      <c r="AE194" s="13">
        <v>24</v>
      </c>
      <c r="AF194" s="13">
        <v>3</v>
      </c>
      <c r="AG194" s="13">
        <v>55</v>
      </c>
      <c r="AH194" s="13">
        <v>211360</v>
      </c>
      <c r="AI194" s="13">
        <v>3.5</v>
      </c>
      <c r="AJ194" s="135">
        <f t="shared" si="39"/>
        <v>192.5</v>
      </c>
      <c r="AK194" s="136">
        <f t="shared" si="40"/>
        <v>577.5</v>
      </c>
      <c r="AL194" s="136" t="str" cm="1">
        <f t="array" ref="AL194">_xlfn.IFS(
AI194&lt;3,"Ligera",
AI194&lt;=6,"Moderada",
AI194&gt;6,"Vigorosa"
)</f>
        <v>Moderada</v>
      </c>
      <c r="AM194" s="45" t="s">
        <v>48</v>
      </c>
      <c r="AN194" s="46" t="s">
        <v>60</v>
      </c>
      <c r="AO194" s="46" t="s">
        <v>61</v>
      </c>
      <c r="AP194" s="289" t="s">
        <v>128</v>
      </c>
      <c r="AQ194" s="139">
        <v>0</v>
      </c>
    </row>
    <row r="195" spans="1:43" ht="70.5" customHeight="1" thickBot="1">
      <c r="A195" s="138" t="s">
        <v>227</v>
      </c>
      <c r="B195" s="12">
        <v>73</v>
      </c>
      <c r="C195" s="12">
        <v>87.3</v>
      </c>
      <c r="D195" s="12">
        <v>38.200000000000003</v>
      </c>
      <c r="E195" s="12" t="s">
        <v>45</v>
      </c>
      <c r="F195" s="12" t="s">
        <v>45</v>
      </c>
      <c r="G195" s="12" t="s">
        <v>46</v>
      </c>
      <c r="H195" s="12"/>
      <c r="I195" s="12" t="s">
        <v>45</v>
      </c>
      <c r="J195" s="12" t="s">
        <v>47</v>
      </c>
      <c r="K195" s="12" t="s">
        <v>49</v>
      </c>
      <c r="L195" s="12" t="s">
        <v>49</v>
      </c>
      <c r="M195" s="11" t="s">
        <v>50</v>
      </c>
      <c r="N195" s="11" t="s">
        <v>50</v>
      </c>
      <c r="O195" s="11" t="s">
        <v>50</v>
      </c>
      <c r="P195" s="11" t="s">
        <v>51</v>
      </c>
      <c r="Q195" s="50" t="s">
        <v>82</v>
      </c>
      <c r="R195" s="65">
        <v>34</v>
      </c>
      <c r="S195" s="70">
        <v>195.6</v>
      </c>
      <c r="T195" s="70">
        <v>69.900000000000006</v>
      </c>
      <c r="U195" s="65">
        <v>34</v>
      </c>
      <c r="V195" s="65">
        <v>170.3</v>
      </c>
      <c r="W195" s="70">
        <v>7.5</v>
      </c>
      <c r="X195" s="130">
        <f t="shared" si="38"/>
        <v>-25.299999999999983</v>
      </c>
      <c r="Y195" s="16">
        <f t="shared" si="41"/>
        <v>11.399187277531469</v>
      </c>
      <c r="Z195" s="286" t="s">
        <v>53</v>
      </c>
      <c r="AA195" s="287" t="s">
        <v>53</v>
      </c>
      <c r="AB195" s="16">
        <v>11.399187277531469</v>
      </c>
      <c r="AC195" s="66" t="s">
        <v>49</v>
      </c>
      <c r="AD195" s="51" t="s">
        <v>230</v>
      </c>
      <c r="AE195" s="13">
        <v>24</v>
      </c>
      <c r="AF195" s="13">
        <v>0</v>
      </c>
      <c r="AG195" s="13">
        <v>0</v>
      </c>
      <c r="AH195" s="134">
        <v>0</v>
      </c>
      <c r="AI195" s="134">
        <v>0</v>
      </c>
      <c r="AJ195" s="135">
        <f t="shared" si="39"/>
        <v>0</v>
      </c>
      <c r="AK195" s="136">
        <f t="shared" si="40"/>
        <v>0</v>
      </c>
      <c r="AL195" s="136" t="str" cm="1">
        <f t="array" ref="AL195">_xlfn.IFS(
AI195&lt;3,"Ligera",
AI195&lt;=6,"Moderada",
AI195&gt;6,"Vigorosa"
)</f>
        <v>Ligera</v>
      </c>
      <c r="AM195" s="45" t="s">
        <v>49</v>
      </c>
      <c r="AN195" s="46" t="s">
        <v>49</v>
      </c>
      <c r="AO195" s="46" t="s">
        <v>49</v>
      </c>
      <c r="AP195" s="289" t="s">
        <v>49</v>
      </c>
      <c r="AQ195" s="139">
        <v>0</v>
      </c>
    </row>
    <row r="196" spans="1:43" ht="70.5" customHeight="1" thickBot="1">
      <c r="A196" s="140" t="s">
        <v>227</v>
      </c>
      <c r="B196" s="141">
        <v>73</v>
      </c>
      <c r="C196" s="141">
        <v>86</v>
      </c>
      <c r="D196" s="141">
        <v>23.1</v>
      </c>
      <c r="E196" s="141" t="s">
        <v>45</v>
      </c>
      <c r="F196" s="141" t="s">
        <v>45</v>
      </c>
      <c r="G196" s="141" t="s">
        <v>46</v>
      </c>
      <c r="H196" s="141"/>
      <c r="I196" s="141" t="s">
        <v>45</v>
      </c>
      <c r="J196" s="141" t="s">
        <v>47</v>
      </c>
      <c r="K196" s="141" t="s">
        <v>49</v>
      </c>
      <c r="L196" s="141" t="s">
        <v>49</v>
      </c>
      <c r="M196" s="142" t="s">
        <v>56</v>
      </c>
      <c r="N196" s="142" t="s">
        <v>76</v>
      </c>
      <c r="O196" s="142" t="s">
        <v>103</v>
      </c>
      <c r="P196" s="142" t="s">
        <v>51</v>
      </c>
      <c r="Q196" s="158" t="s">
        <v>82</v>
      </c>
      <c r="R196" s="144">
        <v>39</v>
      </c>
      <c r="S196" s="144">
        <v>174.9</v>
      </c>
      <c r="T196" s="144">
        <v>82.4</v>
      </c>
      <c r="U196" s="144">
        <v>39</v>
      </c>
      <c r="V196" s="144">
        <v>174.7</v>
      </c>
      <c r="W196" s="144">
        <v>7</v>
      </c>
      <c r="X196" s="130">
        <f t="shared" si="38"/>
        <v>-0.20000000000001705</v>
      </c>
      <c r="Y196" s="16">
        <f t="shared" si="41"/>
        <v>12.671348662359385</v>
      </c>
      <c r="Z196" s="15">
        <f t="shared" ref="Z196:Z244" si="42">X196-X195</f>
        <v>25.099999999999966</v>
      </c>
      <c r="AA196" s="16">
        <f t="shared" ref="AA196:AA244" si="43">((U196-1)*W196^2+(U195-1)*W195^2)/((U196-1)+(U195-1))</f>
        <v>52.369718309859152</v>
      </c>
      <c r="AB196" s="16">
        <f t="shared" ref="AB196:AB244" si="44">SQRT(AA196*((1/U196)+(1/U195)))</f>
        <v>1.6979691171041082</v>
      </c>
      <c r="AC196" s="66" t="s">
        <v>49</v>
      </c>
      <c r="AD196" s="151" t="s">
        <v>229</v>
      </c>
      <c r="AE196" s="146">
        <v>24</v>
      </c>
      <c r="AF196" s="146">
        <v>3</v>
      </c>
      <c r="AG196" s="146">
        <v>55</v>
      </c>
      <c r="AH196" s="13">
        <v>211360</v>
      </c>
      <c r="AI196" s="13">
        <v>3.5</v>
      </c>
      <c r="AJ196" s="135">
        <f t="shared" si="39"/>
        <v>192.5</v>
      </c>
      <c r="AK196" s="136">
        <f t="shared" si="40"/>
        <v>577.5</v>
      </c>
      <c r="AL196" s="136" t="str" cm="1">
        <f t="array" ref="AL196">_xlfn.IFS(
AI196&lt;3,"Ligera",
AI196&lt;=6,"Moderada",
AI196&gt;6,"Vigorosa"
)</f>
        <v>Moderada</v>
      </c>
      <c r="AM196" s="147" t="s">
        <v>48</v>
      </c>
      <c r="AN196" s="148" t="s">
        <v>60</v>
      </c>
      <c r="AO196" s="148" t="s">
        <v>61</v>
      </c>
      <c r="AP196" s="290" t="s">
        <v>128</v>
      </c>
      <c r="AQ196" s="149">
        <v>0</v>
      </c>
    </row>
    <row r="197" spans="1:43" ht="70.5" customHeight="1" thickBot="1">
      <c r="A197" s="124" t="s">
        <v>231</v>
      </c>
      <c r="B197" s="125">
        <v>40</v>
      </c>
      <c r="C197" s="125">
        <v>76</v>
      </c>
      <c r="D197" s="125">
        <v>25</v>
      </c>
      <c r="E197" s="125" t="s">
        <v>45</v>
      </c>
      <c r="F197" s="125" t="s">
        <v>45</v>
      </c>
      <c r="G197" s="125" t="s">
        <v>46</v>
      </c>
      <c r="H197" s="125"/>
      <c r="I197" s="125" t="s">
        <v>45</v>
      </c>
      <c r="J197" s="125" t="s">
        <v>47</v>
      </c>
      <c r="K197" s="125" t="s">
        <v>49</v>
      </c>
      <c r="L197" s="125" t="s">
        <v>49</v>
      </c>
      <c r="M197" s="126" t="s">
        <v>50</v>
      </c>
      <c r="N197" s="126" t="s">
        <v>50</v>
      </c>
      <c r="O197" s="126" t="s">
        <v>50</v>
      </c>
      <c r="P197" s="126" t="s">
        <v>197</v>
      </c>
      <c r="Q197" s="159" t="s">
        <v>198</v>
      </c>
      <c r="R197" s="128">
        <v>20</v>
      </c>
      <c r="S197" s="152">
        <v>33</v>
      </c>
      <c r="T197" s="152">
        <v>7</v>
      </c>
      <c r="U197" s="152">
        <v>20</v>
      </c>
      <c r="V197" s="128">
        <v>34</v>
      </c>
      <c r="W197" s="152">
        <v>7</v>
      </c>
      <c r="X197" s="130">
        <f t="shared" si="38"/>
        <v>1</v>
      </c>
      <c r="Y197" s="16">
        <f t="shared" si="41"/>
        <v>1.5652475842498528</v>
      </c>
      <c r="Z197" s="286" t="s">
        <v>53</v>
      </c>
      <c r="AA197" s="287" t="s">
        <v>53</v>
      </c>
      <c r="AB197" s="16">
        <v>1.5652475842498528</v>
      </c>
      <c r="AC197" s="66" t="s">
        <v>48</v>
      </c>
      <c r="AD197" s="133" t="s">
        <v>232</v>
      </c>
      <c r="AE197" s="134">
        <v>12</v>
      </c>
      <c r="AF197" s="134">
        <v>0</v>
      </c>
      <c r="AG197" s="134">
        <v>0</v>
      </c>
      <c r="AH197" s="134">
        <v>0</v>
      </c>
      <c r="AI197" s="134">
        <v>0</v>
      </c>
      <c r="AJ197" s="135">
        <f t="shared" si="39"/>
        <v>0</v>
      </c>
      <c r="AK197" s="136">
        <f t="shared" si="40"/>
        <v>0</v>
      </c>
      <c r="AL197" s="136" t="str" cm="1">
        <f t="array" ref="AL197">_xlfn.IFS(
AI197&lt;3,"Ligera",
AI197&lt;=6,"Moderada",
AI197&gt;6,"Vigorosa"
)</f>
        <v>Ligera</v>
      </c>
      <c r="AM197" s="136" t="s">
        <v>49</v>
      </c>
      <c r="AN197" s="135" t="s">
        <v>49</v>
      </c>
      <c r="AO197" s="135" t="s">
        <v>49</v>
      </c>
      <c r="AP197" s="288" t="s">
        <v>49</v>
      </c>
      <c r="AQ197" s="137">
        <v>0</v>
      </c>
    </row>
    <row r="198" spans="1:43" ht="70.5" customHeight="1" thickBot="1">
      <c r="A198" s="140" t="s">
        <v>231</v>
      </c>
      <c r="B198" s="141">
        <v>40</v>
      </c>
      <c r="C198" s="141">
        <v>76</v>
      </c>
      <c r="D198" s="141">
        <v>30</v>
      </c>
      <c r="E198" s="141" t="s">
        <v>45</v>
      </c>
      <c r="F198" s="141" t="s">
        <v>45</v>
      </c>
      <c r="G198" s="141" t="s">
        <v>46</v>
      </c>
      <c r="H198" s="141"/>
      <c r="I198" s="141" t="s">
        <v>45</v>
      </c>
      <c r="J198" s="141" t="s">
        <v>47</v>
      </c>
      <c r="K198" s="141" t="s">
        <v>49</v>
      </c>
      <c r="L198" s="141" t="s">
        <v>49</v>
      </c>
      <c r="M198" s="142" t="s">
        <v>56</v>
      </c>
      <c r="N198" s="142" t="s">
        <v>233</v>
      </c>
      <c r="O198" s="142" t="s">
        <v>233</v>
      </c>
      <c r="P198" s="142" t="s">
        <v>197</v>
      </c>
      <c r="Q198" s="158" t="s">
        <v>198</v>
      </c>
      <c r="R198" s="144">
        <v>20</v>
      </c>
      <c r="S198" s="162">
        <v>32</v>
      </c>
      <c r="T198" s="162">
        <v>9</v>
      </c>
      <c r="U198" s="162">
        <v>20</v>
      </c>
      <c r="V198" s="144">
        <v>26</v>
      </c>
      <c r="W198" s="162">
        <v>6</v>
      </c>
      <c r="X198" s="130">
        <f t="shared" si="38"/>
        <v>-6</v>
      </c>
      <c r="Y198" s="16">
        <f t="shared" si="41"/>
        <v>1.7748239349298849</v>
      </c>
      <c r="Z198" s="15">
        <f t="shared" si="42"/>
        <v>-7</v>
      </c>
      <c r="AA198" s="16">
        <f t="shared" si="43"/>
        <v>42.5</v>
      </c>
      <c r="AB198" s="16">
        <f t="shared" si="44"/>
        <v>2.0615528128088303</v>
      </c>
      <c r="AC198" s="66" t="s">
        <v>48</v>
      </c>
      <c r="AD198" s="151" t="s">
        <v>234</v>
      </c>
      <c r="AE198" s="146">
        <v>12</v>
      </c>
      <c r="AF198" s="146">
        <v>2</v>
      </c>
      <c r="AG198" s="146">
        <v>15</v>
      </c>
      <c r="AH198" s="134">
        <v>211360</v>
      </c>
      <c r="AI198" s="134">
        <v>3.5</v>
      </c>
      <c r="AJ198" s="135">
        <f t="shared" si="39"/>
        <v>52.5</v>
      </c>
      <c r="AK198" s="136">
        <f t="shared" si="40"/>
        <v>105</v>
      </c>
      <c r="AL198" s="136" t="str" cm="1">
        <f t="array" ref="AL198">_xlfn.IFS(
AI198&lt;3,"Ligera",
AI198&lt;=6,"Moderada",
AI198&gt;6,"Vigorosa"
)</f>
        <v>Moderada</v>
      </c>
      <c r="AM198" s="147" t="s">
        <v>48</v>
      </c>
      <c r="AN198" s="148" t="s">
        <v>60</v>
      </c>
      <c r="AO198" s="148" t="s">
        <v>61</v>
      </c>
      <c r="AP198" s="290" t="s">
        <v>128</v>
      </c>
      <c r="AQ198" s="149">
        <v>0</v>
      </c>
    </row>
    <row r="199" spans="1:43" ht="70.5" customHeight="1" thickBot="1">
      <c r="A199" s="124" t="s">
        <v>235</v>
      </c>
      <c r="B199" s="125">
        <v>221</v>
      </c>
      <c r="C199" s="125">
        <v>86</v>
      </c>
      <c r="D199" s="186">
        <v>31.8</v>
      </c>
      <c r="E199" s="125" t="s">
        <v>45</v>
      </c>
      <c r="F199" s="125" t="s">
        <v>45</v>
      </c>
      <c r="G199" s="125" t="s">
        <v>236</v>
      </c>
      <c r="H199" s="125"/>
      <c r="I199" s="125" t="s">
        <v>145</v>
      </c>
      <c r="J199" s="125" t="s">
        <v>47</v>
      </c>
      <c r="K199" s="125" t="s">
        <v>48</v>
      </c>
      <c r="L199" s="125" t="s">
        <v>48</v>
      </c>
      <c r="M199" s="126" t="s">
        <v>50</v>
      </c>
      <c r="N199" s="126" t="s">
        <v>50</v>
      </c>
      <c r="O199" s="126" t="s">
        <v>50</v>
      </c>
      <c r="P199" s="126" t="s">
        <v>51</v>
      </c>
      <c r="Q199" s="159" t="s">
        <v>91</v>
      </c>
      <c r="R199" s="128">
        <v>105</v>
      </c>
      <c r="S199" s="152">
        <v>4.3</v>
      </c>
      <c r="T199" s="152">
        <v>2.9</v>
      </c>
      <c r="U199" s="128">
        <v>93</v>
      </c>
      <c r="V199" s="128">
        <v>3.76</v>
      </c>
      <c r="W199" s="152">
        <v>2.74</v>
      </c>
      <c r="X199" s="130">
        <f t="shared" si="38"/>
        <v>-0.54</v>
      </c>
      <c r="Y199" s="16">
        <f t="shared" si="41"/>
        <v>0.2927731699323865</v>
      </c>
      <c r="Z199" s="286" t="s">
        <v>53</v>
      </c>
      <c r="AA199" s="287" t="s">
        <v>53</v>
      </c>
      <c r="AB199" s="16">
        <v>0.2927731699323865</v>
      </c>
      <c r="AC199" s="66" t="s">
        <v>49</v>
      </c>
      <c r="AD199" s="133" t="s">
        <v>206</v>
      </c>
      <c r="AE199" s="134">
        <v>25</v>
      </c>
      <c r="AF199" s="134">
        <v>0</v>
      </c>
      <c r="AG199" s="134">
        <v>0</v>
      </c>
      <c r="AH199" s="134">
        <v>0</v>
      </c>
      <c r="AI199" s="134">
        <v>0</v>
      </c>
      <c r="AJ199" s="135">
        <f t="shared" si="39"/>
        <v>0</v>
      </c>
      <c r="AK199" s="136">
        <f t="shared" si="40"/>
        <v>0</v>
      </c>
      <c r="AL199" s="136" t="str" cm="1">
        <f t="array" ref="AL199">_xlfn.IFS(
AI199&lt;3,"Ligera",
AI199&lt;=6,"Moderada",
AI199&gt;6,"Vigorosa"
)</f>
        <v>Ligera</v>
      </c>
      <c r="AM199" s="136" t="s">
        <v>49</v>
      </c>
      <c r="AN199" s="135" t="s">
        <v>49</v>
      </c>
      <c r="AO199" s="135" t="s">
        <v>49</v>
      </c>
      <c r="AP199" s="288" t="s">
        <v>49</v>
      </c>
      <c r="AQ199" s="137">
        <v>0</v>
      </c>
    </row>
    <row r="200" spans="1:43" ht="70.5" customHeight="1" thickBot="1">
      <c r="A200" s="138" t="s">
        <v>235</v>
      </c>
      <c r="B200" s="12">
        <v>221</v>
      </c>
      <c r="C200" s="12">
        <v>86</v>
      </c>
      <c r="D200" s="12">
        <v>37.200000000000003</v>
      </c>
      <c r="E200" s="12" t="s">
        <v>45</v>
      </c>
      <c r="F200" s="12" t="s">
        <v>45</v>
      </c>
      <c r="G200" s="12" t="s">
        <v>236</v>
      </c>
      <c r="H200" s="12"/>
      <c r="I200" s="12" t="s">
        <v>145</v>
      </c>
      <c r="J200" s="12" t="s">
        <v>47</v>
      </c>
      <c r="K200" s="12" t="s">
        <v>48</v>
      </c>
      <c r="L200" s="12" t="s">
        <v>48</v>
      </c>
      <c r="M200" s="11" t="s">
        <v>56</v>
      </c>
      <c r="N200" s="11" t="s">
        <v>76</v>
      </c>
      <c r="O200" s="11" t="s">
        <v>77</v>
      </c>
      <c r="P200" s="11" t="s">
        <v>51</v>
      </c>
      <c r="Q200" s="50" t="s">
        <v>91</v>
      </c>
      <c r="R200" s="65">
        <v>112</v>
      </c>
      <c r="S200" s="70">
        <v>5.16</v>
      </c>
      <c r="T200" s="70">
        <v>2.57</v>
      </c>
      <c r="U200" s="65">
        <v>100</v>
      </c>
      <c r="V200" s="65">
        <v>5.89</v>
      </c>
      <c r="W200" s="70">
        <v>2.86</v>
      </c>
      <c r="X200" s="130">
        <f t="shared" si="38"/>
        <v>0.72999999999999954</v>
      </c>
      <c r="Y200" s="16">
        <f t="shared" si="41"/>
        <v>0.27265912785014185</v>
      </c>
      <c r="Z200" s="15">
        <f t="shared" si="42"/>
        <v>1.2699999999999996</v>
      </c>
      <c r="AA200" s="16">
        <f t="shared" si="43"/>
        <v>7.855914136125655</v>
      </c>
      <c r="AB200" s="16">
        <f t="shared" si="44"/>
        <v>0.40377139122696692</v>
      </c>
      <c r="AC200" s="66" t="s">
        <v>49</v>
      </c>
      <c r="AD200" s="51" t="s">
        <v>237</v>
      </c>
      <c r="AE200" s="13">
        <v>25</v>
      </c>
      <c r="AF200" s="13">
        <v>2</v>
      </c>
      <c r="AG200" s="13">
        <v>60</v>
      </c>
      <c r="AH200" s="13" t="s">
        <v>238</v>
      </c>
      <c r="AI200" s="13">
        <v>3.9</v>
      </c>
      <c r="AJ200" s="135">
        <f t="shared" si="39"/>
        <v>234</v>
      </c>
      <c r="AK200" s="136">
        <f t="shared" si="40"/>
        <v>468</v>
      </c>
      <c r="AL200" s="136" t="str" cm="1">
        <f t="array" ref="AL200">_xlfn.IFS(
AI200&lt;3,"Ligera",
AI200&lt;=6,"Moderada",
AI200&gt;6,"Vigorosa"
)</f>
        <v>Moderada</v>
      </c>
      <c r="AM200" s="45" t="s">
        <v>48</v>
      </c>
      <c r="AN200" s="46" t="s">
        <v>60</v>
      </c>
      <c r="AO200" s="46" t="s">
        <v>61</v>
      </c>
      <c r="AP200" s="289" t="s">
        <v>155</v>
      </c>
      <c r="AQ200" s="139">
        <v>0</v>
      </c>
    </row>
    <row r="201" spans="1:43" ht="70.5" customHeight="1" thickBot="1">
      <c r="A201" s="138" t="s">
        <v>235</v>
      </c>
      <c r="B201" s="12">
        <v>221</v>
      </c>
      <c r="C201" s="12">
        <v>86</v>
      </c>
      <c r="D201" s="81">
        <v>31.8</v>
      </c>
      <c r="E201" s="12" t="s">
        <v>45</v>
      </c>
      <c r="F201" s="12" t="s">
        <v>45</v>
      </c>
      <c r="G201" s="12" t="s">
        <v>236</v>
      </c>
      <c r="H201" s="12"/>
      <c r="I201" s="12" t="s">
        <v>145</v>
      </c>
      <c r="J201" s="12" t="s">
        <v>47</v>
      </c>
      <c r="K201" s="12" t="s">
        <v>48</v>
      </c>
      <c r="L201" s="12" t="s">
        <v>48</v>
      </c>
      <c r="M201" s="11" t="s">
        <v>50</v>
      </c>
      <c r="N201" s="11" t="s">
        <v>50</v>
      </c>
      <c r="O201" s="11" t="s">
        <v>50</v>
      </c>
      <c r="P201" s="11" t="s">
        <v>197</v>
      </c>
      <c r="Q201" s="50" t="s">
        <v>198</v>
      </c>
      <c r="R201" s="65">
        <v>103</v>
      </c>
      <c r="S201" s="70">
        <v>31.28</v>
      </c>
      <c r="T201" s="70">
        <v>13.03</v>
      </c>
      <c r="U201" s="65">
        <v>85</v>
      </c>
      <c r="V201" s="65">
        <v>30.67</v>
      </c>
      <c r="W201" s="70">
        <v>10.76</v>
      </c>
      <c r="X201" s="130">
        <f t="shared" si="38"/>
        <v>-0.60999999999999943</v>
      </c>
      <c r="Y201" s="16">
        <f t="shared" si="41"/>
        <v>1.3076953233928497</v>
      </c>
      <c r="Z201" s="286" t="s">
        <v>53</v>
      </c>
      <c r="AA201" s="287" t="s">
        <v>53</v>
      </c>
      <c r="AB201" s="16">
        <v>1.3076953233928497</v>
      </c>
      <c r="AC201" s="66" t="s">
        <v>48</v>
      </c>
      <c r="AD201" s="51" t="s">
        <v>206</v>
      </c>
      <c r="AE201" s="13">
        <v>25</v>
      </c>
      <c r="AF201" s="13">
        <v>0</v>
      </c>
      <c r="AG201" s="13">
        <v>0</v>
      </c>
      <c r="AH201" s="134">
        <v>0</v>
      </c>
      <c r="AI201" s="134">
        <v>0</v>
      </c>
      <c r="AJ201" s="135">
        <f t="shared" si="39"/>
        <v>0</v>
      </c>
      <c r="AK201" s="136">
        <f t="shared" si="40"/>
        <v>0</v>
      </c>
      <c r="AL201" s="136" t="str" cm="1">
        <f t="array" ref="AL201">_xlfn.IFS(
AI201&lt;3,"Ligera",
AI201&lt;=6,"Moderada",
AI201&gt;6,"Vigorosa"
)</f>
        <v>Ligera</v>
      </c>
      <c r="AM201" s="45" t="s">
        <v>49</v>
      </c>
      <c r="AN201" s="46" t="s">
        <v>49</v>
      </c>
      <c r="AO201" s="46" t="s">
        <v>49</v>
      </c>
      <c r="AP201" s="289" t="s">
        <v>49</v>
      </c>
      <c r="AQ201" s="139">
        <v>0</v>
      </c>
    </row>
    <row r="202" spans="1:43" ht="70.5" customHeight="1" thickBot="1">
      <c r="A202" s="138" t="s">
        <v>235</v>
      </c>
      <c r="B202" s="12">
        <v>221</v>
      </c>
      <c r="C202" s="12">
        <v>86</v>
      </c>
      <c r="D202" s="12">
        <v>37.200000000000003</v>
      </c>
      <c r="E202" s="12" t="s">
        <v>45</v>
      </c>
      <c r="F202" s="12" t="s">
        <v>45</v>
      </c>
      <c r="G202" s="12" t="s">
        <v>236</v>
      </c>
      <c r="H202" s="12"/>
      <c r="I202" s="12" t="s">
        <v>145</v>
      </c>
      <c r="J202" s="12" t="s">
        <v>47</v>
      </c>
      <c r="K202" s="12" t="s">
        <v>48</v>
      </c>
      <c r="L202" s="12" t="s">
        <v>48</v>
      </c>
      <c r="M202" s="11" t="s">
        <v>56</v>
      </c>
      <c r="N202" s="11" t="s">
        <v>76</v>
      </c>
      <c r="O202" s="11" t="s">
        <v>77</v>
      </c>
      <c r="P202" s="11" t="s">
        <v>197</v>
      </c>
      <c r="Q202" s="50" t="s">
        <v>198</v>
      </c>
      <c r="R202" s="65">
        <v>112</v>
      </c>
      <c r="S202" s="70">
        <v>27.75</v>
      </c>
      <c r="T202" s="70">
        <v>10.08</v>
      </c>
      <c r="U202" s="65">
        <v>97</v>
      </c>
      <c r="V202" s="65">
        <v>27.09</v>
      </c>
      <c r="W202" s="70">
        <v>8.65</v>
      </c>
      <c r="X202" s="130">
        <f t="shared" si="38"/>
        <v>-0.66000000000000014</v>
      </c>
      <c r="Y202" s="16">
        <f t="shared" si="41"/>
        <v>0.95914964486106835</v>
      </c>
      <c r="Z202" s="15">
        <f t="shared" si="42"/>
        <v>-5.0000000000000711E-2</v>
      </c>
      <c r="AA202" s="16">
        <f t="shared" si="43"/>
        <v>93.934880000000021</v>
      </c>
      <c r="AB202" s="16">
        <f t="shared" si="44"/>
        <v>1.4399712011135453</v>
      </c>
      <c r="AC202" s="66" t="s">
        <v>48</v>
      </c>
      <c r="AD202" s="51" t="s">
        <v>237</v>
      </c>
      <c r="AE202" s="13">
        <v>25</v>
      </c>
      <c r="AF202" s="13">
        <v>2</v>
      </c>
      <c r="AG202" s="13">
        <v>60</v>
      </c>
      <c r="AH202" s="13" t="s">
        <v>238</v>
      </c>
      <c r="AI202" s="13">
        <v>3.9</v>
      </c>
      <c r="AJ202" s="135">
        <f t="shared" ref="AJ202" si="45">AI202*AG202</f>
        <v>234</v>
      </c>
      <c r="AK202" s="136">
        <f t="shared" si="40"/>
        <v>468</v>
      </c>
      <c r="AL202" s="136" t="str" cm="1">
        <f t="array" ref="AL202">_xlfn.IFS(
AI202&lt;3,"Ligera",
AI202&lt;=6,"Moderada",
AI202&gt;6,"Vigorosa"
)</f>
        <v>Moderada</v>
      </c>
      <c r="AM202" s="45" t="s">
        <v>48</v>
      </c>
      <c r="AN202" s="46" t="s">
        <v>60</v>
      </c>
      <c r="AO202" s="46" t="s">
        <v>61</v>
      </c>
      <c r="AP202" s="289" t="s">
        <v>155</v>
      </c>
      <c r="AQ202" s="139">
        <v>0</v>
      </c>
    </row>
    <row r="203" spans="1:43" ht="70.5" customHeight="1" thickBot="1">
      <c r="A203" s="138" t="s">
        <v>235</v>
      </c>
      <c r="B203" s="12">
        <v>221</v>
      </c>
      <c r="C203" s="12">
        <v>86</v>
      </c>
      <c r="D203" s="81">
        <v>31.8</v>
      </c>
      <c r="E203" s="12" t="s">
        <v>45</v>
      </c>
      <c r="F203" s="12" t="s">
        <v>45</v>
      </c>
      <c r="G203" s="12" t="s">
        <v>236</v>
      </c>
      <c r="H203" s="12"/>
      <c r="I203" s="12" t="s">
        <v>145</v>
      </c>
      <c r="J203" s="12" t="s">
        <v>47</v>
      </c>
      <c r="K203" s="12" t="s">
        <v>48</v>
      </c>
      <c r="L203" s="12" t="s">
        <v>48</v>
      </c>
      <c r="M203" s="11" t="s">
        <v>50</v>
      </c>
      <c r="N203" s="11" t="s">
        <v>50</v>
      </c>
      <c r="O203" s="11" t="s">
        <v>50</v>
      </c>
      <c r="P203" s="11" t="s">
        <v>94</v>
      </c>
      <c r="Q203" s="50" t="s">
        <v>239</v>
      </c>
      <c r="R203" s="65">
        <v>95</v>
      </c>
      <c r="S203" s="70">
        <v>72.11</v>
      </c>
      <c r="T203" s="70">
        <v>15.36</v>
      </c>
      <c r="U203" s="65">
        <v>77</v>
      </c>
      <c r="V203" s="65">
        <v>74.61</v>
      </c>
      <c r="W203" s="70">
        <v>15.69</v>
      </c>
      <c r="X203" s="130">
        <f t="shared" si="38"/>
        <v>2.5</v>
      </c>
      <c r="Y203" s="16">
        <f t="shared" si="41"/>
        <v>1.7695376900093525</v>
      </c>
      <c r="Z203" s="286" t="s">
        <v>53</v>
      </c>
      <c r="AA203" s="287" t="s">
        <v>53</v>
      </c>
      <c r="AB203" s="16">
        <v>1.7695376900093525</v>
      </c>
      <c r="AC203" s="66" t="s">
        <v>49</v>
      </c>
      <c r="AD203" s="51" t="s">
        <v>206</v>
      </c>
      <c r="AE203" s="13">
        <v>25</v>
      </c>
      <c r="AF203" s="13">
        <v>0</v>
      </c>
      <c r="AG203" s="13">
        <v>0</v>
      </c>
      <c r="AH203" s="134">
        <v>0</v>
      </c>
      <c r="AI203" s="134">
        <v>0</v>
      </c>
      <c r="AJ203" s="135">
        <f t="shared" si="39"/>
        <v>0</v>
      </c>
      <c r="AK203" s="136">
        <f t="shared" si="40"/>
        <v>0</v>
      </c>
      <c r="AL203" s="136" t="str" cm="1">
        <f t="array" ref="AL203">_xlfn.IFS(
AI203&lt;3,"Ligera",
AI203&lt;=6,"Moderada",
AI203&gt;6,"Vigorosa"
)</f>
        <v>Ligera</v>
      </c>
      <c r="AM203" s="45" t="s">
        <v>49</v>
      </c>
      <c r="AN203" s="46" t="s">
        <v>49</v>
      </c>
      <c r="AO203" s="46" t="s">
        <v>49</v>
      </c>
      <c r="AP203" s="289" t="s">
        <v>49</v>
      </c>
      <c r="AQ203" s="139">
        <v>0</v>
      </c>
    </row>
    <row r="204" spans="1:43" ht="70.5" customHeight="1" thickBot="1">
      <c r="A204" s="138" t="s">
        <v>235</v>
      </c>
      <c r="B204" s="12">
        <v>221</v>
      </c>
      <c r="C204" s="12">
        <v>86</v>
      </c>
      <c r="D204" s="12">
        <v>37.200000000000003</v>
      </c>
      <c r="E204" s="12" t="s">
        <v>45</v>
      </c>
      <c r="F204" s="12" t="s">
        <v>45</v>
      </c>
      <c r="G204" s="12" t="s">
        <v>236</v>
      </c>
      <c r="H204" s="12"/>
      <c r="I204" s="12" t="s">
        <v>145</v>
      </c>
      <c r="J204" s="12" t="s">
        <v>47</v>
      </c>
      <c r="K204" s="12" t="s">
        <v>48</v>
      </c>
      <c r="L204" s="12" t="s">
        <v>48</v>
      </c>
      <c r="M204" s="11" t="s">
        <v>56</v>
      </c>
      <c r="N204" s="11" t="s">
        <v>76</v>
      </c>
      <c r="O204" s="11" t="s">
        <v>77</v>
      </c>
      <c r="P204" s="11" t="s">
        <v>94</v>
      </c>
      <c r="Q204" s="50" t="s">
        <v>239</v>
      </c>
      <c r="R204" s="65">
        <v>100</v>
      </c>
      <c r="S204" s="70">
        <v>71.45</v>
      </c>
      <c r="T204" s="70">
        <v>14.46</v>
      </c>
      <c r="U204" s="65">
        <v>83</v>
      </c>
      <c r="V204" s="65">
        <v>73.34</v>
      </c>
      <c r="W204" s="70">
        <v>15.54</v>
      </c>
      <c r="X204" s="130">
        <f t="shared" si="38"/>
        <v>1.8900000000000006</v>
      </c>
      <c r="Y204" s="16">
        <f t="shared" si="41"/>
        <v>1.6496615205944887</v>
      </c>
      <c r="Z204" s="15">
        <f t="shared" si="42"/>
        <v>-0.60999999999999943</v>
      </c>
      <c r="AA204" s="16">
        <f t="shared" si="43"/>
        <v>243.74490379746834</v>
      </c>
      <c r="AB204" s="16">
        <f t="shared" si="44"/>
        <v>2.4702639168836309</v>
      </c>
      <c r="AC204" s="66" t="s">
        <v>49</v>
      </c>
      <c r="AD204" s="51" t="s">
        <v>237</v>
      </c>
      <c r="AE204" s="13">
        <v>25</v>
      </c>
      <c r="AF204" s="13">
        <v>2</v>
      </c>
      <c r="AG204" s="13">
        <v>60</v>
      </c>
      <c r="AH204" s="13" t="s">
        <v>238</v>
      </c>
      <c r="AI204" s="13">
        <v>3.9</v>
      </c>
      <c r="AJ204" s="135">
        <f t="shared" ref="AJ204" si="46">AI204*AG204</f>
        <v>234</v>
      </c>
      <c r="AK204" s="136">
        <f t="shared" si="40"/>
        <v>468</v>
      </c>
      <c r="AL204" s="136" t="str" cm="1">
        <f t="array" ref="AL204">_xlfn.IFS(
AI204&lt;3,"Ligera",
AI204&lt;=6,"Moderada",
AI204&gt;6,"Vigorosa"
)</f>
        <v>Moderada</v>
      </c>
      <c r="AM204" s="45" t="s">
        <v>48</v>
      </c>
      <c r="AN204" s="46" t="s">
        <v>60</v>
      </c>
      <c r="AO204" s="46" t="s">
        <v>61</v>
      </c>
      <c r="AP204" s="289" t="s">
        <v>155</v>
      </c>
      <c r="AQ204" s="139">
        <v>0</v>
      </c>
    </row>
    <row r="205" spans="1:43" ht="70.5" customHeight="1" thickBot="1">
      <c r="A205" s="124" t="s">
        <v>243</v>
      </c>
      <c r="B205" s="125">
        <v>30</v>
      </c>
      <c r="C205" s="125">
        <v>80.599999999999994</v>
      </c>
      <c r="D205" s="186">
        <v>14.29</v>
      </c>
      <c r="E205" s="125" t="s">
        <v>45</v>
      </c>
      <c r="F205" s="125" t="s">
        <v>45</v>
      </c>
      <c r="G205" s="125" t="s">
        <v>244</v>
      </c>
      <c r="H205" s="125"/>
      <c r="I205" s="125" t="s">
        <v>145</v>
      </c>
      <c r="J205" s="125" t="s">
        <v>47</v>
      </c>
      <c r="K205" s="125" t="s">
        <v>49</v>
      </c>
      <c r="L205" s="125" t="s">
        <v>49</v>
      </c>
      <c r="M205" s="126" t="s">
        <v>50</v>
      </c>
      <c r="N205" s="126" t="s">
        <v>50</v>
      </c>
      <c r="O205" s="126" t="s">
        <v>50</v>
      </c>
      <c r="P205" s="126" t="s">
        <v>51</v>
      </c>
      <c r="Q205" s="159" t="s">
        <v>245</v>
      </c>
      <c r="R205" s="128">
        <v>7</v>
      </c>
      <c r="S205" s="152">
        <v>54.9</v>
      </c>
      <c r="T205" s="152">
        <v>32.9</v>
      </c>
      <c r="U205" s="128">
        <v>7</v>
      </c>
      <c r="V205" s="128">
        <v>47.8</v>
      </c>
      <c r="W205" s="152">
        <v>32.5</v>
      </c>
      <c r="X205" s="130">
        <f t="shared" si="38"/>
        <v>-7.1000000000000014</v>
      </c>
      <c r="Y205" s="16">
        <f t="shared" si="41"/>
        <v>12.360131760740138</v>
      </c>
      <c r="Z205" s="286" t="s">
        <v>53</v>
      </c>
      <c r="AA205" s="287" t="s">
        <v>53</v>
      </c>
      <c r="AB205" s="16">
        <v>12.360131760740138</v>
      </c>
      <c r="AC205" s="66" t="s">
        <v>49</v>
      </c>
      <c r="AD205" s="133" t="s">
        <v>246</v>
      </c>
      <c r="AE205" s="134">
        <v>10</v>
      </c>
      <c r="AF205" s="134">
        <v>0</v>
      </c>
      <c r="AG205" s="134">
        <v>0</v>
      </c>
      <c r="AH205" s="134">
        <v>0</v>
      </c>
      <c r="AI205" s="134">
        <v>0</v>
      </c>
      <c r="AJ205" s="135">
        <f t="shared" si="39"/>
        <v>0</v>
      </c>
      <c r="AK205" s="136">
        <f t="shared" si="40"/>
        <v>0</v>
      </c>
      <c r="AL205" s="136" t="str" cm="1">
        <f t="array" ref="AL205">_xlfn.IFS(
AI205&lt;3,"Ligera",
AI205&lt;=6,"Moderada",
AI205&gt;6,"Vigorosa"
)</f>
        <v>Ligera</v>
      </c>
      <c r="AM205" s="136" t="s">
        <v>49</v>
      </c>
      <c r="AN205" s="135" t="s">
        <v>49</v>
      </c>
      <c r="AO205" s="135" t="s">
        <v>49</v>
      </c>
      <c r="AP205" s="288" t="s">
        <v>49</v>
      </c>
      <c r="AQ205" s="137">
        <v>0</v>
      </c>
    </row>
    <row r="206" spans="1:43" ht="70.5" customHeight="1" thickBot="1">
      <c r="A206" s="138" t="s">
        <v>243</v>
      </c>
      <c r="B206" s="12">
        <v>30</v>
      </c>
      <c r="C206" s="12">
        <v>84.9</v>
      </c>
      <c r="D206" s="12">
        <v>27.78</v>
      </c>
      <c r="E206" s="12" t="s">
        <v>45</v>
      </c>
      <c r="F206" s="12" t="s">
        <v>45</v>
      </c>
      <c r="G206" s="12" t="s">
        <v>244</v>
      </c>
      <c r="H206" s="12"/>
      <c r="I206" s="12" t="s">
        <v>145</v>
      </c>
      <c r="J206" s="12" t="s">
        <v>47</v>
      </c>
      <c r="K206" s="12" t="s">
        <v>49</v>
      </c>
      <c r="L206" s="12" t="s">
        <v>49</v>
      </c>
      <c r="M206" s="11" t="s">
        <v>56</v>
      </c>
      <c r="N206" s="11" t="s">
        <v>57</v>
      </c>
      <c r="O206" s="11" t="s">
        <v>126</v>
      </c>
      <c r="P206" s="11" t="s">
        <v>51</v>
      </c>
      <c r="Q206" s="50" t="s">
        <v>245</v>
      </c>
      <c r="R206" s="65">
        <v>18</v>
      </c>
      <c r="S206" s="70">
        <v>44.9</v>
      </c>
      <c r="T206" s="70">
        <v>22</v>
      </c>
      <c r="U206" s="65">
        <v>18</v>
      </c>
      <c r="V206" s="65">
        <v>57.5</v>
      </c>
      <c r="W206" s="70">
        <v>24</v>
      </c>
      <c r="X206" s="130">
        <f t="shared" si="38"/>
        <v>12.600000000000001</v>
      </c>
      <c r="Y206" s="16">
        <f t="shared" si="41"/>
        <v>5.4365021434333647</v>
      </c>
      <c r="Z206" s="15">
        <f t="shared" si="42"/>
        <v>19.700000000000003</v>
      </c>
      <c r="AA206" s="16">
        <f t="shared" si="43"/>
        <v>701.28260869565213</v>
      </c>
      <c r="AB206" s="16">
        <f t="shared" si="44"/>
        <v>11.7959049988206</v>
      </c>
      <c r="AC206" s="66" t="s">
        <v>49</v>
      </c>
      <c r="AD206" s="51" t="s">
        <v>247</v>
      </c>
      <c r="AE206" s="13">
        <v>10</v>
      </c>
      <c r="AF206" s="13">
        <v>3</v>
      </c>
      <c r="AG206" s="13">
        <v>50</v>
      </c>
      <c r="AH206" s="13">
        <v>205160</v>
      </c>
      <c r="AI206" s="13">
        <v>3</v>
      </c>
      <c r="AJ206" s="135">
        <f t="shared" si="39"/>
        <v>150</v>
      </c>
      <c r="AK206" s="136">
        <f t="shared" si="40"/>
        <v>450</v>
      </c>
      <c r="AL206" s="136" t="str" cm="1">
        <f t="array" ref="AL206">_xlfn.IFS(
AI206&lt;3,"Ligera",
AI206&lt;=6,"Moderada",
AI206&gt;6,"Vigorosa"
)</f>
        <v>Moderada</v>
      </c>
      <c r="AM206" s="45" t="s">
        <v>48</v>
      </c>
      <c r="AN206" s="46" t="s">
        <v>60</v>
      </c>
      <c r="AO206" s="46" t="s">
        <v>61</v>
      </c>
      <c r="AP206" s="289" t="s">
        <v>62</v>
      </c>
      <c r="AQ206" s="139">
        <v>0</v>
      </c>
    </row>
    <row r="207" spans="1:43" ht="70.5" customHeight="1" thickBot="1">
      <c r="A207" s="138" t="s">
        <v>243</v>
      </c>
      <c r="B207" s="12">
        <v>30</v>
      </c>
      <c r="C207" s="12">
        <v>80.599999999999994</v>
      </c>
      <c r="D207" s="81">
        <v>14.29</v>
      </c>
      <c r="E207" s="12" t="s">
        <v>45</v>
      </c>
      <c r="F207" s="12" t="s">
        <v>45</v>
      </c>
      <c r="G207" s="12" t="s">
        <v>244</v>
      </c>
      <c r="H207" s="12"/>
      <c r="I207" s="12" t="s">
        <v>145</v>
      </c>
      <c r="J207" s="12" t="s">
        <v>47</v>
      </c>
      <c r="K207" s="12" t="s">
        <v>49</v>
      </c>
      <c r="L207" s="12" t="s">
        <v>49</v>
      </c>
      <c r="M207" s="11" t="s">
        <v>50</v>
      </c>
      <c r="N207" s="11" t="s">
        <v>50</v>
      </c>
      <c r="O207" s="11" t="s">
        <v>50</v>
      </c>
      <c r="P207" s="11" t="s">
        <v>51</v>
      </c>
      <c r="Q207" s="50" t="s">
        <v>248</v>
      </c>
      <c r="R207" s="65">
        <v>7</v>
      </c>
      <c r="S207" s="70">
        <v>48.6</v>
      </c>
      <c r="T207" s="70">
        <v>17.2</v>
      </c>
      <c r="U207" s="65">
        <v>7</v>
      </c>
      <c r="V207" s="65">
        <v>45.3</v>
      </c>
      <c r="W207" s="65">
        <v>14.6</v>
      </c>
      <c r="X207" s="130">
        <f t="shared" si="38"/>
        <v>-3.3000000000000043</v>
      </c>
      <c r="Y207" s="16">
        <f t="shared" si="41"/>
        <v>6.0695963621974069</v>
      </c>
      <c r="Z207" s="286" t="s">
        <v>53</v>
      </c>
      <c r="AA207" s="287" t="s">
        <v>53</v>
      </c>
      <c r="AB207" s="16">
        <v>6.0695963621974069</v>
      </c>
      <c r="AC207" s="66" t="s">
        <v>49</v>
      </c>
      <c r="AD207" s="51" t="s">
        <v>246</v>
      </c>
      <c r="AE207" s="13">
        <v>10</v>
      </c>
      <c r="AF207" s="13">
        <v>0</v>
      </c>
      <c r="AG207" s="13">
        <v>0</v>
      </c>
      <c r="AH207" s="134">
        <v>0</v>
      </c>
      <c r="AI207" s="134">
        <v>0</v>
      </c>
      <c r="AJ207" s="135">
        <f t="shared" si="39"/>
        <v>0</v>
      </c>
      <c r="AK207" s="136">
        <f t="shared" si="40"/>
        <v>0</v>
      </c>
      <c r="AL207" s="136" t="str" cm="1">
        <f t="array" ref="AL207">_xlfn.IFS(
AI207&lt;3,"Ligera",
AI207&lt;=6,"Moderada",
AI207&gt;6,"Vigorosa"
)</f>
        <v>Ligera</v>
      </c>
      <c r="AM207" s="45" t="s">
        <v>49</v>
      </c>
      <c r="AN207" s="46" t="s">
        <v>49</v>
      </c>
      <c r="AO207" s="46" t="s">
        <v>49</v>
      </c>
      <c r="AP207" s="289" t="s">
        <v>49</v>
      </c>
      <c r="AQ207" s="139">
        <v>0</v>
      </c>
    </row>
    <row r="208" spans="1:43" ht="70.5" customHeight="1" thickBot="1">
      <c r="A208" s="138" t="s">
        <v>243</v>
      </c>
      <c r="B208" s="12">
        <v>30</v>
      </c>
      <c r="C208" s="12">
        <v>84.9</v>
      </c>
      <c r="D208" s="12">
        <v>27.78</v>
      </c>
      <c r="E208" s="12" t="s">
        <v>45</v>
      </c>
      <c r="F208" s="12" t="s">
        <v>45</v>
      </c>
      <c r="G208" s="12" t="s">
        <v>244</v>
      </c>
      <c r="H208" s="12"/>
      <c r="I208" s="12" t="s">
        <v>145</v>
      </c>
      <c r="J208" s="12" t="s">
        <v>47</v>
      </c>
      <c r="K208" s="12" t="s">
        <v>49</v>
      </c>
      <c r="L208" s="12" t="s">
        <v>49</v>
      </c>
      <c r="M208" s="11" t="s">
        <v>56</v>
      </c>
      <c r="N208" s="11" t="s">
        <v>57</v>
      </c>
      <c r="O208" s="11" t="s">
        <v>126</v>
      </c>
      <c r="P208" s="11" t="s">
        <v>51</v>
      </c>
      <c r="Q208" s="50" t="s">
        <v>248</v>
      </c>
      <c r="R208" s="65">
        <v>18</v>
      </c>
      <c r="S208" s="70">
        <v>34.4</v>
      </c>
      <c r="T208" s="70">
        <v>20.6</v>
      </c>
      <c r="U208" s="65">
        <v>18</v>
      </c>
      <c r="V208" s="65">
        <v>46.3</v>
      </c>
      <c r="W208" s="70">
        <v>23.2</v>
      </c>
      <c r="X208" s="130">
        <f t="shared" si="38"/>
        <v>11.899999999999999</v>
      </c>
      <c r="Y208" s="16">
        <f t="shared" si="41"/>
        <v>5.1890911214457081</v>
      </c>
      <c r="Z208" s="15">
        <f t="shared" si="42"/>
        <v>15.200000000000003</v>
      </c>
      <c r="AA208" s="16">
        <f t="shared" si="43"/>
        <v>453.43652173913046</v>
      </c>
      <c r="AB208" s="16">
        <f t="shared" si="44"/>
        <v>9.4851232905602778</v>
      </c>
      <c r="AC208" s="66" t="s">
        <v>49</v>
      </c>
      <c r="AD208" s="51" t="s">
        <v>247</v>
      </c>
      <c r="AE208" s="13">
        <v>10</v>
      </c>
      <c r="AF208" s="13">
        <v>3</v>
      </c>
      <c r="AG208" s="13">
        <v>50</v>
      </c>
      <c r="AH208" s="13">
        <v>205160</v>
      </c>
      <c r="AI208" s="13">
        <v>3</v>
      </c>
      <c r="AJ208" s="135">
        <f t="shared" si="39"/>
        <v>150</v>
      </c>
      <c r="AK208" s="136">
        <f t="shared" si="40"/>
        <v>450</v>
      </c>
      <c r="AL208" s="136" t="str" cm="1">
        <f t="array" ref="AL208">_xlfn.IFS(
AI208&lt;3,"Ligera",
AI208&lt;=6,"Moderada",
AI208&gt;6,"Vigorosa"
)</f>
        <v>Moderada</v>
      </c>
      <c r="AM208" s="45" t="s">
        <v>48</v>
      </c>
      <c r="AN208" s="46" t="s">
        <v>60</v>
      </c>
      <c r="AO208" s="46" t="s">
        <v>61</v>
      </c>
      <c r="AP208" s="289" t="s">
        <v>62</v>
      </c>
      <c r="AQ208" s="139">
        <v>0</v>
      </c>
    </row>
    <row r="209" spans="1:45" ht="70.5" customHeight="1" thickBot="1">
      <c r="A209" s="138" t="s">
        <v>243</v>
      </c>
      <c r="B209" s="12">
        <v>30</v>
      </c>
      <c r="C209" s="12">
        <v>80.599999999999994</v>
      </c>
      <c r="D209" s="81">
        <v>14.29</v>
      </c>
      <c r="E209" s="12" t="s">
        <v>45</v>
      </c>
      <c r="F209" s="12" t="s">
        <v>45</v>
      </c>
      <c r="G209" s="12" t="s">
        <v>244</v>
      </c>
      <c r="H209" s="12"/>
      <c r="I209" s="12" t="s">
        <v>145</v>
      </c>
      <c r="J209" s="12" t="s">
        <v>47</v>
      </c>
      <c r="K209" s="12" t="s">
        <v>49</v>
      </c>
      <c r="L209" s="12" t="s">
        <v>49</v>
      </c>
      <c r="M209" s="11" t="s">
        <v>50</v>
      </c>
      <c r="N209" s="11" t="s">
        <v>50</v>
      </c>
      <c r="O209" s="11" t="s">
        <v>50</v>
      </c>
      <c r="P209" s="11" t="s">
        <v>51</v>
      </c>
      <c r="Q209" s="50" t="s">
        <v>52</v>
      </c>
      <c r="R209" s="65">
        <v>7</v>
      </c>
      <c r="S209" s="70">
        <v>15.5</v>
      </c>
      <c r="T209" s="70">
        <v>17.3</v>
      </c>
      <c r="U209" s="65">
        <v>7</v>
      </c>
      <c r="V209" s="65">
        <v>16.3</v>
      </c>
      <c r="W209" s="70">
        <v>18.899999999999999</v>
      </c>
      <c r="X209" s="130">
        <f t="shared" si="38"/>
        <v>0.80000000000000071</v>
      </c>
      <c r="Y209" s="16">
        <f t="shared" si="41"/>
        <v>6.8611744100929464</v>
      </c>
      <c r="Z209" s="286" t="s">
        <v>53</v>
      </c>
      <c r="AA209" s="287" t="s">
        <v>53</v>
      </c>
      <c r="AB209" s="16">
        <v>6.8611744100929464</v>
      </c>
      <c r="AC209" s="66" t="s">
        <v>48</v>
      </c>
      <c r="AD209" s="51" t="s">
        <v>246</v>
      </c>
      <c r="AE209" s="13">
        <v>10</v>
      </c>
      <c r="AF209" s="13">
        <v>0</v>
      </c>
      <c r="AG209" s="13">
        <v>0</v>
      </c>
      <c r="AH209" s="134">
        <v>0</v>
      </c>
      <c r="AI209" s="134">
        <v>0</v>
      </c>
      <c r="AJ209" s="135">
        <f t="shared" si="39"/>
        <v>0</v>
      </c>
      <c r="AK209" s="136">
        <f t="shared" si="40"/>
        <v>0</v>
      </c>
      <c r="AL209" s="136" t="str" cm="1">
        <f t="array" ref="AL209">_xlfn.IFS(
AI209&lt;3,"Ligera",
AI209&lt;=6,"Moderada",
AI209&gt;6,"Vigorosa"
)</f>
        <v>Ligera</v>
      </c>
      <c r="AM209" s="45" t="s">
        <v>49</v>
      </c>
      <c r="AN209" s="46" t="s">
        <v>49</v>
      </c>
      <c r="AO209" s="46" t="s">
        <v>49</v>
      </c>
      <c r="AP209" s="289" t="s">
        <v>49</v>
      </c>
      <c r="AQ209" s="139">
        <v>0</v>
      </c>
    </row>
    <row r="210" spans="1:45" ht="70.5" customHeight="1" thickBot="1">
      <c r="A210" s="138" t="s">
        <v>243</v>
      </c>
      <c r="B210" s="12">
        <v>30</v>
      </c>
      <c r="C210" s="12">
        <v>84.9</v>
      </c>
      <c r="D210" s="12">
        <v>27.78</v>
      </c>
      <c r="E210" s="12" t="s">
        <v>45</v>
      </c>
      <c r="F210" s="12" t="s">
        <v>45</v>
      </c>
      <c r="G210" s="12" t="s">
        <v>244</v>
      </c>
      <c r="H210" s="12"/>
      <c r="I210" s="12" t="s">
        <v>145</v>
      </c>
      <c r="J210" s="12" t="s">
        <v>47</v>
      </c>
      <c r="K210" s="12" t="s">
        <v>49</v>
      </c>
      <c r="L210" s="12" t="s">
        <v>49</v>
      </c>
      <c r="M210" s="11" t="s">
        <v>56</v>
      </c>
      <c r="N210" s="11" t="s">
        <v>57</v>
      </c>
      <c r="O210" s="11" t="s">
        <v>126</v>
      </c>
      <c r="P210" s="11" t="s">
        <v>51</v>
      </c>
      <c r="Q210" s="50" t="s">
        <v>52</v>
      </c>
      <c r="R210" s="65">
        <v>18</v>
      </c>
      <c r="S210" s="70">
        <v>20.7</v>
      </c>
      <c r="T210" s="70">
        <v>7.1</v>
      </c>
      <c r="U210" s="65">
        <v>18</v>
      </c>
      <c r="V210" s="65">
        <v>14.4</v>
      </c>
      <c r="W210" s="70">
        <v>6.5</v>
      </c>
      <c r="X210" s="130">
        <f t="shared" si="38"/>
        <v>-6.2999999999999989</v>
      </c>
      <c r="Y210" s="16">
        <f t="shared" si="41"/>
        <v>1.6074479428239314</v>
      </c>
      <c r="Z210" s="15">
        <f t="shared" si="42"/>
        <v>-7.1</v>
      </c>
      <c r="AA210" s="16">
        <f t="shared" si="43"/>
        <v>124.41347826086954</v>
      </c>
      <c r="AB210" s="16">
        <f t="shared" si="44"/>
        <v>4.9684216750039161</v>
      </c>
      <c r="AC210" s="66" t="s">
        <v>48</v>
      </c>
      <c r="AD210" s="51" t="s">
        <v>247</v>
      </c>
      <c r="AE210" s="13">
        <v>10</v>
      </c>
      <c r="AF210" s="13">
        <v>3</v>
      </c>
      <c r="AG210" s="13">
        <v>50</v>
      </c>
      <c r="AH210" s="13">
        <v>205160</v>
      </c>
      <c r="AI210" s="13">
        <v>3</v>
      </c>
      <c r="AJ210" s="135">
        <f t="shared" si="39"/>
        <v>150</v>
      </c>
      <c r="AK210" s="136">
        <f t="shared" si="40"/>
        <v>450</v>
      </c>
      <c r="AL210" s="136" t="str" cm="1">
        <f t="array" ref="AL210">_xlfn.IFS(
AI210&lt;3,"Ligera",
AI210&lt;=6,"Moderada",
AI210&gt;6,"Vigorosa"
)</f>
        <v>Moderada</v>
      </c>
      <c r="AM210" s="45" t="s">
        <v>48</v>
      </c>
      <c r="AN210" s="46" t="s">
        <v>60</v>
      </c>
      <c r="AO210" s="46" t="s">
        <v>61</v>
      </c>
      <c r="AP210" s="289" t="s">
        <v>62</v>
      </c>
      <c r="AQ210" s="139">
        <v>0</v>
      </c>
    </row>
    <row r="211" spans="1:45" ht="70.5" customHeight="1" thickBot="1">
      <c r="A211" s="138" t="s">
        <v>243</v>
      </c>
      <c r="B211" s="12">
        <v>30</v>
      </c>
      <c r="C211" s="12">
        <v>80.599999999999994</v>
      </c>
      <c r="D211" s="81">
        <v>14.29</v>
      </c>
      <c r="E211" s="12" t="s">
        <v>45</v>
      </c>
      <c r="F211" s="12" t="s">
        <v>45</v>
      </c>
      <c r="G211" s="12" t="s">
        <v>244</v>
      </c>
      <c r="H211" s="12"/>
      <c r="I211" s="12" t="s">
        <v>145</v>
      </c>
      <c r="J211" s="12" t="s">
        <v>47</v>
      </c>
      <c r="K211" s="12" t="s">
        <v>49</v>
      </c>
      <c r="L211" s="12" t="s">
        <v>49</v>
      </c>
      <c r="M211" s="11" t="s">
        <v>50</v>
      </c>
      <c r="N211" s="11" t="s">
        <v>50</v>
      </c>
      <c r="O211" s="11" t="s">
        <v>50</v>
      </c>
      <c r="P211" s="11" t="s">
        <v>51</v>
      </c>
      <c r="Q211" s="50" t="s">
        <v>64</v>
      </c>
      <c r="R211" s="65">
        <v>7</v>
      </c>
      <c r="S211" s="70">
        <v>10.8</v>
      </c>
      <c r="T211" s="70">
        <v>3.1</v>
      </c>
      <c r="U211" s="65">
        <v>7</v>
      </c>
      <c r="V211" s="65">
        <v>10.5</v>
      </c>
      <c r="W211" s="70">
        <v>2.2999999999999998</v>
      </c>
      <c r="X211" s="130">
        <f t="shared" si="38"/>
        <v>-0.30000000000000071</v>
      </c>
      <c r="Y211" s="16">
        <f t="shared" si="41"/>
        <v>1.0535653752852738</v>
      </c>
      <c r="Z211" s="286" t="s">
        <v>53</v>
      </c>
      <c r="AA211" s="287" t="s">
        <v>53</v>
      </c>
      <c r="AB211" s="16">
        <v>1.0535653752852738</v>
      </c>
      <c r="AC211" s="66" t="s">
        <v>49</v>
      </c>
      <c r="AD211" s="51" t="s">
        <v>246</v>
      </c>
      <c r="AE211" s="13">
        <v>10</v>
      </c>
      <c r="AF211" s="13">
        <v>0</v>
      </c>
      <c r="AG211" s="13">
        <v>0</v>
      </c>
      <c r="AH211" s="134">
        <v>0</v>
      </c>
      <c r="AI211" s="134">
        <v>0</v>
      </c>
      <c r="AJ211" s="135">
        <f t="shared" si="39"/>
        <v>0</v>
      </c>
      <c r="AK211" s="136">
        <f t="shared" si="40"/>
        <v>0</v>
      </c>
      <c r="AL211" s="136" t="str" cm="1">
        <f t="array" ref="AL211">_xlfn.IFS(
AI211&lt;3,"Ligera",
AI211&lt;=6,"Moderada",
AI211&gt;6,"Vigorosa"
)</f>
        <v>Ligera</v>
      </c>
      <c r="AM211" s="45" t="s">
        <v>49</v>
      </c>
      <c r="AN211" s="46" t="s">
        <v>49</v>
      </c>
      <c r="AO211" s="46" t="s">
        <v>49</v>
      </c>
      <c r="AP211" s="289" t="s">
        <v>49</v>
      </c>
      <c r="AQ211" s="139">
        <v>0</v>
      </c>
    </row>
    <row r="212" spans="1:45" ht="70.5" customHeight="1" thickBot="1">
      <c r="A212" s="138" t="s">
        <v>243</v>
      </c>
      <c r="B212" s="12">
        <v>30</v>
      </c>
      <c r="C212" s="12">
        <v>84.9</v>
      </c>
      <c r="D212" s="12">
        <v>27.78</v>
      </c>
      <c r="E212" s="12" t="s">
        <v>45</v>
      </c>
      <c r="F212" s="12" t="s">
        <v>45</v>
      </c>
      <c r="G212" s="12" t="s">
        <v>244</v>
      </c>
      <c r="H212" s="12"/>
      <c r="I212" s="12" t="s">
        <v>145</v>
      </c>
      <c r="J212" s="12" t="s">
        <v>47</v>
      </c>
      <c r="K212" s="12" t="s">
        <v>49</v>
      </c>
      <c r="L212" s="12" t="s">
        <v>49</v>
      </c>
      <c r="M212" s="11" t="s">
        <v>56</v>
      </c>
      <c r="N212" s="11" t="s">
        <v>57</v>
      </c>
      <c r="O212" s="11" t="s">
        <v>126</v>
      </c>
      <c r="P212" s="11" t="s">
        <v>51</v>
      </c>
      <c r="Q212" s="50" t="s">
        <v>64</v>
      </c>
      <c r="R212" s="65">
        <v>18</v>
      </c>
      <c r="S212" s="70">
        <v>6.8</v>
      </c>
      <c r="T212" s="70">
        <v>3.1</v>
      </c>
      <c r="U212" s="65">
        <v>18</v>
      </c>
      <c r="V212" s="65">
        <v>10</v>
      </c>
      <c r="W212" s="70">
        <v>3.1</v>
      </c>
      <c r="X212" s="130">
        <f t="shared" si="38"/>
        <v>3.2</v>
      </c>
      <c r="Y212" s="16">
        <f t="shared" si="41"/>
        <v>0.73067700722609918</v>
      </c>
      <c r="Z212" s="15">
        <f t="shared" si="42"/>
        <v>3.5000000000000009</v>
      </c>
      <c r="AA212" s="16">
        <f t="shared" si="43"/>
        <v>8.4830434782608695</v>
      </c>
      <c r="AB212" s="16">
        <f t="shared" si="44"/>
        <v>1.2973602226344008</v>
      </c>
      <c r="AC212" s="66" t="s">
        <v>49</v>
      </c>
      <c r="AD212" s="51" t="s">
        <v>247</v>
      </c>
      <c r="AE212" s="13">
        <v>10</v>
      </c>
      <c r="AF212" s="13">
        <v>3</v>
      </c>
      <c r="AG212" s="13">
        <v>50</v>
      </c>
      <c r="AH212" s="13">
        <v>205160</v>
      </c>
      <c r="AI212" s="13">
        <v>3</v>
      </c>
      <c r="AJ212" s="135">
        <f t="shared" si="39"/>
        <v>150</v>
      </c>
      <c r="AK212" s="136">
        <f t="shared" si="40"/>
        <v>450</v>
      </c>
      <c r="AL212" s="136" t="str" cm="1">
        <f t="array" ref="AL212">_xlfn.IFS(
AI212&lt;3,"Ligera",
AI212&lt;=6,"Moderada",
AI212&gt;6,"Vigorosa"
)</f>
        <v>Moderada</v>
      </c>
      <c r="AM212" s="45" t="s">
        <v>48</v>
      </c>
      <c r="AN212" s="46" t="s">
        <v>60</v>
      </c>
      <c r="AO212" s="46" t="s">
        <v>61</v>
      </c>
      <c r="AP212" s="289" t="s">
        <v>62</v>
      </c>
      <c r="AQ212" s="139">
        <v>0</v>
      </c>
    </row>
    <row r="213" spans="1:45" ht="70.5" customHeight="1" thickBot="1">
      <c r="A213" s="138" t="s">
        <v>243</v>
      </c>
      <c r="B213" s="12">
        <v>30</v>
      </c>
      <c r="C213" s="12">
        <v>80.599999999999994</v>
      </c>
      <c r="D213" s="81">
        <v>14.29</v>
      </c>
      <c r="E213" s="12" t="s">
        <v>45</v>
      </c>
      <c r="F213" s="12" t="s">
        <v>45</v>
      </c>
      <c r="G213" s="12" t="s">
        <v>244</v>
      </c>
      <c r="H213" s="12"/>
      <c r="I213" s="12" t="s">
        <v>145</v>
      </c>
      <c r="J213" s="12" t="s">
        <v>47</v>
      </c>
      <c r="K213" s="12" t="s">
        <v>49</v>
      </c>
      <c r="L213" s="12" t="s">
        <v>49</v>
      </c>
      <c r="M213" s="11" t="s">
        <v>50</v>
      </c>
      <c r="N213" s="11" t="s">
        <v>50</v>
      </c>
      <c r="O213" s="11" t="s">
        <v>50</v>
      </c>
      <c r="P213" s="11" t="s">
        <v>51</v>
      </c>
      <c r="Q213" s="50" t="s">
        <v>249</v>
      </c>
      <c r="R213" s="65">
        <v>7</v>
      </c>
      <c r="S213" s="70">
        <v>0.59399999999999997</v>
      </c>
      <c r="T213" s="70">
        <v>0.29199999999999998</v>
      </c>
      <c r="U213" s="65">
        <v>7</v>
      </c>
      <c r="V213" s="65">
        <v>0.49199999999999999</v>
      </c>
      <c r="W213" s="70">
        <v>0.314</v>
      </c>
      <c r="X213" s="130">
        <f t="shared" si="38"/>
        <v>-0.10199999999999998</v>
      </c>
      <c r="Y213" s="16">
        <f t="shared" si="41"/>
        <v>0.11474941643175607</v>
      </c>
      <c r="Z213" s="286" t="s">
        <v>53</v>
      </c>
      <c r="AA213" s="287" t="s">
        <v>53</v>
      </c>
      <c r="AB213" s="16">
        <v>0.11474941643175607</v>
      </c>
      <c r="AC213" s="66" t="s">
        <v>49</v>
      </c>
      <c r="AD213" s="51" t="s">
        <v>246</v>
      </c>
      <c r="AE213" s="13">
        <v>10</v>
      </c>
      <c r="AF213" s="13">
        <v>0</v>
      </c>
      <c r="AG213" s="13">
        <v>0</v>
      </c>
      <c r="AH213" s="134">
        <v>0</v>
      </c>
      <c r="AI213" s="134">
        <v>0</v>
      </c>
      <c r="AJ213" s="135">
        <f t="shared" si="39"/>
        <v>0</v>
      </c>
      <c r="AK213" s="136">
        <f t="shared" si="40"/>
        <v>0</v>
      </c>
      <c r="AL213" s="136" t="str" cm="1">
        <f t="array" ref="AL213">_xlfn.IFS(
AI213&lt;3,"Ligera",
AI213&lt;=6,"Moderada",
AI213&gt;6,"Vigorosa"
)</f>
        <v>Ligera</v>
      </c>
      <c r="AM213" s="45" t="s">
        <v>49</v>
      </c>
      <c r="AN213" s="46" t="s">
        <v>49</v>
      </c>
      <c r="AO213" s="46" t="s">
        <v>49</v>
      </c>
      <c r="AP213" s="289" t="s">
        <v>49</v>
      </c>
      <c r="AQ213" s="139">
        <v>0</v>
      </c>
    </row>
    <row r="214" spans="1:45" ht="70.5" customHeight="1" thickBot="1">
      <c r="A214" s="140" t="s">
        <v>243</v>
      </c>
      <c r="B214" s="141">
        <v>30</v>
      </c>
      <c r="C214" s="141">
        <v>84.9</v>
      </c>
      <c r="D214" s="141">
        <v>27.78</v>
      </c>
      <c r="E214" s="141" t="s">
        <v>45</v>
      </c>
      <c r="F214" s="141" t="s">
        <v>45</v>
      </c>
      <c r="G214" s="141" t="s">
        <v>244</v>
      </c>
      <c r="H214" s="141"/>
      <c r="I214" s="141" t="s">
        <v>145</v>
      </c>
      <c r="J214" s="141" t="s">
        <v>47</v>
      </c>
      <c r="K214" s="141" t="s">
        <v>49</v>
      </c>
      <c r="L214" s="141" t="s">
        <v>49</v>
      </c>
      <c r="M214" s="142" t="s">
        <v>56</v>
      </c>
      <c r="N214" s="142" t="s">
        <v>57</v>
      </c>
      <c r="O214" s="142" t="s">
        <v>126</v>
      </c>
      <c r="P214" s="142" t="s">
        <v>51</v>
      </c>
      <c r="Q214" s="158" t="s">
        <v>249</v>
      </c>
      <c r="R214" s="144">
        <v>18</v>
      </c>
      <c r="S214" s="162">
        <v>0.6</v>
      </c>
      <c r="T214" s="162">
        <v>0.22500000000000001</v>
      </c>
      <c r="U214" s="144">
        <v>18</v>
      </c>
      <c r="V214" s="144">
        <v>0.84299999999999997</v>
      </c>
      <c r="W214" s="162">
        <v>0.39500000000000002</v>
      </c>
      <c r="X214" s="130">
        <f t="shared" si="38"/>
        <v>0.24299999999999999</v>
      </c>
      <c r="Y214" s="16">
        <f t="shared" si="41"/>
        <v>8.088915598246503E-2</v>
      </c>
      <c r="Z214" s="15">
        <f t="shared" si="42"/>
        <v>0.34499999999999997</v>
      </c>
      <c r="AA214" s="16">
        <f t="shared" si="43"/>
        <v>0.14104352173913046</v>
      </c>
      <c r="AB214" s="16">
        <f t="shared" si="44"/>
        <v>0.16728665739350213</v>
      </c>
      <c r="AC214" s="66" t="s">
        <v>49</v>
      </c>
      <c r="AD214" s="151" t="s">
        <v>247</v>
      </c>
      <c r="AE214" s="146">
        <v>10</v>
      </c>
      <c r="AF214" s="146">
        <v>3</v>
      </c>
      <c r="AG214" s="146">
        <v>50</v>
      </c>
      <c r="AH214" s="13">
        <v>205160</v>
      </c>
      <c r="AI214" s="13">
        <v>3</v>
      </c>
      <c r="AJ214" s="135">
        <f t="shared" si="39"/>
        <v>150</v>
      </c>
      <c r="AK214" s="136">
        <f t="shared" si="40"/>
        <v>450</v>
      </c>
      <c r="AL214" s="136" t="str" cm="1">
        <f t="array" ref="AL214">_xlfn.IFS(
AI214&lt;3,"Ligera",
AI214&lt;=6,"Moderada",
AI214&gt;6,"Vigorosa"
)</f>
        <v>Moderada</v>
      </c>
      <c r="AM214" s="147" t="s">
        <v>48</v>
      </c>
      <c r="AN214" s="148" t="s">
        <v>60</v>
      </c>
      <c r="AO214" s="148" t="s">
        <v>61</v>
      </c>
      <c r="AP214" s="290" t="s">
        <v>62</v>
      </c>
      <c r="AQ214" s="149">
        <v>0</v>
      </c>
    </row>
    <row r="215" spans="1:45" ht="70.5" customHeight="1" thickBot="1">
      <c r="A215" s="124" t="s">
        <v>250</v>
      </c>
      <c r="B215" s="125">
        <v>72</v>
      </c>
      <c r="C215" s="125">
        <v>75.8</v>
      </c>
      <c r="D215" s="125">
        <v>25</v>
      </c>
      <c r="E215" s="125" t="s">
        <v>45</v>
      </c>
      <c r="F215" s="125" t="s">
        <v>45</v>
      </c>
      <c r="G215" s="125" t="s">
        <v>223</v>
      </c>
      <c r="H215" s="125"/>
      <c r="I215" s="125" t="s">
        <v>145</v>
      </c>
      <c r="J215" s="125" t="s">
        <v>47</v>
      </c>
      <c r="K215" s="125" t="s">
        <v>49</v>
      </c>
      <c r="L215" s="125" t="s">
        <v>49</v>
      </c>
      <c r="M215" s="126" t="s">
        <v>56</v>
      </c>
      <c r="N215" s="126" t="s">
        <v>162</v>
      </c>
      <c r="O215" s="126" t="s">
        <v>163</v>
      </c>
      <c r="P215" s="126" t="s">
        <v>86</v>
      </c>
      <c r="Q215" s="159" t="s">
        <v>86</v>
      </c>
      <c r="R215" s="128">
        <v>36</v>
      </c>
      <c r="S215" s="152">
        <v>1.53</v>
      </c>
      <c r="T215" s="152">
        <v>0.158</v>
      </c>
      <c r="U215" s="128">
        <v>36</v>
      </c>
      <c r="V215" s="128">
        <v>1.39</v>
      </c>
      <c r="W215" s="152">
        <v>0.871</v>
      </c>
      <c r="X215" s="130">
        <f t="shared" si="38"/>
        <v>-0.14000000000000012</v>
      </c>
      <c r="Y215" s="16">
        <f t="shared" si="41"/>
        <v>0.13395552744598982</v>
      </c>
      <c r="Z215" s="286" t="s">
        <v>53</v>
      </c>
      <c r="AA215" s="287" t="s">
        <v>53</v>
      </c>
      <c r="AB215" s="16">
        <v>0.13395552744598982</v>
      </c>
      <c r="AC215" s="66" t="s">
        <v>48</v>
      </c>
      <c r="AD215" s="133" t="s">
        <v>251</v>
      </c>
      <c r="AE215" s="134">
        <v>12</v>
      </c>
      <c r="AF215" s="134">
        <v>3</v>
      </c>
      <c r="AG215" s="134">
        <v>30</v>
      </c>
      <c r="AH215" s="134">
        <v>1715360</v>
      </c>
      <c r="AI215" s="134">
        <v>3.8</v>
      </c>
      <c r="AJ215" s="135">
        <f t="shared" si="39"/>
        <v>114</v>
      </c>
      <c r="AK215" s="136">
        <f t="shared" si="40"/>
        <v>342</v>
      </c>
      <c r="AL215" s="136" t="str" cm="1">
        <f t="array" ref="AL215">_xlfn.IFS(
AI215&lt;3,"Ligera",
AI215&lt;=6,"Moderada",
AI215&gt;6,"Vigorosa"
)</f>
        <v>Moderada</v>
      </c>
      <c r="AM215" s="136" t="s">
        <v>49</v>
      </c>
      <c r="AN215" s="135" t="s">
        <v>49</v>
      </c>
      <c r="AO215" s="135" t="s">
        <v>49</v>
      </c>
      <c r="AP215" s="288" t="s">
        <v>49</v>
      </c>
      <c r="AQ215" s="137">
        <v>0</v>
      </c>
    </row>
    <row r="216" spans="1:45" ht="70.5" customHeight="1" thickBot="1">
      <c r="A216" s="138" t="s">
        <v>250</v>
      </c>
      <c r="B216" s="12">
        <v>72</v>
      </c>
      <c r="C216" s="12">
        <v>74.599999999999994</v>
      </c>
      <c r="D216" s="12">
        <v>25.7</v>
      </c>
      <c r="E216" s="12" t="s">
        <v>45</v>
      </c>
      <c r="F216" s="12" t="s">
        <v>45</v>
      </c>
      <c r="G216" s="12" t="s">
        <v>223</v>
      </c>
      <c r="H216" s="12"/>
      <c r="I216" s="12" t="s">
        <v>145</v>
      </c>
      <c r="J216" s="12" t="s">
        <v>47</v>
      </c>
      <c r="K216" s="12" t="s">
        <v>49</v>
      </c>
      <c r="L216" s="12" t="s">
        <v>49</v>
      </c>
      <c r="M216" s="11" t="s">
        <v>56</v>
      </c>
      <c r="N216" s="11" t="s">
        <v>76</v>
      </c>
      <c r="O216" s="11" t="s">
        <v>103</v>
      </c>
      <c r="P216" s="11" t="s">
        <v>86</v>
      </c>
      <c r="Q216" s="50" t="s">
        <v>86</v>
      </c>
      <c r="R216" s="65">
        <v>35</v>
      </c>
      <c r="S216" s="70">
        <v>1.94</v>
      </c>
      <c r="T216" s="70">
        <v>1.1870000000000001</v>
      </c>
      <c r="U216" s="65">
        <v>35</v>
      </c>
      <c r="V216" s="65">
        <v>0.54</v>
      </c>
      <c r="W216" s="79" t="s">
        <v>252</v>
      </c>
      <c r="X216" s="130">
        <f t="shared" si="38"/>
        <v>-1.4</v>
      </c>
      <c r="Y216" s="16">
        <f t="shared" si="41"/>
        <v>0.17409020650226137</v>
      </c>
      <c r="Z216" s="15">
        <f t="shared" si="42"/>
        <v>-1.2599999999999998</v>
      </c>
      <c r="AA216" s="16">
        <f t="shared" si="43"/>
        <v>0.59751450724637678</v>
      </c>
      <c r="AB216" s="16">
        <f t="shared" si="44"/>
        <v>0.18349242018533199</v>
      </c>
      <c r="AC216" s="66" t="s">
        <v>48</v>
      </c>
      <c r="AD216" s="51" t="s">
        <v>253</v>
      </c>
      <c r="AE216" s="13">
        <v>12</v>
      </c>
      <c r="AF216" s="13">
        <v>3</v>
      </c>
      <c r="AG216" s="13">
        <v>75</v>
      </c>
      <c r="AH216" s="134" t="s">
        <v>254</v>
      </c>
      <c r="AI216" s="13">
        <v>3.65</v>
      </c>
      <c r="AJ216" s="135">
        <v>271</v>
      </c>
      <c r="AK216" s="136">
        <f t="shared" si="40"/>
        <v>813</v>
      </c>
      <c r="AL216" s="136" t="str" cm="1">
        <f t="array" ref="AL216">_xlfn.IFS(
AI216&lt;3,"Ligera",
AI216&lt;=6,"Moderada",
AI216&gt;6,"Vigorosa"
)</f>
        <v>Moderada</v>
      </c>
      <c r="AM216" s="45" t="s">
        <v>48</v>
      </c>
      <c r="AN216" s="46" t="s">
        <v>60</v>
      </c>
      <c r="AO216" s="46" t="s">
        <v>255</v>
      </c>
      <c r="AP216" s="289" t="s">
        <v>62</v>
      </c>
      <c r="AQ216" s="139">
        <v>0</v>
      </c>
    </row>
    <row r="217" spans="1:45" ht="70.5" customHeight="1" thickBot="1">
      <c r="A217" s="138" t="s">
        <v>250</v>
      </c>
      <c r="B217" s="12">
        <v>72</v>
      </c>
      <c r="C217" s="12">
        <v>75.8</v>
      </c>
      <c r="D217" s="12">
        <v>25</v>
      </c>
      <c r="E217" s="12" t="s">
        <v>45</v>
      </c>
      <c r="F217" s="12" t="s">
        <v>45</v>
      </c>
      <c r="G217" s="12" t="s">
        <v>223</v>
      </c>
      <c r="H217" s="12"/>
      <c r="I217" s="12" t="s">
        <v>145</v>
      </c>
      <c r="J217" s="12" t="s">
        <v>47</v>
      </c>
      <c r="K217" s="12" t="s">
        <v>49</v>
      </c>
      <c r="L217" s="12" t="s">
        <v>49</v>
      </c>
      <c r="M217" s="11" t="s">
        <v>56</v>
      </c>
      <c r="N217" s="11" t="s">
        <v>162</v>
      </c>
      <c r="O217" s="11" t="s">
        <v>163</v>
      </c>
      <c r="P217" s="11" t="s">
        <v>86</v>
      </c>
      <c r="Q217" s="50" t="s">
        <v>87</v>
      </c>
      <c r="R217" s="65">
        <v>36</v>
      </c>
      <c r="S217" s="70">
        <v>45.89</v>
      </c>
      <c r="T217" s="70">
        <v>3.2839999999999998</v>
      </c>
      <c r="U217" s="65">
        <v>36</v>
      </c>
      <c r="V217" s="65">
        <v>46.06</v>
      </c>
      <c r="W217" s="70">
        <v>3.2240000000000002</v>
      </c>
      <c r="X217" s="130">
        <f t="shared" si="38"/>
        <v>0.17000000000000171</v>
      </c>
      <c r="Y217" s="16">
        <f t="shared" si="41"/>
        <v>0.54240247459284741</v>
      </c>
      <c r="Z217" s="286" t="s">
        <v>53</v>
      </c>
      <c r="AA217" s="287" t="s">
        <v>53</v>
      </c>
      <c r="AB217" s="16">
        <v>0.54240247459284741</v>
      </c>
      <c r="AC217" s="66" t="s">
        <v>49</v>
      </c>
      <c r="AD217" s="51" t="s">
        <v>256</v>
      </c>
      <c r="AE217" s="13">
        <v>12</v>
      </c>
      <c r="AF217" s="13">
        <v>3</v>
      </c>
      <c r="AG217" s="13">
        <v>30</v>
      </c>
      <c r="AH217" s="134">
        <v>1715360</v>
      </c>
      <c r="AI217" s="134">
        <v>3.8</v>
      </c>
      <c r="AJ217" s="135">
        <f t="shared" ref="AJ217" si="47">AI217*AG217</f>
        <v>114</v>
      </c>
      <c r="AK217" s="136">
        <f t="shared" si="40"/>
        <v>342</v>
      </c>
      <c r="AL217" s="136" t="str" cm="1">
        <f t="array" ref="AL217">_xlfn.IFS(
AI217&lt;3,"Ligera",
AI217&lt;=6,"Moderada",
AI217&gt;6,"Vigorosa"
)</f>
        <v>Moderada</v>
      </c>
      <c r="AM217" s="45" t="s">
        <v>49</v>
      </c>
      <c r="AN217" s="46" t="s">
        <v>49</v>
      </c>
      <c r="AO217" s="46" t="s">
        <v>49</v>
      </c>
      <c r="AP217" s="289" t="s">
        <v>49</v>
      </c>
      <c r="AQ217" s="139">
        <v>0</v>
      </c>
    </row>
    <row r="218" spans="1:45" ht="70.5" customHeight="1" thickBot="1">
      <c r="A218" s="138" t="s">
        <v>250</v>
      </c>
      <c r="B218" s="12">
        <v>72</v>
      </c>
      <c r="C218" s="12">
        <v>74.599999999999994</v>
      </c>
      <c r="D218" s="12">
        <v>25.7</v>
      </c>
      <c r="E218" s="12" t="s">
        <v>45</v>
      </c>
      <c r="F218" s="12" t="s">
        <v>45</v>
      </c>
      <c r="G218" s="12" t="s">
        <v>223</v>
      </c>
      <c r="H218" s="12"/>
      <c r="I218" s="12" t="s">
        <v>145</v>
      </c>
      <c r="J218" s="12" t="s">
        <v>47</v>
      </c>
      <c r="K218" s="12" t="s">
        <v>49</v>
      </c>
      <c r="L218" s="12" t="s">
        <v>49</v>
      </c>
      <c r="M218" s="11" t="s">
        <v>56</v>
      </c>
      <c r="N218" s="11" t="s">
        <v>76</v>
      </c>
      <c r="O218" s="11" t="s">
        <v>103</v>
      </c>
      <c r="P218" s="11" t="s">
        <v>86</v>
      </c>
      <c r="Q218" s="50" t="s">
        <v>87</v>
      </c>
      <c r="R218" s="65">
        <v>35</v>
      </c>
      <c r="S218" s="70">
        <v>42.69</v>
      </c>
      <c r="T218" s="70">
        <v>7.4470000000000001</v>
      </c>
      <c r="U218" s="65">
        <v>35</v>
      </c>
      <c r="V218" s="65">
        <v>49.83</v>
      </c>
      <c r="W218" s="79" t="s">
        <v>257</v>
      </c>
      <c r="X218" s="130">
        <f t="shared" si="38"/>
        <v>7.1400000000000006</v>
      </c>
      <c r="Y218" s="16">
        <f t="shared" si="41"/>
        <v>1.0917562914863372</v>
      </c>
      <c r="Z218" s="15">
        <f t="shared" si="42"/>
        <v>6.9699999999999989</v>
      </c>
      <c r="AA218" s="16">
        <f t="shared" si="43"/>
        <v>13.458906434782609</v>
      </c>
      <c r="AB218" s="16">
        <f t="shared" si="44"/>
        <v>0.87086089355776353</v>
      </c>
      <c r="AC218" s="66" t="s">
        <v>49</v>
      </c>
      <c r="AD218" s="51" t="s">
        <v>253</v>
      </c>
      <c r="AE218" s="13">
        <v>12</v>
      </c>
      <c r="AF218" s="13">
        <v>3</v>
      </c>
      <c r="AG218" s="13">
        <v>75</v>
      </c>
      <c r="AH218" s="134" t="s">
        <v>254</v>
      </c>
      <c r="AI218" s="13">
        <v>3.65</v>
      </c>
      <c r="AJ218" s="135">
        <v>271</v>
      </c>
      <c r="AK218" s="136">
        <f t="shared" si="40"/>
        <v>813</v>
      </c>
      <c r="AL218" s="136" t="str" cm="1">
        <f t="array" ref="AL218">_xlfn.IFS(
AI218&lt;3,"Ligera",
AI218&lt;=6,"Moderada",
AI218&gt;6,"Vigorosa"
)</f>
        <v>Moderada</v>
      </c>
      <c r="AM218" s="45" t="s">
        <v>48</v>
      </c>
      <c r="AN218" s="46" t="s">
        <v>60</v>
      </c>
      <c r="AO218" s="46" t="s">
        <v>255</v>
      </c>
      <c r="AP218" s="289" t="s">
        <v>62</v>
      </c>
      <c r="AQ218" s="139">
        <v>0</v>
      </c>
    </row>
    <row r="219" spans="1:45" ht="70.5" customHeight="1" thickBot="1">
      <c r="A219" s="138" t="s">
        <v>250</v>
      </c>
      <c r="B219" s="12">
        <v>72</v>
      </c>
      <c r="C219" s="12">
        <v>75.8</v>
      </c>
      <c r="D219" s="12">
        <v>25</v>
      </c>
      <c r="E219" s="12" t="s">
        <v>45</v>
      </c>
      <c r="F219" s="12" t="s">
        <v>45</v>
      </c>
      <c r="G219" s="12" t="s">
        <v>223</v>
      </c>
      <c r="H219" s="12"/>
      <c r="I219" s="12" t="s">
        <v>145</v>
      </c>
      <c r="J219" s="12" t="s">
        <v>47</v>
      </c>
      <c r="K219" s="12" t="s">
        <v>49</v>
      </c>
      <c r="L219" s="12" t="s">
        <v>49</v>
      </c>
      <c r="M219" s="11" t="s">
        <v>56</v>
      </c>
      <c r="N219" s="11" t="s">
        <v>162</v>
      </c>
      <c r="O219" s="11" t="s">
        <v>163</v>
      </c>
      <c r="P219" s="11" t="s">
        <v>51</v>
      </c>
      <c r="Q219" s="50" t="s">
        <v>64</v>
      </c>
      <c r="R219" s="65">
        <v>36</v>
      </c>
      <c r="S219" s="70">
        <v>8.0299999999999994</v>
      </c>
      <c r="T219" s="70">
        <v>1.1579999999999999</v>
      </c>
      <c r="U219" s="65">
        <v>36</v>
      </c>
      <c r="V219" s="65">
        <v>7.72</v>
      </c>
      <c r="W219" s="70">
        <v>1.21</v>
      </c>
      <c r="X219" s="130">
        <f t="shared" si="38"/>
        <v>-0.30999999999999961</v>
      </c>
      <c r="Y219" s="16">
        <f t="shared" si="41"/>
        <v>0.19747601823456382</v>
      </c>
      <c r="Z219" s="286" t="s">
        <v>53</v>
      </c>
      <c r="AA219" s="287" t="s">
        <v>53</v>
      </c>
      <c r="AB219" s="16">
        <v>0.19747601823456382</v>
      </c>
      <c r="AC219" s="66" t="s">
        <v>49</v>
      </c>
      <c r="AD219" s="51" t="s">
        <v>256</v>
      </c>
      <c r="AE219" s="13">
        <v>12</v>
      </c>
      <c r="AF219" s="13">
        <v>3</v>
      </c>
      <c r="AG219" s="13">
        <v>30</v>
      </c>
      <c r="AH219" s="134">
        <v>1715360</v>
      </c>
      <c r="AI219" s="134">
        <v>3.8</v>
      </c>
      <c r="AJ219" s="135">
        <f t="shared" ref="AJ219" si="48">AI219*AG219</f>
        <v>114</v>
      </c>
      <c r="AK219" s="136">
        <f t="shared" si="40"/>
        <v>342</v>
      </c>
      <c r="AL219" s="136" t="str" cm="1">
        <f t="array" ref="AL219">_xlfn.IFS(
AI219&lt;3,"Ligera",
AI219&lt;=6,"Moderada",
AI219&gt;6,"Vigorosa"
)</f>
        <v>Moderada</v>
      </c>
      <c r="AM219" s="45" t="s">
        <v>49</v>
      </c>
      <c r="AN219" s="46" t="s">
        <v>49</v>
      </c>
      <c r="AO219" s="46" t="s">
        <v>49</v>
      </c>
      <c r="AP219" s="289" t="s">
        <v>49</v>
      </c>
      <c r="AQ219" s="139">
        <v>0</v>
      </c>
    </row>
    <row r="220" spans="1:45" ht="70.5" customHeight="1" thickBot="1">
      <c r="A220" s="138" t="s">
        <v>250</v>
      </c>
      <c r="B220" s="12">
        <v>72</v>
      </c>
      <c r="C220" s="12">
        <v>74.599999999999994</v>
      </c>
      <c r="D220" s="12">
        <v>25.7</v>
      </c>
      <c r="E220" s="12" t="s">
        <v>45</v>
      </c>
      <c r="F220" s="12" t="s">
        <v>45</v>
      </c>
      <c r="G220" s="12" t="s">
        <v>223</v>
      </c>
      <c r="H220" s="12"/>
      <c r="I220" s="12" t="s">
        <v>145</v>
      </c>
      <c r="J220" s="12" t="s">
        <v>47</v>
      </c>
      <c r="K220" s="12" t="s">
        <v>49</v>
      </c>
      <c r="L220" s="12" t="s">
        <v>49</v>
      </c>
      <c r="M220" s="11" t="s">
        <v>56</v>
      </c>
      <c r="N220" s="11" t="s">
        <v>76</v>
      </c>
      <c r="O220" s="11" t="s">
        <v>103</v>
      </c>
      <c r="P220" s="11" t="s">
        <v>51</v>
      </c>
      <c r="Q220" s="50" t="s">
        <v>64</v>
      </c>
      <c r="R220" s="65">
        <v>35</v>
      </c>
      <c r="S220" s="70">
        <v>7.71</v>
      </c>
      <c r="T220" s="70">
        <v>1.637</v>
      </c>
      <c r="U220" s="65">
        <v>35</v>
      </c>
      <c r="V220" s="65">
        <v>12.03</v>
      </c>
      <c r="W220" s="79" t="s">
        <v>258</v>
      </c>
      <c r="X220" s="130">
        <f t="shared" si="38"/>
        <v>4.3199999999999994</v>
      </c>
      <c r="Y220" s="16">
        <f t="shared" si="41"/>
        <v>0.28271555619435884</v>
      </c>
      <c r="Z220" s="15">
        <f t="shared" si="42"/>
        <v>4.629999999999999</v>
      </c>
      <c r="AA220" s="16">
        <f t="shared" si="43"/>
        <v>2.1767873043478261</v>
      </c>
      <c r="AB220" s="16">
        <f t="shared" si="44"/>
        <v>0.35022883517927</v>
      </c>
      <c r="AC220" s="66" t="s">
        <v>49</v>
      </c>
      <c r="AD220" s="51" t="s">
        <v>253</v>
      </c>
      <c r="AE220" s="13">
        <v>12</v>
      </c>
      <c r="AF220" s="13">
        <v>3</v>
      </c>
      <c r="AG220" s="13">
        <v>75</v>
      </c>
      <c r="AH220" s="134" t="s">
        <v>254</v>
      </c>
      <c r="AI220" s="13">
        <v>3.65</v>
      </c>
      <c r="AJ220" s="135">
        <v>271</v>
      </c>
      <c r="AK220" s="136">
        <f t="shared" si="40"/>
        <v>813</v>
      </c>
      <c r="AL220" s="136" t="str" cm="1">
        <f t="array" ref="AL220">_xlfn.IFS(
AI220&lt;3,"Ligera",
AI220&lt;=6,"Moderada",
AI220&gt;6,"Vigorosa"
)</f>
        <v>Moderada</v>
      </c>
      <c r="AM220" s="45" t="s">
        <v>48</v>
      </c>
      <c r="AN220" s="46" t="s">
        <v>60</v>
      </c>
      <c r="AO220" s="46" t="s">
        <v>255</v>
      </c>
      <c r="AP220" s="289" t="s">
        <v>62</v>
      </c>
      <c r="AQ220" s="139">
        <v>0</v>
      </c>
    </row>
    <row r="221" spans="1:45" ht="70.5" customHeight="1" thickBot="1">
      <c r="A221" s="138" t="s">
        <v>250</v>
      </c>
      <c r="B221" s="12">
        <v>72</v>
      </c>
      <c r="C221" s="12">
        <v>75.8</v>
      </c>
      <c r="D221" s="12">
        <v>25</v>
      </c>
      <c r="E221" s="12" t="s">
        <v>45</v>
      </c>
      <c r="F221" s="12" t="s">
        <v>45</v>
      </c>
      <c r="G221" s="12" t="s">
        <v>223</v>
      </c>
      <c r="H221" s="12"/>
      <c r="I221" s="12" t="s">
        <v>145</v>
      </c>
      <c r="J221" s="12" t="s">
        <v>47</v>
      </c>
      <c r="K221" s="12" t="s">
        <v>49</v>
      </c>
      <c r="L221" s="12" t="s">
        <v>49</v>
      </c>
      <c r="M221" s="11" t="s">
        <v>56</v>
      </c>
      <c r="N221" s="11" t="s">
        <v>162</v>
      </c>
      <c r="O221" s="11" t="s">
        <v>163</v>
      </c>
      <c r="P221" s="11" t="s">
        <v>51</v>
      </c>
      <c r="Q221" s="50" t="s">
        <v>82</v>
      </c>
      <c r="R221" s="65">
        <v>36</v>
      </c>
      <c r="S221" s="70">
        <v>324.19</v>
      </c>
      <c r="T221" s="70">
        <v>82.311999999999998</v>
      </c>
      <c r="U221" s="65">
        <v>36</v>
      </c>
      <c r="V221" s="65">
        <v>324.36</v>
      </c>
      <c r="W221" s="70">
        <v>82.763999999999996</v>
      </c>
      <c r="X221" s="130">
        <f t="shared" si="38"/>
        <v>0.17000000000001592</v>
      </c>
      <c r="Y221" s="16">
        <f t="shared" si="41"/>
        <v>13.756488036963182</v>
      </c>
      <c r="Z221" s="286" t="s">
        <v>53</v>
      </c>
      <c r="AA221" s="287" t="s">
        <v>53</v>
      </c>
      <c r="AB221" s="16">
        <v>13.756488036963182</v>
      </c>
      <c r="AC221" s="66" t="s">
        <v>49</v>
      </c>
      <c r="AD221" s="51" t="s">
        <v>256</v>
      </c>
      <c r="AE221" s="13">
        <v>12</v>
      </c>
      <c r="AF221" s="13">
        <v>3</v>
      </c>
      <c r="AG221" s="13">
        <v>30</v>
      </c>
      <c r="AH221" s="134">
        <v>1715360</v>
      </c>
      <c r="AI221" s="134">
        <v>3.8</v>
      </c>
      <c r="AJ221" s="135">
        <f t="shared" ref="AJ221" si="49">AI221*AG221</f>
        <v>114</v>
      </c>
      <c r="AK221" s="136">
        <f t="shared" si="40"/>
        <v>342</v>
      </c>
      <c r="AL221" s="136" t="str" cm="1">
        <f t="array" ref="AL221">_xlfn.IFS(
AI221&lt;3,"Ligera",
AI221&lt;=6,"Moderada",
AI221&gt;6,"Vigorosa"
)</f>
        <v>Moderada</v>
      </c>
      <c r="AM221" s="45" t="s">
        <v>49</v>
      </c>
      <c r="AN221" s="46" t="s">
        <v>49</v>
      </c>
      <c r="AO221" s="46" t="s">
        <v>49</v>
      </c>
      <c r="AP221" s="289" t="s">
        <v>49</v>
      </c>
      <c r="AQ221" s="139">
        <v>0</v>
      </c>
    </row>
    <row r="222" spans="1:45" ht="70.5" customHeight="1" thickBot="1">
      <c r="A222" s="140" t="s">
        <v>250</v>
      </c>
      <c r="B222" s="141">
        <v>72</v>
      </c>
      <c r="C222" s="141">
        <v>74.599999999999994</v>
      </c>
      <c r="D222" s="141">
        <v>25.7</v>
      </c>
      <c r="E222" s="141" t="s">
        <v>45</v>
      </c>
      <c r="F222" s="141" t="s">
        <v>45</v>
      </c>
      <c r="G222" s="141" t="s">
        <v>223</v>
      </c>
      <c r="H222" s="141"/>
      <c r="I222" s="141" t="s">
        <v>145</v>
      </c>
      <c r="J222" s="141" t="s">
        <v>47</v>
      </c>
      <c r="K222" s="141" t="s">
        <v>49</v>
      </c>
      <c r="L222" s="141" t="s">
        <v>49</v>
      </c>
      <c r="M222" s="142" t="s">
        <v>56</v>
      </c>
      <c r="N222" s="142" t="s">
        <v>76</v>
      </c>
      <c r="O222" s="142" t="s">
        <v>103</v>
      </c>
      <c r="P222" s="142" t="s">
        <v>51</v>
      </c>
      <c r="Q222" s="158" t="s">
        <v>82</v>
      </c>
      <c r="R222" s="144">
        <v>35</v>
      </c>
      <c r="S222" s="162">
        <v>364.09</v>
      </c>
      <c r="T222" s="162">
        <v>108.38500000000001</v>
      </c>
      <c r="U222" s="144">
        <v>35</v>
      </c>
      <c r="V222" s="144">
        <v>367.3</v>
      </c>
      <c r="W222" s="187" t="s">
        <v>259</v>
      </c>
      <c r="X222" s="130">
        <f t="shared" si="38"/>
        <v>3.2100000000000364</v>
      </c>
      <c r="Y222" s="16">
        <f t="shared" si="41"/>
        <v>18.149633191885727</v>
      </c>
      <c r="Z222" s="15">
        <f t="shared" si="42"/>
        <v>3.0400000000000205</v>
      </c>
      <c r="AA222" s="16">
        <f t="shared" si="43"/>
        <v>9046.2070291304353</v>
      </c>
      <c r="AB222" s="16">
        <f t="shared" si="44"/>
        <v>22.577568216309562</v>
      </c>
      <c r="AC222" s="66" t="s">
        <v>49</v>
      </c>
      <c r="AD222" s="188" t="s">
        <v>253</v>
      </c>
      <c r="AE222" s="146">
        <v>12</v>
      </c>
      <c r="AF222" s="146">
        <v>3</v>
      </c>
      <c r="AG222" s="146">
        <v>75</v>
      </c>
      <c r="AH222" s="134" t="s">
        <v>254</v>
      </c>
      <c r="AI222" s="13">
        <v>3.65</v>
      </c>
      <c r="AJ222" s="135">
        <v>271</v>
      </c>
      <c r="AK222" s="136">
        <f t="shared" si="40"/>
        <v>813</v>
      </c>
      <c r="AL222" s="136" t="str" cm="1">
        <f t="array" ref="AL222">_xlfn.IFS(
AI222&lt;3,"Ligera",
AI222&lt;=6,"Moderada",
AI222&gt;6,"Vigorosa"
)</f>
        <v>Moderada</v>
      </c>
      <c r="AM222" s="147" t="s">
        <v>48</v>
      </c>
      <c r="AN222" s="148" t="s">
        <v>60</v>
      </c>
      <c r="AO222" s="148" t="s">
        <v>255</v>
      </c>
      <c r="AP222" s="290" t="s">
        <v>62</v>
      </c>
      <c r="AQ222" s="149">
        <v>0</v>
      </c>
    </row>
    <row r="223" spans="1:45" ht="70.5" customHeight="1" thickBot="1">
      <c r="A223" s="124" t="s">
        <v>260</v>
      </c>
      <c r="B223" s="125">
        <v>44</v>
      </c>
      <c r="C223" s="125">
        <v>86.2</v>
      </c>
      <c r="D223" s="125">
        <v>26.32</v>
      </c>
      <c r="E223" s="125" t="s">
        <v>97</v>
      </c>
      <c r="F223" s="125" t="s">
        <v>97</v>
      </c>
      <c r="G223" s="125" t="s">
        <v>46</v>
      </c>
      <c r="H223" s="125"/>
      <c r="I223" s="125" t="s">
        <v>45</v>
      </c>
      <c r="J223" s="125" t="s">
        <v>47</v>
      </c>
      <c r="K223" s="125" t="s">
        <v>49</v>
      </c>
      <c r="L223" s="125" t="s">
        <v>49</v>
      </c>
      <c r="M223" s="126" t="s">
        <v>50</v>
      </c>
      <c r="N223" s="126" t="s">
        <v>50</v>
      </c>
      <c r="O223" s="126" t="s">
        <v>50</v>
      </c>
      <c r="P223" s="126" t="s">
        <v>94</v>
      </c>
      <c r="Q223" s="159" t="s">
        <v>119</v>
      </c>
      <c r="R223" s="128">
        <v>19</v>
      </c>
      <c r="S223" s="152">
        <v>18.399999999999999</v>
      </c>
      <c r="T223" s="184" t="s">
        <v>261</v>
      </c>
      <c r="U223" s="128">
        <v>19</v>
      </c>
      <c r="V223" s="128">
        <v>17.27</v>
      </c>
      <c r="W223" s="183">
        <v>6.05</v>
      </c>
      <c r="X223" s="130">
        <f t="shared" si="38"/>
        <v>-1.129999999999999</v>
      </c>
      <c r="Y223" s="16">
        <f t="shared" si="41"/>
        <v>1.7888911590556225</v>
      </c>
      <c r="Z223" s="286" t="s">
        <v>53</v>
      </c>
      <c r="AA223" s="287" t="s">
        <v>53</v>
      </c>
      <c r="AB223" s="16">
        <v>1.7888911590556225</v>
      </c>
      <c r="AC223" s="66" t="s">
        <v>49</v>
      </c>
      <c r="AD223" s="133" t="s">
        <v>262</v>
      </c>
      <c r="AE223" s="134">
        <v>12</v>
      </c>
      <c r="AF223" s="134">
        <v>0</v>
      </c>
      <c r="AG223" s="134">
        <v>0</v>
      </c>
      <c r="AH223" s="134">
        <v>0</v>
      </c>
      <c r="AI223" s="134">
        <v>0</v>
      </c>
      <c r="AJ223" s="135">
        <f t="shared" si="39"/>
        <v>0</v>
      </c>
      <c r="AK223" s="136">
        <f t="shared" si="40"/>
        <v>0</v>
      </c>
      <c r="AL223" s="136" t="str" cm="1">
        <f t="array" ref="AL223">_xlfn.IFS(
AI223&lt;3,"Ligera",
AI223&lt;=6,"Moderada",
AI223&gt;6,"Vigorosa"
)</f>
        <v>Ligera</v>
      </c>
      <c r="AM223" s="136" t="s">
        <v>49</v>
      </c>
      <c r="AN223" s="135" t="s">
        <v>49</v>
      </c>
      <c r="AO223" s="135" t="s">
        <v>49</v>
      </c>
      <c r="AP223" s="288" t="s">
        <v>49</v>
      </c>
      <c r="AQ223" s="137">
        <v>0</v>
      </c>
      <c r="AS223" s="291" t="s">
        <v>263</v>
      </c>
    </row>
    <row r="224" spans="1:45" ht="70.5" customHeight="1" thickBot="1">
      <c r="A224" s="138" t="s">
        <v>260</v>
      </c>
      <c r="B224" s="12">
        <v>44</v>
      </c>
      <c r="C224" s="12">
        <v>78.2</v>
      </c>
      <c r="D224" s="12">
        <v>29.41</v>
      </c>
      <c r="E224" s="12" t="s">
        <v>97</v>
      </c>
      <c r="F224" s="12" t="s">
        <v>97</v>
      </c>
      <c r="G224" s="12" t="s">
        <v>46</v>
      </c>
      <c r="H224" s="12"/>
      <c r="I224" s="12" t="s">
        <v>45</v>
      </c>
      <c r="J224" s="12" t="s">
        <v>47</v>
      </c>
      <c r="K224" s="12" t="s">
        <v>49</v>
      </c>
      <c r="L224" s="12" t="s">
        <v>49</v>
      </c>
      <c r="M224" s="11" t="s">
        <v>56</v>
      </c>
      <c r="N224" s="11" t="s">
        <v>76</v>
      </c>
      <c r="O224" s="11" t="s">
        <v>77</v>
      </c>
      <c r="P224" s="11" t="s">
        <v>94</v>
      </c>
      <c r="Q224" s="50" t="s">
        <v>119</v>
      </c>
      <c r="R224" s="65">
        <v>17</v>
      </c>
      <c r="S224" s="70">
        <v>20.399999999999999</v>
      </c>
      <c r="T224" s="70">
        <v>6.2</v>
      </c>
      <c r="U224" s="65">
        <v>17</v>
      </c>
      <c r="V224" s="65">
        <v>23.31</v>
      </c>
      <c r="W224" s="82">
        <v>4.63</v>
      </c>
      <c r="X224" s="130">
        <f t="shared" si="38"/>
        <v>2.91</v>
      </c>
      <c r="Y224" s="16">
        <f t="shared" si="41"/>
        <v>1.3540983542347198</v>
      </c>
      <c r="Z224" s="15">
        <f t="shared" si="42"/>
        <v>4.0399999999999991</v>
      </c>
      <c r="AA224" s="16">
        <f t="shared" si="43"/>
        <v>29.465747058823528</v>
      </c>
      <c r="AB224" s="16">
        <f t="shared" si="44"/>
        <v>1.8122108131572288</v>
      </c>
      <c r="AC224" s="66" t="s">
        <v>49</v>
      </c>
      <c r="AD224" s="51" t="s">
        <v>264</v>
      </c>
      <c r="AE224" s="13">
        <v>12</v>
      </c>
      <c r="AF224" s="13">
        <v>5</v>
      </c>
      <c r="AG224" s="13">
        <v>45</v>
      </c>
      <c r="AH224" s="13" t="s">
        <v>238</v>
      </c>
      <c r="AI224" s="13">
        <v>3.9</v>
      </c>
      <c r="AJ224" s="135">
        <f>AI224*AG224</f>
        <v>175.5</v>
      </c>
      <c r="AK224" s="136">
        <f t="shared" si="40"/>
        <v>877.5</v>
      </c>
      <c r="AL224" s="136" t="str" cm="1">
        <f t="array" ref="AL224">_xlfn.IFS(
AI224&lt;3,"Ligera",
AI224&lt;=6,"Moderada",
AI224&gt;6,"Vigorosa"
)</f>
        <v>Moderada</v>
      </c>
      <c r="AM224" s="45" t="s">
        <v>48</v>
      </c>
      <c r="AN224" s="46" t="s">
        <v>60</v>
      </c>
      <c r="AO224" s="46" t="s">
        <v>255</v>
      </c>
      <c r="AP224" s="289" t="s">
        <v>62</v>
      </c>
      <c r="AQ224" s="139">
        <v>0</v>
      </c>
      <c r="AS224" s="291" t="s">
        <v>263</v>
      </c>
    </row>
    <row r="225" spans="1:45" ht="70.5" customHeight="1" thickBot="1">
      <c r="A225" s="138" t="s">
        <v>260</v>
      </c>
      <c r="B225" s="12">
        <v>44</v>
      </c>
      <c r="C225" s="12">
        <v>86.2</v>
      </c>
      <c r="D225" s="12">
        <v>26.32</v>
      </c>
      <c r="E225" s="12" t="s">
        <v>97</v>
      </c>
      <c r="F225" s="12" t="s">
        <v>97</v>
      </c>
      <c r="G225" s="12" t="s">
        <v>46</v>
      </c>
      <c r="H225" s="12"/>
      <c r="I225" s="12" t="s">
        <v>45</v>
      </c>
      <c r="J225" s="12" t="s">
        <v>47</v>
      </c>
      <c r="K225" s="12" t="s">
        <v>49</v>
      </c>
      <c r="L225" s="12" t="s">
        <v>49</v>
      </c>
      <c r="M225" s="11" t="s">
        <v>50</v>
      </c>
      <c r="N225" s="11" t="s">
        <v>50</v>
      </c>
      <c r="O225" s="11" t="s">
        <v>50</v>
      </c>
      <c r="P225" s="11" t="s">
        <v>51</v>
      </c>
      <c r="Q225" s="50" t="s">
        <v>189</v>
      </c>
      <c r="R225" s="65">
        <v>19</v>
      </c>
      <c r="S225" s="70">
        <v>17</v>
      </c>
      <c r="T225" s="79" t="s">
        <v>267</v>
      </c>
      <c r="U225" s="65">
        <v>19</v>
      </c>
      <c r="V225" s="65">
        <v>15.88</v>
      </c>
      <c r="W225" s="82">
        <v>7.86</v>
      </c>
      <c r="X225" s="130">
        <f t="shared" si="38"/>
        <v>-1.1199999999999992</v>
      </c>
      <c r="Y225" s="16">
        <f t="shared" si="41"/>
        <v>2.2350744718547615</v>
      </c>
      <c r="Z225" s="286" t="s">
        <v>53</v>
      </c>
      <c r="AA225" s="287" t="s">
        <v>53</v>
      </c>
      <c r="AB225" s="16">
        <v>2.2350744718547615</v>
      </c>
      <c r="AC225" s="66" t="s">
        <v>49</v>
      </c>
      <c r="AD225" s="51" t="s">
        <v>262</v>
      </c>
      <c r="AE225" s="13">
        <v>12</v>
      </c>
      <c r="AF225" s="13">
        <v>0</v>
      </c>
      <c r="AG225" s="13">
        <v>0</v>
      </c>
      <c r="AH225" s="134">
        <v>0</v>
      </c>
      <c r="AI225" s="134">
        <v>0</v>
      </c>
      <c r="AJ225" s="135">
        <f t="shared" si="39"/>
        <v>0</v>
      </c>
      <c r="AK225" s="136">
        <f t="shared" si="40"/>
        <v>0</v>
      </c>
      <c r="AL225" s="136" t="str" cm="1">
        <f t="array" ref="AL225">_xlfn.IFS(
AI225&lt;3,"Ligera",
AI225&lt;=6,"Moderada",
AI225&gt;6,"Vigorosa"
)</f>
        <v>Ligera</v>
      </c>
      <c r="AM225" s="45" t="s">
        <v>49</v>
      </c>
      <c r="AN225" s="46" t="s">
        <v>49</v>
      </c>
      <c r="AO225" s="46" t="s">
        <v>49</v>
      </c>
      <c r="AP225" s="289" t="s">
        <v>49</v>
      </c>
      <c r="AQ225" s="139">
        <v>0</v>
      </c>
      <c r="AS225" s="291" t="s">
        <v>263</v>
      </c>
    </row>
    <row r="226" spans="1:45" ht="70.5" customHeight="1" thickBot="1">
      <c r="A226" s="138" t="s">
        <v>260</v>
      </c>
      <c r="B226" s="12">
        <v>44</v>
      </c>
      <c r="C226" s="12">
        <v>78.2</v>
      </c>
      <c r="D226" s="12">
        <v>29.41</v>
      </c>
      <c r="E226" s="12" t="s">
        <v>97</v>
      </c>
      <c r="F226" s="12" t="s">
        <v>97</v>
      </c>
      <c r="G226" s="12" t="s">
        <v>46</v>
      </c>
      <c r="H226" s="12"/>
      <c r="I226" s="12" t="s">
        <v>45</v>
      </c>
      <c r="J226" s="12" t="s">
        <v>47</v>
      </c>
      <c r="K226" s="12" t="s">
        <v>49</v>
      </c>
      <c r="L226" s="12" t="s">
        <v>49</v>
      </c>
      <c r="M226" s="11" t="s">
        <v>56</v>
      </c>
      <c r="N226" s="11" t="s">
        <v>76</v>
      </c>
      <c r="O226" s="11" t="s">
        <v>77</v>
      </c>
      <c r="P226" s="11" t="s">
        <v>51</v>
      </c>
      <c r="Q226" s="50" t="s">
        <v>189</v>
      </c>
      <c r="R226" s="65">
        <v>17</v>
      </c>
      <c r="S226" s="70">
        <v>20</v>
      </c>
      <c r="T226" s="70">
        <v>8.8000000000000007</v>
      </c>
      <c r="U226" s="65">
        <v>17</v>
      </c>
      <c r="V226" s="65">
        <v>21.15</v>
      </c>
      <c r="W226" s="82">
        <v>6.42</v>
      </c>
      <c r="X226" s="130">
        <f t="shared" si="38"/>
        <v>1.1499999999999986</v>
      </c>
      <c r="Y226" s="16">
        <f t="shared" si="41"/>
        <v>1.9121961504111076</v>
      </c>
      <c r="Z226" s="15">
        <f t="shared" si="42"/>
        <v>2.2699999999999978</v>
      </c>
      <c r="AA226" s="16">
        <f t="shared" si="43"/>
        <v>52.102799999999995</v>
      </c>
      <c r="AB226" s="16">
        <f t="shared" si="44"/>
        <v>2.4097973399882076</v>
      </c>
      <c r="AC226" s="66" t="s">
        <v>49</v>
      </c>
      <c r="AD226" s="51" t="s">
        <v>265</v>
      </c>
      <c r="AE226" s="13">
        <v>12</v>
      </c>
      <c r="AF226" s="13">
        <v>5</v>
      </c>
      <c r="AG226" s="13">
        <v>45</v>
      </c>
      <c r="AH226" s="13" t="s">
        <v>238</v>
      </c>
      <c r="AI226" s="13">
        <v>3.9</v>
      </c>
      <c r="AJ226" s="135">
        <f t="shared" si="39"/>
        <v>175.5</v>
      </c>
      <c r="AK226" s="136">
        <f t="shared" si="40"/>
        <v>877.5</v>
      </c>
      <c r="AL226" s="136" t="str" cm="1">
        <f t="array" ref="AL226">_xlfn.IFS(
AI226&lt;3,"Ligera",
AI226&lt;=6,"Moderada",
AI226&gt;6,"Vigorosa"
)</f>
        <v>Moderada</v>
      </c>
      <c r="AM226" s="45" t="s">
        <v>48</v>
      </c>
      <c r="AN226" s="46" t="s">
        <v>60</v>
      </c>
      <c r="AO226" s="46" t="s">
        <v>255</v>
      </c>
      <c r="AP226" s="289" t="s">
        <v>62</v>
      </c>
      <c r="AQ226" s="139">
        <v>0</v>
      </c>
      <c r="AS226" s="291" t="s">
        <v>263</v>
      </c>
    </row>
    <row r="227" spans="1:45" ht="70.5" customHeight="1" thickBot="1">
      <c r="A227" s="138" t="s">
        <v>260</v>
      </c>
      <c r="B227" s="12">
        <v>44</v>
      </c>
      <c r="C227" s="12">
        <v>86.2</v>
      </c>
      <c r="D227" s="12">
        <v>26.32</v>
      </c>
      <c r="E227" s="12" t="s">
        <v>97</v>
      </c>
      <c r="F227" s="12" t="s">
        <v>97</v>
      </c>
      <c r="G227" s="12" t="s">
        <v>46</v>
      </c>
      <c r="H227" s="12"/>
      <c r="I227" s="12" t="s">
        <v>45</v>
      </c>
      <c r="J227" s="12" t="s">
        <v>47</v>
      </c>
      <c r="K227" s="12" t="s">
        <v>49</v>
      </c>
      <c r="L227" s="12" t="s">
        <v>49</v>
      </c>
      <c r="M227" s="11" t="s">
        <v>50</v>
      </c>
      <c r="N227" s="11" t="s">
        <v>50</v>
      </c>
      <c r="O227" s="11" t="s">
        <v>50</v>
      </c>
      <c r="P227" s="11" t="s">
        <v>51</v>
      </c>
      <c r="Q227" s="50" t="s">
        <v>91</v>
      </c>
      <c r="R227" s="65">
        <v>19</v>
      </c>
      <c r="S227" s="70">
        <v>6.9</v>
      </c>
      <c r="T227" s="79" t="s">
        <v>268</v>
      </c>
      <c r="U227" s="65">
        <v>19</v>
      </c>
      <c r="V227" s="65">
        <v>7.15</v>
      </c>
      <c r="W227" s="82">
        <v>2.5499999999999998</v>
      </c>
      <c r="X227" s="130">
        <f t="shared" si="38"/>
        <v>0.25</v>
      </c>
      <c r="Y227" s="16">
        <f t="shared" si="41"/>
        <v>0.61569387472056347</v>
      </c>
      <c r="Z227" s="286" t="s">
        <v>53</v>
      </c>
      <c r="AA227" s="287" t="s">
        <v>53</v>
      </c>
      <c r="AB227" s="16">
        <v>0.61569387472056347</v>
      </c>
      <c r="AC227" s="66" t="s">
        <v>49</v>
      </c>
      <c r="AD227" s="51" t="s">
        <v>262</v>
      </c>
      <c r="AE227" s="13">
        <v>12</v>
      </c>
      <c r="AF227" s="13">
        <v>0</v>
      </c>
      <c r="AG227" s="13">
        <v>0</v>
      </c>
      <c r="AH227" s="134">
        <v>0</v>
      </c>
      <c r="AI227" s="134">
        <v>0</v>
      </c>
      <c r="AJ227" s="135">
        <f t="shared" si="39"/>
        <v>0</v>
      </c>
      <c r="AK227" s="136">
        <f t="shared" si="40"/>
        <v>0</v>
      </c>
      <c r="AL227" s="136" t="str" cm="1">
        <f t="array" ref="AL227">_xlfn.IFS(
AI227&lt;3,"Ligera",
AI227&lt;=6,"Moderada",
AI227&gt;6,"Vigorosa"
)</f>
        <v>Ligera</v>
      </c>
      <c r="AM227" s="45" t="s">
        <v>49</v>
      </c>
      <c r="AN227" s="46" t="s">
        <v>49</v>
      </c>
      <c r="AO227" s="46" t="s">
        <v>49</v>
      </c>
      <c r="AP227" s="289" t="s">
        <v>49</v>
      </c>
      <c r="AQ227" s="139">
        <v>0</v>
      </c>
      <c r="AS227" s="291" t="s">
        <v>263</v>
      </c>
    </row>
    <row r="228" spans="1:45" ht="70.5" customHeight="1" thickBot="1">
      <c r="A228" s="138" t="s">
        <v>260</v>
      </c>
      <c r="B228" s="12">
        <v>44</v>
      </c>
      <c r="C228" s="12">
        <v>78.2</v>
      </c>
      <c r="D228" s="12">
        <v>29.41</v>
      </c>
      <c r="E228" s="12" t="s">
        <v>97</v>
      </c>
      <c r="F228" s="12" t="s">
        <v>97</v>
      </c>
      <c r="G228" s="12" t="s">
        <v>46</v>
      </c>
      <c r="H228" s="12"/>
      <c r="I228" s="12" t="s">
        <v>45</v>
      </c>
      <c r="J228" s="12" t="s">
        <v>47</v>
      </c>
      <c r="K228" s="12" t="s">
        <v>49</v>
      </c>
      <c r="L228" s="12" t="s">
        <v>49</v>
      </c>
      <c r="M228" s="11" t="s">
        <v>56</v>
      </c>
      <c r="N228" s="11" t="s">
        <v>76</v>
      </c>
      <c r="O228" s="11" t="s">
        <v>77</v>
      </c>
      <c r="P228" s="11" t="s">
        <v>51</v>
      </c>
      <c r="Q228" s="50" t="s">
        <v>91</v>
      </c>
      <c r="R228" s="65">
        <v>17</v>
      </c>
      <c r="S228" s="70">
        <v>6.5</v>
      </c>
      <c r="T228" s="70">
        <v>3.8</v>
      </c>
      <c r="U228" s="65">
        <v>17</v>
      </c>
      <c r="V228" s="65">
        <v>9.4700000000000006</v>
      </c>
      <c r="W228" s="82">
        <v>3.05</v>
      </c>
      <c r="X228" s="130">
        <f t="shared" si="38"/>
        <v>2.9700000000000006</v>
      </c>
      <c r="Y228" s="16">
        <f t="shared" si="41"/>
        <v>0.84548976408734289</v>
      </c>
      <c r="Z228" s="15">
        <f t="shared" si="42"/>
        <v>2.7200000000000006</v>
      </c>
      <c r="AA228" s="16">
        <f t="shared" si="43"/>
        <v>7.8201470588235296</v>
      </c>
      <c r="AB228" s="16">
        <f t="shared" si="44"/>
        <v>0.93359270446246134</v>
      </c>
      <c r="AC228" s="66" t="s">
        <v>49</v>
      </c>
      <c r="AD228" s="51" t="s">
        <v>265</v>
      </c>
      <c r="AE228" s="13">
        <v>12</v>
      </c>
      <c r="AF228" s="13">
        <v>5</v>
      </c>
      <c r="AG228" s="13">
        <v>45</v>
      </c>
      <c r="AH228" s="13" t="s">
        <v>238</v>
      </c>
      <c r="AI228" s="13">
        <v>3.9</v>
      </c>
      <c r="AJ228" s="135">
        <f t="shared" si="39"/>
        <v>175.5</v>
      </c>
      <c r="AK228" s="136">
        <f t="shared" si="40"/>
        <v>877.5</v>
      </c>
      <c r="AL228" s="136" t="str" cm="1">
        <f t="array" ref="AL228">_xlfn.IFS(
AI228&lt;3,"Ligera",
AI228&lt;=6,"Moderada",
AI228&gt;6,"Vigorosa"
)</f>
        <v>Moderada</v>
      </c>
      <c r="AM228" s="45" t="s">
        <v>48</v>
      </c>
      <c r="AN228" s="46" t="s">
        <v>60</v>
      </c>
      <c r="AO228" s="46" t="s">
        <v>255</v>
      </c>
      <c r="AP228" s="289" t="s">
        <v>62</v>
      </c>
      <c r="AQ228" s="139">
        <v>0</v>
      </c>
      <c r="AS228" s="291" t="s">
        <v>263</v>
      </c>
    </row>
    <row r="229" spans="1:45" ht="70.5" customHeight="1" thickBot="1">
      <c r="A229" s="138" t="s">
        <v>260</v>
      </c>
      <c r="B229" s="12">
        <v>44</v>
      </c>
      <c r="C229" s="12">
        <v>86.2</v>
      </c>
      <c r="D229" s="12">
        <v>26.32</v>
      </c>
      <c r="E229" s="12" t="s">
        <v>97</v>
      </c>
      <c r="F229" s="12" t="s">
        <v>97</v>
      </c>
      <c r="G229" s="12" t="s">
        <v>46</v>
      </c>
      <c r="H229" s="12"/>
      <c r="I229" s="12" t="s">
        <v>45</v>
      </c>
      <c r="J229" s="12" t="s">
        <v>47</v>
      </c>
      <c r="K229" s="12" t="s">
        <v>49</v>
      </c>
      <c r="L229" s="12" t="s">
        <v>49</v>
      </c>
      <c r="M229" s="11" t="s">
        <v>50</v>
      </c>
      <c r="N229" s="11" t="s">
        <v>50</v>
      </c>
      <c r="O229" s="11" t="s">
        <v>50</v>
      </c>
      <c r="P229" s="11" t="s">
        <v>51</v>
      </c>
      <c r="Q229" s="50" t="s">
        <v>85</v>
      </c>
      <c r="R229" s="65">
        <v>19</v>
      </c>
      <c r="S229" s="70">
        <v>0.57999999999999996</v>
      </c>
      <c r="T229" s="79" t="s">
        <v>269</v>
      </c>
      <c r="U229" s="65">
        <v>19</v>
      </c>
      <c r="V229" s="65">
        <v>0.62</v>
      </c>
      <c r="W229" s="82">
        <v>0.26</v>
      </c>
      <c r="X229" s="130">
        <f t="shared" si="38"/>
        <v>4.0000000000000036E-2</v>
      </c>
      <c r="Y229" s="16">
        <f t="shared" si="41"/>
        <v>5.3459281110412489E-2</v>
      </c>
      <c r="Z229" s="286" t="s">
        <v>53</v>
      </c>
      <c r="AA229" s="287" t="s">
        <v>53</v>
      </c>
      <c r="AB229" s="16">
        <v>5.3459281110412489E-2</v>
      </c>
      <c r="AC229" s="66" t="s">
        <v>49</v>
      </c>
      <c r="AD229" s="51" t="s">
        <v>262</v>
      </c>
      <c r="AE229" s="13">
        <v>12</v>
      </c>
      <c r="AF229" s="13">
        <v>0</v>
      </c>
      <c r="AG229" s="13">
        <v>0</v>
      </c>
      <c r="AH229" s="134">
        <v>0</v>
      </c>
      <c r="AI229" s="134">
        <v>0</v>
      </c>
      <c r="AJ229" s="135">
        <f t="shared" si="39"/>
        <v>0</v>
      </c>
      <c r="AK229" s="136">
        <f t="shared" si="40"/>
        <v>0</v>
      </c>
      <c r="AL229" s="136" t="str" cm="1">
        <f t="array" ref="AL229">_xlfn.IFS(
AI229&lt;3,"Ligera",
AI229&lt;=6,"Moderada",
AI229&gt;6,"Vigorosa"
)</f>
        <v>Ligera</v>
      </c>
      <c r="AM229" s="45" t="s">
        <v>49</v>
      </c>
      <c r="AN229" s="46" t="s">
        <v>49</v>
      </c>
      <c r="AO229" s="46" t="s">
        <v>49</v>
      </c>
      <c r="AP229" s="289" t="s">
        <v>49</v>
      </c>
      <c r="AQ229" s="139">
        <v>0</v>
      </c>
      <c r="AS229" s="291" t="s">
        <v>263</v>
      </c>
    </row>
    <row r="230" spans="1:45" ht="70.5" customHeight="1" thickBot="1">
      <c r="A230" s="138" t="s">
        <v>260</v>
      </c>
      <c r="B230" s="12">
        <v>44</v>
      </c>
      <c r="C230" s="12">
        <v>78.2</v>
      </c>
      <c r="D230" s="12">
        <v>29.41</v>
      </c>
      <c r="E230" s="12" t="s">
        <v>97</v>
      </c>
      <c r="F230" s="12" t="s">
        <v>97</v>
      </c>
      <c r="G230" s="12" t="s">
        <v>46</v>
      </c>
      <c r="H230" s="12"/>
      <c r="I230" s="12" t="s">
        <v>45</v>
      </c>
      <c r="J230" s="12" t="s">
        <v>47</v>
      </c>
      <c r="K230" s="12" t="s">
        <v>49</v>
      </c>
      <c r="L230" s="12" t="s">
        <v>49</v>
      </c>
      <c r="M230" s="11" t="s">
        <v>56</v>
      </c>
      <c r="N230" s="11" t="s">
        <v>76</v>
      </c>
      <c r="O230" s="11" t="s">
        <v>77</v>
      </c>
      <c r="P230" s="11" t="s">
        <v>51</v>
      </c>
      <c r="Q230" s="50" t="s">
        <v>85</v>
      </c>
      <c r="R230" s="65">
        <v>17</v>
      </c>
      <c r="S230" s="70">
        <v>0.68</v>
      </c>
      <c r="T230" s="70">
        <v>0.27</v>
      </c>
      <c r="U230" s="65">
        <v>17</v>
      </c>
      <c r="V230" s="65">
        <v>0.88</v>
      </c>
      <c r="W230" s="82">
        <v>0.26</v>
      </c>
      <c r="X230" s="130">
        <f t="shared" si="38"/>
        <v>0.19999999999999996</v>
      </c>
      <c r="Y230" s="16">
        <f t="shared" si="41"/>
        <v>6.43062525548415E-2</v>
      </c>
      <c r="Z230" s="15">
        <f t="shared" si="42"/>
        <v>0.15999999999999992</v>
      </c>
      <c r="AA230" s="16">
        <f t="shared" si="43"/>
        <v>6.7599999999999993E-2</v>
      </c>
      <c r="AB230" s="16">
        <f t="shared" si="44"/>
        <v>8.6800721915646528E-2</v>
      </c>
      <c r="AC230" s="66" t="s">
        <v>49</v>
      </c>
      <c r="AD230" s="51" t="s">
        <v>265</v>
      </c>
      <c r="AE230" s="13">
        <v>12</v>
      </c>
      <c r="AF230" s="13">
        <v>5</v>
      </c>
      <c r="AG230" s="13">
        <v>45</v>
      </c>
      <c r="AH230" s="13" t="s">
        <v>238</v>
      </c>
      <c r="AI230" s="13">
        <v>3.9</v>
      </c>
      <c r="AJ230" s="135">
        <f t="shared" si="39"/>
        <v>175.5</v>
      </c>
      <c r="AK230" s="136">
        <f t="shared" si="40"/>
        <v>877.5</v>
      </c>
      <c r="AL230" s="136" t="str" cm="1">
        <f t="array" ref="AL230">_xlfn.IFS(
AI230&lt;3,"Ligera",
AI230&lt;=6,"Moderada",
AI230&gt;6,"Vigorosa"
)</f>
        <v>Moderada</v>
      </c>
      <c r="AM230" s="45" t="s">
        <v>48</v>
      </c>
      <c r="AN230" s="46" t="s">
        <v>60</v>
      </c>
      <c r="AO230" s="46" t="s">
        <v>255</v>
      </c>
      <c r="AP230" s="289" t="s">
        <v>62</v>
      </c>
      <c r="AQ230" s="139">
        <v>0</v>
      </c>
      <c r="AS230" s="291" t="s">
        <v>263</v>
      </c>
    </row>
    <row r="231" spans="1:45" ht="70.5" customHeight="1" thickBot="1">
      <c r="A231" s="138" t="s">
        <v>260</v>
      </c>
      <c r="B231" s="12">
        <v>44</v>
      </c>
      <c r="C231" s="12">
        <v>86.2</v>
      </c>
      <c r="D231" s="12">
        <v>26.32</v>
      </c>
      <c r="E231" s="12" t="s">
        <v>97</v>
      </c>
      <c r="F231" s="12" t="s">
        <v>97</v>
      </c>
      <c r="G231" s="12" t="s">
        <v>46</v>
      </c>
      <c r="H231" s="12"/>
      <c r="I231" s="12" t="s">
        <v>45</v>
      </c>
      <c r="J231" s="12" t="s">
        <v>47</v>
      </c>
      <c r="K231" s="12" t="s">
        <v>49</v>
      </c>
      <c r="L231" s="12" t="s">
        <v>49</v>
      </c>
      <c r="M231" s="11" t="s">
        <v>50</v>
      </c>
      <c r="N231" s="11" t="s">
        <v>50</v>
      </c>
      <c r="O231" s="11" t="s">
        <v>50</v>
      </c>
      <c r="P231" s="11" t="s">
        <v>51</v>
      </c>
      <c r="Q231" s="50" t="s">
        <v>149</v>
      </c>
      <c r="R231" s="65">
        <v>19</v>
      </c>
      <c r="S231" s="70">
        <v>13.31</v>
      </c>
      <c r="T231" s="79" t="s">
        <v>270</v>
      </c>
      <c r="U231" s="65">
        <v>19</v>
      </c>
      <c r="V231" s="65">
        <v>12.89</v>
      </c>
      <c r="W231" s="82">
        <v>6.58</v>
      </c>
      <c r="X231" s="130">
        <f t="shared" si="38"/>
        <v>-0.41999999999999993</v>
      </c>
      <c r="Y231" s="16">
        <f t="shared" si="41"/>
        <v>1.4322378514610949</v>
      </c>
      <c r="Z231" s="286" t="s">
        <v>53</v>
      </c>
      <c r="AA231" s="287" t="s">
        <v>53</v>
      </c>
      <c r="AB231" s="16">
        <v>1.4322378514610949</v>
      </c>
      <c r="AC231" s="66" t="s">
        <v>48</v>
      </c>
      <c r="AD231" s="51" t="s">
        <v>262</v>
      </c>
      <c r="AE231" s="13">
        <v>12</v>
      </c>
      <c r="AF231" s="13">
        <v>0</v>
      </c>
      <c r="AG231" s="13">
        <v>0</v>
      </c>
      <c r="AH231" s="134">
        <v>0</v>
      </c>
      <c r="AI231" s="134">
        <v>0</v>
      </c>
      <c r="AJ231" s="135">
        <f t="shared" si="39"/>
        <v>0</v>
      </c>
      <c r="AK231" s="136">
        <f t="shared" si="40"/>
        <v>0</v>
      </c>
      <c r="AL231" s="136" t="str" cm="1">
        <f t="array" ref="AL231">_xlfn.IFS(
AI231&lt;3,"Ligera",
AI231&lt;=6,"Moderada",
AI231&gt;6,"Vigorosa"
)</f>
        <v>Ligera</v>
      </c>
      <c r="AM231" s="45" t="s">
        <v>49</v>
      </c>
      <c r="AN231" s="46" t="s">
        <v>49</v>
      </c>
      <c r="AO231" s="46" t="s">
        <v>49</v>
      </c>
      <c r="AP231" s="289" t="s">
        <v>49</v>
      </c>
      <c r="AQ231" s="139">
        <v>0</v>
      </c>
      <c r="AS231" s="291" t="s">
        <v>263</v>
      </c>
    </row>
    <row r="232" spans="1:45" ht="70.5" customHeight="1" thickBot="1">
      <c r="A232" s="140" t="s">
        <v>260</v>
      </c>
      <c r="B232" s="141">
        <v>44</v>
      </c>
      <c r="C232" s="141">
        <v>78.2</v>
      </c>
      <c r="D232" s="141">
        <v>29.41</v>
      </c>
      <c r="E232" s="141" t="s">
        <v>97</v>
      </c>
      <c r="F232" s="141" t="s">
        <v>97</v>
      </c>
      <c r="G232" s="141" t="s">
        <v>46</v>
      </c>
      <c r="H232" s="141"/>
      <c r="I232" s="141" t="s">
        <v>45</v>
      </c>
      <c r="J232" s="141" t="s">
        <v>47</v>
      </c>
      <c r="K232" s="141" t="s">
        <v>49</v>
      </c>
      <c r="L232" s="141" t="s">
        <v>49</v>
      </c>
      <c r="M232" s="142" t="s">
        <v>56</v>
      </c>
      <c r="N232" s="142" t="s">
        <v>76</v>
      </c>
      <c r="O232" s="142" t="s">
        <v>77</v>
      </c>
      <c r="P232" s="142" t="s">
        <v>51</v>
      </c>
      <c r="Q232" s="158" t="s">
        <v>149</v>
      </c>
      <c r="R232" s="144">
        <v>17</v>
      </c>
      <c r="S232" s="162">
        <v>15.8</v>
      </c>
      <c r="T232" s="162">
        <v>5.9</v>
      </c>
      <c r="U232" s="144">
        <v>17</v>
      </c>
      <c r="V232" s="144">
        <v>10.89</v>
      </c>
      <c r="W232" s="189">
        <v>6.07</v>
      </c>
      <c r="X232" s="130">
        <f t="shared" si="38"/>
        <v>-4.91</v>
      </c>
      <c r="Y232" s="16">
        <f t="shared" si="41"/>
        <v>1.4520148273428646</v>
      </c>
      <c r="Z232" s="15">
        <f t="shared" si="42"/>
        <v>-4.49</v>
      </c>
      <c r="AA232" s="16">
        <f t="shared" si="43"/>
        <v>40.260399999999997</v>
      </c>
      <c r="AB232" s="16">
        <f t="shared" si="44"/>
        <v>2.118307636907832</v>
      </c>
      <c r="AC232" s="66" t="s">
        <v>48</v>
      </c>
      <c r="AD232" s="151" t="s">
        <v>265</v>
      </c>
      <c r="AE232" s="146">
        <v>12</v>
      </c>
      <c r="AF232" s="146">
        <v>5</v>
      </c>
      <c r="AG232" s="146">
        <v>45</v>
      </c>
      <c r="AH232" s="13" t="s">
        <v>238</v>
      </c>
      <c r="AI232" s="13">
        <v>3.9</v>
      </c>
      <c r="AJ232" s="135">
        <f t="shared" si="39"/>
        <v>175.5</v>
      </c>
      <c r="AK232" s="136">
        <f t="shared" si="40"/>
        <v>877.5</v>
      </c>
      <c r="AL232" s="136" t="str" cm="1">
        <f t="array" ref="AL232">_xlfn.IFS(
AI232&lt;3,"Ligera",
AI232&lt;=6,"Moderada",
AI232&gt;6,"Vigorosa"
)</f>
        <v>Moderada</v>
      </c>
      <c r="AM232" s="147" t="s">
        <v>48</v>
      </c>
      <c r="AN232" s="148" t="s">
        <v>60</v>
      </c>
      <c r="AO232" s="148" t="s">
        <v>255</v>
      </c>
      <c r="AP232" s="290" t="s">
        <v>62</v>
      </c>
      <c r="AQ232" s="149">
        <v>0</v>
      </c>
      <c r="AS232" s="291" t="s">
        <v>263</v>
      </c>
    </row>
    <row r="233" spans="1:45" ht="71.25" customHeight="1" thickBot="1">
      <c r="A233" s="138" t="s">
        <v>271</v>
      </c>
      <c r="B233" s="12">
        <v>34</v>
      </c>
      <c r="C233" s="12">
        <v>86.19</v>
      </c>
      <c r="D233" s="12">
        <v>25</v>
      </c>
      <c r="E233" s="12" t="s">
        <v>45</v>
      </c>
      <c r="F233" s="12" t="s">
        <v>45</v>
      </c>
      <c r="G233" s="12" t="s">
        <v>46</v>
      </c>
      <c r="H233" s="12"/>
      <c r="I233" s="12" t="s">
        <v>45</v>
      </c>
      <c r="J233" s="12" t="s">
        <v>47</v>
      </c>
      <c r="K233" s="12" t="s">
        <v>49</v>
      </c>
      <c r="L233" s="12" t="s">
        <v>49</v>
      </c>
      <c r="M233" s="11" t="s">
        <v>50</v>
      </c>
      <c r="N233" s="11" t="s">
        <v>50</v>
      </c>
      <c r="O233" s="11" t="s">
        <v>50</v>
      </c>
      <c r="P233" s="11" t="s">
        <v>51</v>
      </c>
      <c r="Q233" s="50" t="s">
        <v>210</v>
      </c>
      <c r="R233" s="75">
        <v>16</v>
      </c>
      <c r="S233" s="82">
        <v>1.304</v>
      </c>
      <c r="T233" s="82">
        <v>0.39</v>
      </c>
      <c r="U233" s="75">
        <v>16</v>
      </c>
      <c r="V233" s="190">
        <v>1.097</v>
      </c>
      <c r="W233" s="82">
        <v>0.34200000000000003</v>
      </c>
      <c r="X233" s="130">
        <f t="shared" si="38"/>
        <v>-0.20700000000000007</v>
      </c>
      <c r="Y233" s="16">
        <f t="shared" si="41"/>
        <v>9.2088272869024962E-2</v>
      </c>
      <c r="Z233" s="286" t="s">
        <v>53</v>
      </c>
      <c r="AA233" s="287" t="s">
        <v>53</v>
      </c>
      <c r="AB233" s="16">
        <v>9.2088272869024962E-2</v>
      </c>
      <c r="AC233" s="66" t="s">
        <v>49</v>
      </c>
      <c r="AD233" s="51" t="s">
        <v>272</v>
      </c>
      <c r="AE233" s="13">
        <v>12</v>
      </c>
      <c r="AF233" s="13">
        <v>0</v>
      </c>
      <c r="AG233" s="13">
        <v>0</v>
      </c>
      <c r="AH233" s="134">
        <v>0</v>
      </c>
      <c r="AI233" s="134">
        <v>0</v>
      </c>
      <c r="AJ233" s="135">
        <f t="shared" si="39"/>
        <v>0</v>
      </c>
      <c r="AK233" s="136">
        <f t="shared" si="40"/>
        <v>0</v>
      </c>
      <c r="AL233" s="136" t="str" cm="1">
        <f t="array" ref="AL233">_xlfn.IFS(
AI233&lt;3,"Ligera",
AI233&lt;=6,"Moderada",
AI233&gt;6,"Vigorosa"
)</f>
        <v>Ligera</v>
      </c>
      <c r="AM233" s="45" t="s">
        <v>49</v>
      </c>
      <c r="AN233" s="46" t="s">
        <v>49</v>
      </c>
      <c r="AO233" s="46" t="s">
        <v>49</v>
      </c>
      <c r="AP233" s="289" t="s">
        <v>49</v>
      </c>
      <c r="AQ233" s="139">
        <v>0</v>
      </c>
      <c r="AS233" s="291" t="s">
        <v>275</v>
      </c>
    </row>
    <row r="234" spans="1:45" ht="76.5" customHeight="1" thickBot="1">
      <c r="A234" s="138" t="s">
        <v>271</v>
      </c>
      <c r="B234" s="12">
        <v>34</v>
      </c>
      <c r="C234" s="12">
        <v>85.78</v>
      </c>
      <c r="D234" s="12">
        <v>27.78</v>
      </c>
      <c r="E234" s="12" t="s">
        <v>45</v>
      </c>
      <c r="F234" s="12" t="s">
        <v>45</v>
      </c>
      <c r="G234" s="12" t="s">
        <v>46</v>
      </c>
      <c r="H234" s="12"/>
      <c r="I234" s="12" t="s">
        <v>45</v>
      </c>
      <c r="J234" s="12" t="s">
        <v>47</v>
      </c>
      <c r="K234" s="12" t="s">
        <v>49</v>
      </c>
      <c r="L234" s="12" t="s">
        <v>49</v>
      </c>
      <c r="M234" s="11" t="s">
        <v>56</v>
      </c>
      <c r="N234" s="11" t="s">
        <v>76</v>
      </c>
      <c r="O234" s="11" t="s">
        <v>100</v>
      </c>
      <c r="P234" s="11" t="s">
        <v>51</v>
      </c>
      <c r="Q234" s="50" t="s">
        <v>210</v>
      </c>
      <c r="R234" s="75">
        <v>18</v>
      </c>
      <c r="S234" s="82">
        <v>1.236</v>
      </c>
      <c r="T234" s="82">
        <v>0.52300000000000002</v>
      </c>
      <c r="U234" s="75">
        <v>18</v>
      </c>
      <c r="V234" s="190">
        <v>1.355</v>
      </c>
      <c r="W234" s="82">
        <v>0.40699999999999997</v>
      </c>
      <c r="X234" s="130">
        <f t="shared" si="38"/>
        <v>0.11899999999999999</v>
      </c>
      <c r="Y234" s="16">
        <f t="shared" si="41"/>
        <v>0.11213013273276132</v>
      </c>
      <c r="Z234" s="15">
        <f t="shared" si="42"/>
        <v>0.32600000000000007</v>
      </c>
      <c r="AA234" s="16">
        <f t="shared" si="43"/>
        <v>0.14282790625</v>
      </c>
      <c r="AB234" s="16">
        <f t="shared" si="44"/>
        <v>0.1298523308269072</v>
      </c>
      <c r="AC234" s="66" t="s">
        <v>49</v>
      </c>
      <c r="AD234" s="51" t="s">
        <v>273</v>
      </c>
      <c r="AE234" s="13">
        <v>12</v>
      </c>
      <c r="AF234" s="13">
        <v>2</v>
      </c>
      <c r="AG234" s="13">
        <v>45</v>
      </c>
      <c r="AH234" s="13" t="s">
        <v>274</v>
      </c>
      <c r="AI234" s="13">
        <v>3.47</v>
      </c>
      <c r="AJ234" s="135">
        <v>124.25</v>
      </c>
      <c r="AK234" s="136">
        <f t="shared" si="40"/>
        <v>248.5</v>
      </c>
      <c r="AL234" s="136" t="str" cm="1">
        <f t="array" ref="AL234">_xlfn.IFS(
AI234&lt;3,"Ligera",
AI234&lt;=6,"Moderada",
AI234&gt;6,"Vigorosa"
)</f>
        <v>Moderada</v>
      </c>
      <c r="AM234" s="45" t="s">
        <v>48</v>
      </c>
      <c r="AN234" s="46" t="s">
        <v>60</v>
      </c>
      <c r="AO234" s="46" t="s">
        <v>61</v>
      </c>
      <c r="AP234" s="289" t="s">
        <v>62</v>
      </c>
      <c r="AQ234" s="139">
        <v>0</v>
      </c>
      <c r="AS234" s="291" t="s">
        <v>276</v>
      </c>
    </row>
    <row r="235" spans="1:45" ht="71.25" customHeight="1" thickBot="1">
      <c r="A235" s="138" t="s">
        <v>271</v>
      </c>
      <c r="B235" s="12">
        <v>34</v>
      </c>
      <c r="C235" s="12">
        <v>86.19</v>
      </c>
      <c r="D235" s="12">
        <v>25</v>
      </c>
      <c r="E235" s="12" t="s">
        <v>45</v>
      </c>
      <c r="F235" s="12" t="s">
        <v>45</v>
      </c>
      <c r="G235" s="12" t="s">
        <v>46</v>
      </c>
      <c r="H235" s="12"/>
      <c r="I235" s="12" t="s">
        <v>45</v>
      </c>
      <c r="J235" s="12" t="s">
        <v>47</v>
      </c>
      <c r="K235" s="12" t="s">
        <v>49</v>
      </c>
      <c r="L235" s="12" t="s">
        <v>49</v>
      </c>
      <c r="M235" s="11" t="s">
        <v>50</v>
      </c>
      <c r="N235" s="11" t="s">
        <v>50</v>
      </c>
      <c r="O235" s="11" t="s">
        <v>50</v>
      </c>
      <c r="P235" s="11" t="s">
        <v>51</v>
      </c>
      <c r="Q235" s="50" t="s">
        <v>91</v>
      </c>
      <c r="R235" s="75">
        <v>16</v>
      </c>
      <c r="S235" s="70">
        <v>5.44</v>
      </c>
      <c r="T235" s="70">
        <v>2.0299999999999998</v>
      </c>
      <c r="U235" s="75">
        <v>16</v>
      </c>
      <c r="V235" s="75">
        <v>4.3099999999999996</v>
      </c>
      <c r="W235" s="70">
        <v>2.06</v>
      </c>
      <c r="X235" s="130">
        <f t="shared" si="38"/>
        <v>-1.1300000000000008</v>
      </c>
      <c r="Y235" s="16">
        <f t="shared" si="41"/>
        <v>0.51129125750397886</v>
      </c>
      <c r="Z235" s="286" t="s">
        <v>53</v>
      </c>
      <c r="AA235" s="287" t="s">
        <v>53</v>
      </c>
      <c r="AB235" s="16">
        <v>0.51129125750397886</v>
      </c>
      <c r="AC235" s="66" t="s">
        <v>49</v>
      </c>
      <c r="AD235" s="51" t="s">
        <v>272</v>
      </c>
      <c r="AE235" s="13">
        <v>12</v>
      </c>
      <c r="AF235" s="13">
        <v>0</v>
      </c>
      <c r="AG235" s="13">
        <v>0</v>
      </c>
      <c r="AH235" s="134">
        <v>0</v>
      </c>
      <c r="AI235" s="134">
        <v>0</v>
      </c>
      <c r="AJ235" s="135">
        <f t="shared" si="39"/>
        <v>0</v>
      </c>
      <c r="AK235" s="136">
        <f t="shared" si="40"/>
        <v>0</v>
      </c>
      <c r="AL235" s="136" t="str" cm="1">
        <f t="array" ref="AL235">_xlfn.IFS(
AI235&lt;3,"Ligera",
AI235&lt;=6,"Moderada",
AI235&gt;6,"Vigorosa"
)</f>
        <v>Ligera</v>
      </c>
      <c r="AM235" s="45" t="s">
        <v>49</v>
      </c>
      <c r="AN235" s="46" t="s">
        <v>49</v>
      </c>
      <c r="AO235" s="46" t="s">
        <v>49</v>
      </c>
      <c r="AP235" s="289" t="s">
        <v>49</v>
      </c>
      <c r="AQ235" s="139">
        <v>0</v>
      </c>
    </row>
    <row r="236" spans="1:45" ht="76.5" customHeight="1" thickBot="1">
      <c r="A236" s="140" t="s">
        <v>271</v>
      </c>
      <c r="B236" s="141">
        <v>34</v>
      </c>
      <c r="C236" s="141">
        <v>85.78</v>
      </c>
      <c r="D236" s="141">
        <v>27.78</v>
      </c>
      <c r="E236" s="141" t="s">
        <v>45</v>
      </c>
      <c r="F236" s="141" t="s">
        <v>45</v>
      </c>
      <c r="G236" s="141" t="s">
        <v>46</v>
      </c>
      <c r="H236" s="141"/>
      <c r="I236" s="141" t="s">
        <v>45</v>
      </c>
      <c r="J236" s="141" t="s">
        <v>47</v>
      </c>
      <c r="K236" s="141" t="s">
        <v>49</v>
      </c>
      <c r="L236" s="141" t="s">
        <v>49</v>
      </c>
      <c r="M236" s="142" t="s">
        <v>56</v>
      </c>
      <c r="N236" s="142" t="s">
        <v>76</v>
      </c>
      <c r="O236" s="142" t="s">
        <v>100</v>
      </c>
      <c r="P236" s="142" t="s">
        <v>51</v>
      </c>
      <c r="Q236" s="158" t="s">
        <v>91</v>
      </c>
      <c r="R236" s="165">
        <v>18</v>
      </c>
      <c r="S236" s="162">
        <v>5.33</v>
      </c>
      <c r="T236" s="162">
        <v>2.33</v>
      </c>
      <c r="U236" s="165">
        <v>18</v>
      </c>
      <c r="V236" s="165">
        <v>6.94</v>
      </c>
      <c r="W236" s="162">
        <v>2.65</v>
      </c>
      <c r="X236" s="130">
        <f t="shared" si="38"/>
        <v>1.6100000000000003</v>
      </c>
      <c r="Y236" s="16">
        <f t="shared" si="41"/>
        <v>0.59052236762604238</v>
      </c>
      <c r="Z236" s="15">
        <f t="shared" si="42"/>
        <v>2.7400000000000011</v>
      </c>
      <c r="AA236" s="16">
        <f t="shared" si="43"/>
        <v>5.7198906249999997</v>
      </c>
      <c r="AB236" s="16">
        <f t="shared" si="44"/>
        <v>0.82174501242866627</v>
      </c>
      <c r="AC236" s="66" t="s">
        <v>49</v>
      </c>
      <c r="AD236" s="151" t="s">
        <v>273</v>
      </c>
      <c r="AE236" s="146">
        <v>12</v>
      </c>
      <c r="AF236" s="146">
        <v>2</v>
      </c>
      <c r="AG236" s="146">
        <v>45</v>
      </c>
      <c r="AH236" s="13" t="s">
        <v>274</v>
      </c>
      <c r="AI236" s="13">
        <v>3.47</v>
      </c>
      <c r="AJ236" s="135">
        <v>124.25</v>
      </c>
      <c r="AK236" s="136">
        <f t="shared" si="40"/>
        <v>248.5</v>
      </c>
      <c r="AL236" s="136" t="str" cm="1">
        <f t="array" ref="AL236">_xlfn.IFS(
AI236&lt;3,"Ligera",
AI236&lt;=6,"Moderada",
AI236&gt;6,"Vigorosa"
)</f>
        <v>Moderada</v>
      </c>
      <c r="AM236" s="147" t="s">
        <v>48</v>
      </c>
      <c r="AN236" s="148" t="s">
        <v>60</v>
      </c>
      <c r="AO236" s="148" t="s">
        <v>61</v>
      </c>
      <c r="AP236" s="290" t="s">
        <v>62</v>
      </c>
      <c r="AQ236" s="149">
        <v>0</v>
      </c>
    </row>
    <row r="237" spans="1:45" ht="76.5" customHeight="1" thickBot="1">
      <c r="A237" s="124" t="s">
        <v>277</v>
      </c>
      <c r="B237" s="125">
        <v>60</v>
      </c>
      <c r="C237" s="125">
        <v>72</v>
      </c>
      <c r="D237" s="125">
        <v>73.3</v>
      </c>
      <c r="E237" s="125" t="s">
        <v>45</v>
      </c>
      <c r="F237" s="125" t="s">
        <v>45</v>
      </c>
      <c r="G237" s="125" t="s">
        <v>278</v>
      </c>
      <c r="H237" s="125"/>
      <c r="I237" s="125" t="s">
        <v>45</v>
      </c>
      <c r="J237" s="125" t="s">
        <v>47</v>
      </c>
      <c r="K237" s="125" t="s">
        <v>49</v>
      </c>
      <c r="L237" s="125" t="s">
        <v>49</v>
      </c>
      <c r="M237" s="126" t="s">
        <v>50</v>
      </c>
      <c r="N237" s="126" t="s">
        <v>50</v>
      </c>
      <c r="O237" s="126" t="s">
        <v>50</v>
      </c>
      <c r="P237" s="11" t="s">
        <v>86</v>
      </c>
      <c r="Q237" s="159" t="s">
        <v>87</v>
      </c>
      <c r="R237" s="128">
        <v>30</v>
      </c>
      <c r="S237" s="152">
        <v>31.7</v>
      </c>
      <c r="T237" s="152">
        <v>9</v>
      </c>
      <c r="U237" s="152">
        <v>30</v>
      </c>
      <c r="V237" s="128">
        <v>31.9</v>
      </c>
      <c r="W237" s="152">
        <v>7.8</v>
      </c>
      <c r="X237" s="130">
        <f t="shared" si="38"/>
        <v>0.19999999999999929</v>
      </c>
      <c r="Y237" s="16">
        <f>SQRT((T237^2+W237^2-(2*0.5*T237*W237)))/SQRT(U237)</f>
        <v>1.5453155017665485</v>
      </c>
      <c r="Z237" s="286" t="s">
        <v>53</v>
      </c>
      <c r="AA237" s="287" t="s">
        <v>53</v>
      </c>
      <c r="AB237" s="16">
        <v>1.5453155017665485</v>
      </c>
      <c r="AC237" s="66" t="s">
        <v>49</v>
      </c>
      <c r="AD237" s="133" t="s">
        <v>279</v>
      </c>
      <c r="AE237" s="134">
        <v>6</v>
      </c>
      <c r="AF237" s="134">
        <v>0</v>
      </c>
      <c r="AG237" s="134">
        <v>0</v>
      </c>
      <c r="AH237" s="134">
        <v>0</v>
      </c>
      <c r="AI237" s="134">
        <v>0</v>
      </c>
      <c r="AJ237" s="135">
        <f t="shared" si="39"/>
        <v>0</v>
      </c>
      <c r="AK237" s="136">
        <f t="shared" si="40"/>
        <v>0</v>
      </c>
      <c r="AL237" s="136" t="str" cm="1">
        <f t="array" ref="AL237">_xlfn.IFS(
AI237&lt;3,"Ligera",
AI237&lt;=6,"Moderada",
AI237&gt;6,"Vigorosa"
)</f>
        <v>Ligera</v>
      </c>
      <c r="AM237" s="136" t="s">
        <v>49</v>
      </c>
      <c r="AN237" s="135" t="s">
        <v>49</v>
      </c>
      <c r="AO237" s="135" t="s">
        <v>49</v>
      </c>
      <c r="AP237" s="288" t="s">
        <v>49</v>
      </c>
      <c r="AQ237" s="137">
        <v>0</v>
      </c>
    </row>
    <row r="238" spans="1:45" ht="71.25" customHeight="1" thickBot="1">
      <c r="A238" s="138" t="s">
        <v>277</v>
      </c>
      <c r="B238" s="12">
        <v>60</v>
      </c>
      <c r="C238" s="12">
        <v>69.67</v>
      </c>
      <c r="D238" s="12">
        <v>73.3</v>
      </c>
      <c r="E238" s="12" t="s">
        <v>45</v>
      </c>
      <c r="F238" s="12" t="s">
        <v>45</v>
      </c>
      <c r="G238" s="12" t="s">
        <v>278</v>
      </c>
      <c r="H238" s="12"/>
      <c r="I238" s="12" t="s">
        <v>45</v>
      </c>
      <c r="J238" s="12" t="s">
        <v>47</v>
      </c>
      <c r="K238" s="12" t="s">
        <v>49</v>
      </c>
      <c r="L238" s="12" t="s">
        <v>49</v>
      </c>
      <c r="M238" s="11" t="s">
        <v>56</v>
      </c>
      <c r="N238" s="11" t="s">
        <v>152</v>
      </c>
      <c r="O238" s="11" t="s">
        <v>153</v>
      </c>
      <c r="P238" s="11" t="s">
        <v>86</v>
      </c>
      <c r="Q238" s="50" t="s">
        <v>87</v>
      </c>
      <c r="R238" s="65">
        <v>30</v>
      </c>
      <c r="S238" s="70">
        <v>36.9</v>
      </c>
      <c r="T238" s="70">
        <v>8.6</v>
      </c>
      <c r="U238" s="70">
        <v>30</v>
      </c>
      <c r="V238" s="65">
        <v>40.4</v>
      </c>
      <c r="W238" s="70">
        <v>7.7</v>
      </c>
      <c r="X238" s="130">
        <f t="shared" si="38"/>
        <v>3.5</v>
      </c>
      <c r="Y238" s="16">
        <f t="shared" si="41"/>
        <v>1.4947686554558646</v>
      </c>
      <c r="Z238" s="15">
        <f t="shared" si="42"/>
        <v>3.3000000000000007</v>
      </c>
      <c r="AA238" s="16">
        <f t="shared" si="43"/>
        <v>60.064999999999998</v>
      </c>
      <c r="AB238" s="16">
        <f t="shared" si="44"/>
        <v>2.0010830400893744</v>
      </c>
      <c r="AC238" s="66" t="s">
        <v>49</v>
      </c>
      <c r="AD238" s="51" t="s">
        <v>280</v>
      </c>
      <c r="AE238" s="13">
        <v>6</v>
      </c>
      <c r="AF238" s="13">
        <v>2</v>
      </c>
      <c r="AG238" s="13">
        <v>45</v>
      </c>
      <c r="AH238" s="13">
        <v>2230060</v>
      </c>
      <c r="AI238" s="13">
        <v>3.5</v>
      </c>
      <c r="AJ238" s="135">
        <f t="shared" si="39"/>
        <v>157.5</v>
      </c>
      <c r="AK238" s="136">
        <f t="shared" si="40"/>
        <v>315</v>
      </c>
      <c r="AL238" s="136" t="str" cm="1">
        <f t="array" ref="AL238">_xlfn.IFS(
AI238&lt;3,"Ligera",
AI238&lt;=6,"Moderada",
AI238&gt;6,"Vigorosa"
)</f>
        <v>Moderada</v>
      </c>
      <c r="AM238" s="45" t="s">
        <v>49</v>
      </c>
      <c r="AN238" s="46" t="s">
        <v>49</v>
      </c>
      <c r="AO238" s="46" t="s">
        <v>61</v>
      </c>
      <c r="AP238" s="289" t="s">
        <v>62</v>
      </c>
      <c r="AQ238" s="139">
        <v>0</v>
      </c>
    </row>
    <row r="239" spans="1:45" ht="76.5" customHeight="1" thickBot="1">
      <c r="A239" s="138" t="s">
        <v>277</v>
      </c>
      <c r="B239" s="12">
        <v>60</v>
      </c>
      <c r="C239" s="12">
        <v>72</v>
      </c>
      <c r="D239" s="12">
        <v>73.3</v>
      </c>
      <c r="E239" s="12" t="s">
        <v>45</v>
      </c>
      <c r="F239" s="12" t="s">
        <v>45</v>
      </c>
      <c r="G239" s="12" t="s">
        <v>278</v>
      </c>
      <c r="H239" s="12"/>
      <c r="I239" s="12" t="s">
        <v>45</v>
      </c>
      <c r="J239" s="12" t="s">
        <v>47</v>
      </c>
      <c r="K239" s="12" t="s">
        <v>49</v>
      </c>
      <c r="L239" s="12" t="s">
        <v>49</v>
      </c>
      <c r="M239" s="11" t="s">
        <v>50</v>
      </c>
      <c r="N239" s="11" t="s">
        <v>50</v>
      </c>
      <c r="O239" s="11" t="s">
        <v>50</v>
      </c>
      <c r="P239" s="11" t="s">
        <v>51</v>
      </c>
      <c r="Q239" s="50" t="s">
        <v>124</v>
      </c>
      <c r="R239" s="65">
        <v>30</v>
      </c>
      <c r="S239" s="70">
        <v>16.600000000000001</v>
      </c>
      <c r="T239" s="70">
        <v>2.7</v>
      </c>
      <c r="U239" s="70">
        <v>30</v>
      </c>
      <c r="V239" s="65">
        <v>16.7</v>
      </c>
      <c r="W239" s="70">
        <v>2.6</v>
      </c>
      <c r="X239" s="130">
        <f t="shared" si="38"/>
        <v>9.9999999999997868E-2</v>
      </c>
      <c r="Y239" s="16">
        <f t="shared" si="41"/>
        <v>0.48407988321488155</v>
      </c>
      <c r="Z239" s="286" t="s">
        <v>53</v>
      </c>
      <c r="AA239" s="287" t="s">
        <v>53</v>
      </c>
      <c r="AB239" s="16">
        <v>0.48407988321488155</v>
      </c>
      <c r="AC239" s="66" t="s">
        <v>48</v>
      </c>
      <c r="AD239" s="51" t="s">
        <v>279</v>
      </c>
      <c r="AE239" s="13">
        <v>6</v>
      </c>
      <c r="AF239" s="13">
        <v>0</v>
      </c>
      <c r="AG239" s="13">
        <v>0</v>
      </c>
      <c r="AH239" s="134">
        <v>0</v>
      </c>
      <c r="AI239" s="134">
        <v>0</v>
      </c>
      <c r="AJ239" s="135">
        <f t="shared" si="39"/>
        <v>0</v>
      </c>
      <c r="AK239" s="136">
        <f t="shared" si="40"/>
        <v>0</v>
      </c>
      <c r="AL239" s="136" t="str" cm="1">
        <f t="array" ref="AL239">_xlfn.IFS(
AI239&lt;3,"Ligera",
AI239&lt;=6,"Moderada",
AI239&gt;6,"Vigorosa"
)</f>
        <v>Ligera</v>
      </c>
      <c r="AM239" s="45" t="s">
        <v>49</v>
      </c>
      <c r="AN239" s="46" t="s">
        <v>49</v>
      </c>
      <c r="AO239" s="46" t="s">
        <v>49</v>
      </c>
      <c r="AP239" s="289" t="s">
        <v>49</v>
      </c>
      <c r="AQ239" s="139">
        <v>0</v>
      </c>
    </row>
    <row r="240" spans="1:45" ht="71.25" customHeight="1" thickBot="1">
      <c r="A240" s="138" t="s">
        <v>277</v>
      </c>
      <c r="B240" s="12">
        <v>60</v>
      </c>
      <c r="C240" s="12">
        <v>69.67</v>
      </c>
      <c r="D240" s="12">
        <v>73.3</v>
      </c>
      <c r="E240" s="12" t="s">
        <v>45</v>
      </c>
      <c r="F240" s="12" t="s">
        <v>45</v>
      </c>
      <c r="G240" s="12" t="s">
        <v>278</v>
      </c>
      <c r="H240" s="12"/>
      <c r="I240" s="12" t="s">
        <v>45</v>
      </c>
      <c r="J240" s="12" t="s">
        <v>47</v>
      </c>
      <c r="K240" s="12" t="s">
        <v>49</v>
      </c>
      <c r="L240" s="12" t="s">
        <v>49</v>
      </c>
      <c r="M240" s="11" t="s">
        <v>56</v>
      </c>
      <c r="N240" s="11" t="s">
        <v>152</v>
      </c>
      <c r="O240" s="11" t="s">
        <v>153</v>
      </c>
      <c r="P240" s="11" t="s">
        <v>51</v>
      </c>
      <c r="Q240" s="50" t="s">
        <v>124</v>
      </c>
      <c r="R240" s="65">
        <v>30</v>
      </c>
      <c r="S240" s="70">
        <v>15.3</v>
      </c>
      <c r="T240" s="70">
        <v>1.9</v>
      </c>
      <c r="U240" s="70">
        <v>30</v>
      </c>
      <c r="V240" s="65">
        <v>13</v>
      </c>
      <c r="W240" s="70">
        <v>2.6</v>
      </c>
      <c r="X240" s="130">
        <f t="shared" si="38"/>
        <v>-2.3000000000000007</v>
      </c>
      <c r="Y240" s="16">
        <f t="shared" si="41"/>
        <v>0.42544094772365304</v>
      </c>
      <c r="Z240" s="15">
        <f t="shared" si="42"/>
        <v>-2.3999999999999986</v>
      </c>
      <c r="AA240" s="16">
        <f t="shared" si="43"/>
        <v>6.7600000000000007</v>
      </c>
      <c r="AB240" s="16">
        <f t="shared" si="44"/>
        <v>0.67131711334261901</v>
      </c>
      <c r="AC240" s="66" t="s">
        <v>48</v>
      </c>
      <c r="AD240" s="51" t="s">
        <v>280</v>
      </c>
      <c r="AE240" s="13">
        <v>6</v>
      </c>
      <c r="AF240" s="13">
        <v>2</v>
      </c>
      <c r="AG240" s="13">
        <v>45</v>
      </c>
      <c r="AH240" s="13">
        <v>2230060</v>
      </c>
      <c r="AI240" s="13">
        <v>3.5</v>
      </c>
      <c r="AJ240" s="135">
        <f t="shared" si="39"/>
        <v>157.5</v>
      </c>
      <c r="AK240" s="136">
        <f t="shared" si="40"/>
        <v>315</v>
      </c>
      <c r="AL240" s="136" t="str" cm="1">
        <f t="array" ref="AL240">_xlfn.IFS(
AI240&lt;3,"Ligera",
AI240&lt;=6,"Moderada",
AI240&gt;6,"Vigorosa"
)</f>
        <v>Moderada</v>
      </c>
      <c r="AM240" s="45" t="s">
        <v>49</v>
      </c>
      <c r="AN240" s="46" t="s">
        <v>49</v>
      </c>
      <c r="AO240" s="46" t="s">
        <v>61</v>
      </c>
      <c r="AP240" s="289" t="s">
        <v>62</v>
      </c>
      <c r="AQ240" s="139">
        <v>0</v>
      </c>
    </row>
    <row r="241" spans="1:43" ht="76.5" customHeight="1" thickBot="1">
      <c r="A241" s="138" t="s">
        <v>277</v>
      </c>
      <c r="B241" s="12">
        <v>60</v>
      </c>
      <c r="C241" s="12">
        <v>72</v>
      </c>
      <c r="D241" s="12">
        <v>73.3</v>
      </c>
      <c r="E241" s="12" t="s">
        <v>45</v>
      </c>
      <c r="F241" s="12" t="s">
        <v>45</v>
      </c>
      <c r="G241" s="12" t="s">
        <v>278</v>
      </c>
      <c r="H241" s="12"/>
      <c r="I241" s="12" t="s">
        <v>45</v>
      </c>
      <c r="J241" s="12" t="s">
        <v>47</v>
      </c>
      <c r="K241" s="12" t="s">
        <v>49</v>
      </c>
      <c r="L241" s="12" t="s">
        <v>49</v>
      </c>
      <c r="M241" s="11" t="s">
        <v>50</v>
      </c>
      <c r="N241" s="11" t="s">
        <v>50</v>
      </c>
      <c r="O241" s="11" t="s">
        <v>50</v>
      </c>
      <c r="P241" s="11" t="s">
        <v>197</v>
      </c>
      <c r="Q241" s="50" t="s">
        <v>198</v>
      </c>
      <c r="R241" s="65">
        <v>30</v>
      </c>
      <c r="S241" s="70">
        <v>41.4</v>
      </c>
      <c r="T241" s="70">
        <v>11.6</v>
      </c>
      <c r="U241" s="70">
        <v>30</v>
      </c>
      <c r="V241" s="65">
        <v>42.3</v>
      </c>
      <c r="W241" s="70">
        <v>9.6</v>
      </c>
      <c r="X241" s="130">
        <f t="shared" si="38"/>
        <v>0.89999999999999858</v>
      </c>
      <c r="Y241" s="16">
        <f t="shared" si="41"/>
        <v>1.9609521496796736</v>
      </c>
      <c r="Z241" s="286" t="s">
        <v>53</v>
      </c>
      <c r="AA241" s="287" t="s">
        <v>53</v>
      </c>
      <c r="AB241" s="16">
        <v>1.9609521496796736</v>
      </c>
      <c r="AC241" s="66" t="s">
        <v>48</v>
      </c>
      <c r="AD241" s="51" t="s">
        <v>279</v>
      </c>
      <c r="AE241" s="13">
        <v>6</v>
      </c>
      <c r="AF241" s="13">
        <v>0</v>
      </c>
      <c r="AG241" s="13">
        <v>0</v>
      </c>
      <c r="AH241" s="134">
        <v>0</v>
      </c>
      <c r="AI241" s="134">
        <v>0</v>
      </c>
      <c r="AJ241" s="135">
        <f t="shared" si="39"/>
        <v>0</v>
      </c>
      <c r="AK241" s="136">
        <f t="shared" si="40"/>
        <v>0</v>
      </c>
      <c r="AL241" s="136" t="str" cm="1">
        <f t="array" ref="AL241">_xlfn.IFS(
AI241&lt;3,"Ligera",
AI241&lt;=6,"Moderada",
AI241&gt;6,"Vigorosa"
)</f>
        <v>Ligera</v>
      </c>
      <c r="AM241" s="45" t="s">
        <v>49</v>
      </c>
      <c r="AN241" s="46" t="s">
        <v>49</v>
      </c>
      <c r="AO241" s="46" t="s">
        <v>49</v>
      </c>
      <c r="AP241" s="289" t="s">
        <v>49</v>
      </c>
      <c r="AQ241" s="139">
        <v>0</v>
      </c>
    </row>
    <row r="242" spans="1:43" ht="71.25" customHeight="1" thickBot="1">
      <c r="A242" s="140" t="s">
        <v>277</v>
      </c>
      <c r="B242" s="141">
        <v>60</v>
      </c>
      <c r="C242" s="141">
        <v>69.67</v>
      </c>
      <c r="D242" s="141">
        <v>73.3</v>
      </c>
      <c r="E242" s="141" t="s">
        <v>45</v>
      </c>
      <c r="F242" s="141" t="s">
        <v>45</v>
      </c>
      <c r="G242" s="141" t="s">
        <v>278</v>
      </c>
      <c r="H242" s="141"/>
      <c r="I242" s="141" t="s">
        <v>45</v>
      </c>
      <c r="J242" s="141" t="s">
        <v>47</v>
      </c>
      <c r="K242" s="141" t="s">
        <v>49</v>
      </c>
      <c r="L242" s="141" t="s">
        <v>49</v>
      </c>
      <c r="M242" s="142" t="s">
        <v>56</v>
      </c>
      <c r="N242" s="142" t="s">
        <v>152</v>
      </c>
      <c r="O242" s="142" t="s">
        <v>153</v>
      </c>
      <c r="P242" s="142" t="s">
        <v>197</v>
      </c>
      <c r="Q242" s="158" t="s">
        <v>198</v>
      </c>
      <c r="R242" s="144">
        <v>30</v>
      </c>
      <c r="S242" s="162">
        <v>37.6</v>
      </c>
      <c r="T242" s="162">
        <v>11.2</v>
      </c>
      <c r="U242" s="162">
        <v>30</v>
      </c>
      <c r="V242" s="144">
        <v>33.5</v>
      </c>
      <c r="W242" s="162">
        <v>9.9</v>
      </c>
      <c r="X242" s="130">
        <f t="shared" si="38"/>
        <v>-4.1000000000000014</v>
      </c>
      <c r="Y242" s="16">
        <f t="shared" si="41"/>
        <v>1.9370940434922959</v>
      </c>
      <c r="Z242" s="15">
        <f t="shared" si="42"/>
        <v>-5</v>
      </c>
      <c r="AA242" s="16">
        <f t="shared" si="43"/>
        <v>95.085000000000008</v>
      </c>
      <c r="AB242" s="16">
        <f t="shared" si="44"/>
        <v>2.5177370792042604</v>
      </c>
      <c r="AC242" s="66" t="s">
        <v>48</v>
      </c>
      <c r="AD242" s="151" t="s">
        <v>280</v>
      </c>
      <c r="AE242" s="146">
        <v>6</v>
      </c>
      <c r="AF242" s="146">
        <v>2</v>
      </c>
      <c r="AG242" s="146">
        <v>45</v>
      </c>
      <c r="AH242" s="13">
        <v>2230060</v>
      </c>
      <c r="AI242" s="13">
        <v>3.5</v>
      </c>
      <c r="AJ242" s="135">
        <f t="shared" si="39"/>
        <v>157.5</v>
      </c>
      <c r="AK242" s="136">
        <f t="shared" si="40"/>
        <v>315</v>
      </c>
      <c r="AL242" s="136" t="str" cm="1">
        <f t="array" ref="AL242">_xlfn.IFS(
AI242&lt;3,"Ligera",
AI242&lt;=6,"Moderada",
AI242&gt;6,"Vigorosa"
)</f>
        <v>Moderada</v>
      </c>
      <c r="AM242" s="147" t="s">
        <v>49</v>
      </c>
      <c r="AN242" s="148" t="s">
        <v>49</v>
      </c>
      <c r="AO242" s="148" t="s">
        <v>61</v>
      </c>
      <c r="AP242" s="290" t="s">
        <v>62</v>
      </c>
      <c r="AQ242" s="149">
        <v>0</v>
      </c>
    </row>
    <row r="243" spans="1:43" ht="62.25" customHeight="1" thickBot="1">
      <c r="A243" s="124" t="s">
        <v>281</v>
      </c>
      <c r="B243" s="125">
        <v>21</v>
      </c>
      <c r="C243" s="125">
        <v>73.099999999999994</v>
      </c>
      <c r="D243" s="125">
        <v>18.2</v>
      </c>
      <c r="E243" s="125" t="s">
        <v>45</v>
      </c>
      <c r="F243" s="125" t="s">
        <v>45</v>
      </c>
      <c r="G243" s="125" t="s">
        <v>223</v>
      </c>
      <c r="H243" s="125"/>
      <c r="I243" s="125" t="s">
        <v>45</v>
      </c>
      <c r="J243" s="125" t="s">
        <v>47</v>
      </c>
      <c r="K243" s="125" t="s">
        <v>48</v>
      </c>
      <c r="L243" s="125" t="s">
        <v>49</v>
      </c>
      <c r="M243" s="126" t="s">
        <v>56</v>
      </c>
      <c r="N243" s="126" t="s">
        <v>233</v>
      </c>
      <c r="O243" s="126" t="s">
        <v>233</v>
      </c>
      <c r="P243" s="11" t="s">
        <v>86</v>
      </c>
      <c r="Q243" s="157" t="s">
        <v>87</v>
      </c>
      <c r="R243" s="128">
        <v>11</v>
      </c>
      <c r="S243" s="166">
        <v>49.6</v>
      </c>
      <c r="T243" s="166">
        <v>3.1</v>
      </c>
      <c r="U243" s="128">
        <v>11</v>
      </c>
      <c r="V243" s="128">
        <v>58.1</v>
      </c>
      <c r="W243" s="152">
        <v>3.9</v>
      </c>
      <c r="X243" s="130">
        <f t="shared" ref="X243:X297" si="50">V243-S243</f>
        <v>8.5</v>
      </c>
      <c r="Y243" s="16">
        <f t="shared" si="41"/>
        <v>1.0757661117885835</v>
      </c>
      <c r="Z243" s="286" t="s">
        <v>53</v>
      </c>
      <c r="AA243" s="287" t="s">
        <v>53</v>
      </c>
      <c r="AB243" s="16">
        <v>1.0757661117885835</v>
      </c>
      <c r="AC243" s="66" t="s">
        <v>49</v>
      </c>
      <c r="AD243" s="133" t="s">
        <v>282</v>
      </c>
      <c r="AE243" s="134">
        <v>6</v>
      </c>
      <c r="AF243" s="134">
        <v>3</v>
      </c>
      <c r="AG243" s="134">
        <v>50</v>
      </c>
      <c r="AH243" s="134">
        <v>211360</v>
      </c>
      <c r="AI243" s="134">
        <v>3.5</v>
      </c>
      <c r="AJ243" s="135">
        <f t="shared" ref="AJ243:AJ296" si="51">AI243*AG243</f>
        <v>175</v>
      </c>
      <c r="AK243" s="136">
        <f t="shared" ref="AK243:AK297" si="52">AJ243*AF243</f>
        <v>525</v>
      </c>
      <c r="AL243" s="136" t="str" cm="1">
        <f t="array" ref="AL243">_xlfn.IFS(
AI243&lt;3,"Ligera",
AI243&lt;=6,"Moderada",
AI243&gt;6,"Vigorosa"
)</f>
        <v>Moderada</v>
      </c>
      <c r="AM243" s="136" t="s">
        <v>48</v>
      </c>
      <c r="AN243" s="135" t="s">
        <v>60</v>
      </c>
      <c r="AO243" s="135" t="s">
        <v>61</v>
      </c>
      <c r="AP243" s="288" t="s">
        <v>128</v>
      </c>
      <c r="AQ243" s="137">
        <v>0</v>
      </c>
    </row>
    <row r="244" spans="1:43" ht="62.25" customHeight="1" thickBot="1">
      <c r="A244" s="138" t="s">
        <v>281</v>
      </c>
      <c r="B244" s="12">
        <v>21</v>
      </c>
      <c r="C244" s="12">
        <v>70.099999999999994</v>
      </c>
      <c r="D244" s="12">
        <v>57.1</v>
      </c>
      <c r="E244" s="12" t="s">
        <v>45</v>
      </c>
      <c r="F244" s="12" t="s">
        <v>45</v>
      </c>
      <c r="G244" s="12" t="s">
        <v>223</v>
      </c>
      <c r="H244" s="12"/>
      <c r="I244" s="12" t="s">
        <v>45</v>
      </c>
      <c r="J244" s="12" t="s">
        <v>47</v>
      </c>
      <c r="K244" s="12" t="s">
        <v>48</v>
      </c>
      <c r="L244" s="12" t="s">
        <v>49</v>
      </c>
      <c r="M244" s="11" t="s">
        <v>56</v>
      </c>
      <c r="N244" s="11" t="s">
        <v>152</v>
      </c>
      <c r="O244" s="11" t="s">
        <v>153</v>
      </c>
      <c r="P244" s="11" t="s">
        <v>86</v>
      </c>
      <c r="Q244" s="72" t="s">
        <v>87</v>
      </c>
      <c r="R244" s="65">
        <v>7</v>
      </c>
      <c r="S244" s="71">
        <v>51</v>
      </c>
      <c r="T244" s="70">
        <v>2.7</v>
      </c>
      <c r="U244" s="65">
        <v>7</v>
      </c>
      <c r="V244" s="65">
        <v>54.4</v>
      </c>
      <c r="W244" s="70">
        <v>3.4</v>
      </c>
      <c r="X244" s="130">
        <f t="shared" si="50"/>
        <v>3.3999999999999986</v>
      </c>
      <c r="Y244" s="16">
        <f t="shared" ref="Y244:Y297" si="53">SQRT((T244^2+W244^2-(2*0.5*T244*W244)))/SQRT(U244)</f>
        <v>1.1753418955472368</v>
      </c>
      <c r="Z244" s="15">
        <f t="shared" si="42"/>
        <v>-5.1000000000000014</v>
      </c>
      <c r="AA244" s="16">
        <f t="shared" si="43"/>
        <v>13.841249999999999</v>
      </c>
      <c r="AB244" s="16">
        <f t="shared" si="44"/>
        <v>1.798782055480008</v>
      </c>
      <c r="AC244" s="66" t="s">
        <v>49</v>
      </c>
      <c r="AD244" s="51" t="s">
        <v>283</v>
      </c>
      <c r="AE244" s="13">
        <v>6</v>
      </c>
      <c r="AF244" s="13">
        <v>3</v>
      </c>
      <c r="AG244" s="13">
        <v>50</v>
      </c>
      <c r="AH244" s="13">
        <v>2230060</v>
      </c>
      <c r="AI244" s="13">
        <v>3.5</v>
      </c>
      <c r="AJ244" s="135">
        <f t="shared" si="51"/>
        <v>175</v>
      </c>
      <c r="AK244" s="136">
        <f t="shared" si="52"/>
        <v>525</v>
      </c>
      <c r="AL244" s="136" t="str" cm="1">
        <f t="array" ref="AL244">_xlfn.IFS(
AI244&lt;3,"Ligera",
AI244&lt;=6,"Moderada",
AI244&gt;6,"Vigorosa"
)</f>
        <v>Moderada</v>
      </c>
      <c r="AM244" s="45" t="s">
        <v>48</v>
      </c>
      <c r="AN244" s="46" t="s">
        <v>60</v>
      </c>
      <c r="AO244" s="46" t="s">
        <v>61</v>
      </c>
      <c r="AP244" s="289" t="s">
        <v>128</v>
      </c>
      <c r="AQ244" s="139">
        <v>0</v>
      </c>
    </row>
    <row r="245" spans="1:43" ht="62.25" customHeight="1" thickBot="1">
      <c r="A245" s="138" t="s">
        <v>281</v>
      </c>
      <c r="B245" s="12">
        <v>21</v>
      </c>
      <c r="C245" s="12">
        <v>73.099999999999994</v>
      </c>
      <c r="D245" s="12">
        <v>18.2</v>
      </c>
      <c r="E245" s="12" t="s">
        <v>45</v>
      </c>
      <c r="F245" s="12" t="s">
        <v>45</v>
      </c>
      <c r="G245" s="12" t="s">
        <v>223</v>
      </c>
      <c r="H245" s="12"/>
      <c r="I245" s="12" t="s">
        <v>45</v>
      </c>
      <c r="J245" s="12" t="s">
        <v>47</v>
      </c>
      <c r="K245" s="12" t="s">
        <v>48</v>
      </c>
      <c r="L245" s="12" t="s">
        <v>49</v>
      </c>
      <c r="M245" s="11" t="s">
        <v>56</v>
      </c>
      <c r="N245" s="11" t="s">
        <v>233</v>
      </c>
      <c r="O245" s="11" t="s">
        <v>233</v>
      </c>
      <c r="P245" s="11" t="s">
        <v>51</v>
      </c>
      <c r="Q245" s="72" t="s">
        <v>284</v>
      </c>
      <c r="R245" s="65">
        <v>11</v>
      </c>
      <c r="S245" s="71">
        <v>12.3</v>
      </c>
      <c r="T245" s="71">
        <v>7.2</v>
      </c>
      <c r="U245" s="65">
        <v>11</v>
      </c>
      <c r="V245" s="65">
        <v>14.3</v>
      </c>
      <c r="W245" s="70">
        <v>9.6999999999999993</v>
      </c>
      <c r="X245" s="130">
        <f t="shared" si="50"/>
        <v>2</v>
      </c>
      <c r="Y245" s="16">
        <f t="shared" si="53"/>
        <v>2.6300708597436548</v>
      </c>
      <c r="Z245" s="286" t="s">
        <v>53</v>
      </c>
      <c r="AA245" s="287" t="s">
        <v>53</v>
      </c>
      <c r="AB245" s="16">
        <v>2.6300708597436548</v>
      </c>
      <c r="AC245" s="66" t="s">
        <v>49</v>
      </c>
      <c r="AD245" s="51" t="s">
        <v>282</v>
      </c>
      <c r="AE245" s="13">
        <v>6</v>
      </c>
      <c r="AF245" s="13">
        <v>3</v>
      </c>
      <c r="AG245" s="13">
        <v>50</v>
      </c>
      <c r="AH245" s="134">
        <v>211360</v>
      </c>
      <c r="AI245" s="134">
        <v>3.5</v>
      </c>
      <c r="AJ245" s="135">
        <f t="shared" si="51"/>
        <v>175</v>
      </c>
      <c r="AK245" s="136">
        <f t="shared" si="52"/>
        <v>525</v>
      </c>
      <c r="AL245" s="136" t="str" cm="1">
        <f t="array" ref="AL245">_xlfn.IFS(
AI245&lt;3,"Ligera",
AI245&lt;=6,"Moderada",
AI245&gt;6,"Vigorosa"
)</f>
        <v>Moderada</v>
      </c>
      <c r="AM245" s="45" t="s">
        <v>48</v>
      </c>
      <c r="AN245" s="46" t="s">
        <v>60</v>
      </c>
      <c r="AO245" s="46" t="s">
        <v>61</v>
      </c>
      <c r="AP245" s="289" t="s">
        <v>128</v>
      </c>
      <c r="AQ245" s="139">
        <v>0</v>
      </c>
    </row>
    <row r="246" spans="1:43" ht="62.25" customHeight="1" thickBot="1">
      <c r="A246" s="138" t="s">
        <v>281</v>
      </c>
      <c r="B246" s="12">
        <v>21</v>
      </c>
      <c r="C246" s="12">
        <v>70.099999999999994</v>
      </c>
      <c r="D246" s="12">
        <v>57.1</v>
      </c>
      <c r="E246" s="12" t="s">
        <v>45</v>
      </c>
      <c r="F246" s="12" t="s">
        <v>45</v>
      </c>
      <c r="G246" s="12" t="s">
        <v>223</v>
      </c>
      <c r="H246" s="12"/>
      <c r="I246" s="12" t="s">
        <v>45</v>
      </c>
      <c r="J246" s="12" t="s">
        <v>47</v>
      </c>
      <c r="K246" s="12" t="s">
        <v>48</v>
      </c>
      <c r="L246" s="12" t="s">
        <v>49</v>
      </c>
      <c r="M246" s="11" t="s">
        <v>56</v>
      </c>
      <c r="N246" s="11" t="s">
        <v>152</v>
      </c>
      <c r="O246" s="11" t="s">
        <v>153</v>
      </c>
      <c r="P246" s="11" t="s">
        <v>51</v>
      </c>
      <c r="Q246" s="72" t="s">
        <v>284</v>
      </c>
      <c r="R246" s="65">
        <v>7</v>
      </c>
      <c r="S246" s="71">
        <v>21.3</v>
      </c>
      <c r="T246" s="70">
        <v>13.4</v>
      </c>
      <c r="U246" s="65">
        <v>7</v>
      </c>
      <c r="V246" s="65">
        <v>25.9</v>
      </c>
      <c r="W246" s="70">
        <v>9.6999999999999993</v>
      </c>
      <c r="X246" s="130">
        <f t="shared" si="50"/>
        <v>4.5999999999999979</v>
      </c>
      <c r="Y246" s="16">
        <f t="shared" si="53"/>
        <v>4.5303736837357809</v>
      </c>
      <c r="Z246" s="15">
        <f t="shared" ref="Z246:Z295" si="54">X246-X245</f>
        <v>2.5999999999999979</v>
      </c>
      <c r="AA246" s="16">
        <f t="shared" ref="AA246:AA297" si="55">((U246-1)*W246^2+(U245-1)*W245^2)/((U246-1)+(U245-1))</f>
        <v>94.089999999999989</v>
      </c>
      <c r="AB246" s="16">
        <f t="shared" ref="AB246:AB297" si="56">SQRT(AA246*((1/U246)+(1/U245)))</f>
        <v>4.6898896506277126</v>
      </c>
      <c r="AC246" s="66" t="s">
        <v>49</v>
      </c>
      <c r="AD246" s="51" t="s">
        <v>285</v>
      </c>
      <c r="AE246" s="13">
        <v>6</v>
      </c>
      <c r="AF246" s="13">
        <v>3</v>
      </c>
      <c r="AG246" s="13">
        <v>50</v>
      </c>
      <c r="AH246" s="13">
        <v>2230060</v>
      </c>
      <c r="AI246" s="13">
        <v>3.5</v>
      </c>
      <c r="AJ246" s="135">
        <f t="shared" si="51"/>
        <v>175</v>
      </c>
      <c r="AK246" s="136">
        <f t="shared" si="52"/>
        <v>525</v>
      </c>
      <c r="AL246" s="136" t="str" cm="1">
        <f t="array" ref="AL246">_xlfn.IFS(
AI246&lt;3,"Ligera",
AI246&lt;=6,"Moderada",
AI246&gt;6,"Vigorosa"
)</f>
        <v>Moderada</v>
      </c>
      <c r="AM246" s="45" t="s">
        <v>48</v>
      </c>
      <c r="AN246" s="46" t="s">
        <v>60</v>
      </c>
      <c r="AO246" s="46" t="s">
        <v>61</v>
      </c>
      <c r="AP246" s="289" t="s">
        <v>128</v>
      </c>
      <c r="AQ246" s="139">
        <v>0</v>
      </c>
    </row>
    <row r="247" spans="1:43" ht="62.25" customHeight="1" thickBot="1">
      <c r="A247" s="138" t="s">
        <v>281</v>
      </c>
      <c r="B247" s="12">
        <v>21</v>
      </c>
      <c r="C247" s="12">
        <v>73.099999999999994</v>
      </c>
      <c r="D247" s="12">
        <v>18.2</v>
      </c>
      <c r="E247" s="12" t="s">
        <v>45</v>
      </c>
      <c r="F247" s="12" t="s">
        <v>45</v>
      </c>
      <c r="G247" s="12" t="s">
        <v>223</v>
      </c>
      <c r="H247" s="12"/>
      <c r="I247" s="12" t="s">
        <v>45</v>
      </c>
      <c r="J247" s="12" t="s">
        <v>47</v>
      </c>
      <c r="K247" s="12" t="s">
        <v>48</v>
      </c>
      <c r="L247" s="12" t="s">
        <v>49</v>
      </c>
      <c r="M247" s="11" t="s">
        <v>56</v>
      </c>
      <c r="N247" s="11" t="s">
        <v>233</v>
      </c>
      <c r="O247" s="11" t="s">
        <v>233</v>
      </c>
      <c r="P247" s="11" t="s">
        <v>51</v>
      </c>
      <c r="Q247" s="72" t="s">
        <v>286</v>
      </c>
      <c r="R247" s="65">
        <v>11</v>
      </c>
      <c r="S247" s="71">
        <v>9.1999999999999993</v>
      </c>
      <c r="T247" s="71">
        <v>10.3</v>
      </c>
      <c r="U247" s="65">
        <v>11</v>
      </c>
      <c r="V247" s="65">
        <v>14.9</v>
      </c>
      <c r="W247" s="70">
        <v>10.1</v>
      </c>
      <c r="X247" s="130">
        <f t="shared" si="50"/>
        <v>5.7000000000000011</v>
      </c>
      <c r="Y247" s="16">
        <f t="shared" si="53"/>
        <v>3.0758590817703424</v>
      </c>
      <c r="Z247" s="286" t="s">
        <v>53</v>
      </c>
      <c r="AA247" s="287" t="s">
        <v>53</v>
      </c>
      <c r="AB247" s="16">
        <v>3.0758590817703424</v>
      </c>
      <c r="AC247" s="66" t="s">
        <v>49</v>
      </c>
      <c r="AD247" s="51" t="s">
        <v>282</v>
      </c>
      <c r="AE247" s="13">
        <v>6</v>
      </c>
      <c r="AF247" s="13">
        <v>3</v>
      </c>
      <c r="AG247" s="13">
        <v>50</v>
      </c>
      <c r="AH247" s="134">
        <v>211360</v>
      </c>
      <c r="AI247" s="134">
        <v>3.5</v>
      </c>
      <c r="AJ247" s="135">
        <f t="shared" si="51"/>
        <v>175</v>
      </c>
      <c r="AK247" s="136">
        <f t="shared" si="52"/>
        <v>525</v>
      </c>
      <c r="AL247" s="136" t="str" cm="1">
        <f t="array" ref="AL247">_xlfn.IFS(
AI247&lt;3,"Ligera",
AI247&lt;=6,"Moderada",
AI247&gt;6,"Vigorosa"
)</f>
        <v>Moderada</v>
      </c>
      <c r="AM247" s="45" t="s">
        <v>48</v>
      </c>
      <c r="AN247" s="46" t="s">
        <v>60</v>
      </c>
      <c r="AO247" s="46" t="s">
        <v>61</v>
      </c>
      <c r="AP247" s="289" t="s">
        <v>128</v>
      </c>
      <c r="AQ247" s="139">
        <v>0</v>
      </c>
    </row>
    <row r="248" spans="1:43" ht="62.25" customHeight="1" thickBot="1">
      <c r="A248" s="138" t="s">
        <v>281</v>
      </c>
      <c r="B248" s="12">
        <v>21</v>
      </c>
      <c r="C248" s="12">
        <v>70.099999999999994</v>
      </c>
      <c r="D248" s="12">
        <v>57.1</v>
      </c>
      <c r="E248" s="12" t="s">
        <v>45</v>
      </c>
      <c r="F248" s="12" t="s">
        <v>45</v>
      </c>
      <c r="G248" s="12" t="s">
        <v>223</v>
      </c>
      <c r="H248" s="12"/>
      <c r="I248" s="12" t="s">
        <v>45</v>
      </c>
      <c r="J248" s="12" t="s">
        <v>47</v>
      </c>
      <c r="K248" s="12" t="s">
        <v>48</v>
      </c>
      <c r="L248" s="12" t="s">
        <v>49</v>
      </c>
      <c r="M248" s="11" t="s">
        <v>56</v>
      </c>
      <c r="N248" s="11" t="s">
        <v>152</v>
      </c>
      <c r="O248" s="11" t="s">
        <v>153</v>
      </c>
      <c r="P248" s="11" t="s">
        <v>51</v>
      </c>
      <c r="Q248" s="72" t="s">
        <v>286</v>
      </c>
      <c r="R248" s="65">
        <v>7</v>
      </c>
      <c r="S248" s="71">
        <v>20.3</v>
      </c>
      <c r="T248" s="70">
        <v>15.5</v>
      </c>
      <c r="U248" s="65">
        <v>7</v>
      </c>
      <c r="V248" s="65">
        <v>23</v>
      </c>
      <c r="W248" s="70">
        <v>10</v>
      </c>
      <c r="X248" s="130">
        <f t="shared" si="50"/>
        <v>2.6999999999999993</v>
      </c>
      <c r="Y248" s="16">
        <f t="shared" si="53"/>
        <v>5.144345022865954</v>
      </c>
      <c r="Z248" s="15">
        <f t="shared" si="54"/>
        <v>-3.0000000000000018</v>
      </c>
      <c r="AA248" s="16">
        <f t="shared" si="55"/>
        <v>101.25624999999999</v>
      </c>
      <c r="AB248" s="16">
        <f t="shared" si="56"/>
        <v>4.8652124524826466</v>
      </c>
      <c r="AC248" s="66" t="s">
        <v>49</v>
      </c>
      <c r="AD248" s="51" t="s">
        <v>285</v>
      </c>
      <c r="AE248" s="13">
        <v>6</v>
      </c>
      <c r="AF248" s="13">
        <v>3</v>
      </c>
      <c r="AG248" s="13">
        <v>50</v>
      </c>
      <c r="AH248" s="13">
        <v>2230060</v>
      </c>
      <c r="AI248" s="13">
        <v>3.5</v>
      </c>
      <c r="AJ248" s="135">
        <f t="shared" si="51"/>
        <v>175</v>
      </c>
      <c r="AK248" s="136">
        <f t="shared" si="52"/>
        <v>525</v>
      </c>
      <c r="AL248" s="136" t="str" cm="1">
        <f t="array" ref="AL248">_xlfn.IFS(
AI248&lt;3,"Ligera",
AI248&lt;=6,"Moderada",
AI248&gt;6,"Vigorosa"
)</f>
        <v>Moderada</v>
      </c>
      <c r="AM248" s="45" t="s">
        <v>48</v>
      </c>
      <c r="AN248" s="46" t="s">
        <v>60</v>
      </c>
      <c r="AO248" s="46" t="s">
        <v>61</v>
      </c>
      <c r="AP248" s="289" t="s">
        <v>128</v>
      </c>
      <c r="AQ248" s="139">
        <v>0</v>
      </c>
    </row>
    <row r="249" spans="1:43" ht="62.25" customHeight="1" thickBot="1">
      <c r="A249" s="138" t="s">
        <v>281</v>
      </c>
      <c r="B249" s="12">
        <v>21</v>
      </c>
      <c r="C249" s="12">
        <v>73.099999999999994</v>
      </c>
      <c r="D249" s="12">
        <v>18.2</v>
      </c>
      <c r="E249" s="12" t="s">
        <v>45</v>
      </c>
      <c r="F249" s="12" t="s">
        <v>45</v>
      </c>
      <c r="G249" s="12" t="s">
        <v>223</v>
      </c>
      <c r="H249" s="12"/>
      <c r="I249" s="12" t="s">
        <v>45</v>
      </c>
      <c r="J249" s="12" t="s">
        <v>47</v>
      </c>
      <c r="K249" s="12" t="s">
        <v>48</v>
      </c>
      <c r="L249" s="12" t="s">
        <v>49</v>
      </c>
      <c r="M249" s="11" t="s">
        <v>56</v>
      </c>
      <c r="N249" s="11" t="s">
        <v>233</v>
      </c>
      <c r="O249" s="11" t="s">
        <v>233</v>
      </c>
      <c r="P249" s="11" t="s">
        <v>51</v>
      </c>
      <c r="Q249" s="72" t="s">
        <v>287</v>
      </c>
      <c r="R249" s="65">
        <v>11</v>
      </c>
      <c r="S249" s="71">
        <v>5</v>
      </c>
      <c r="T249" s="71">
        <v>4.4000000000000004</v>
      </c>
      <c r="U249" s="65">
        <v>11</v>
      </c>
      <c r="V249" s="65">
        <v>3.3</v>
      </c>
      <c r="W249" s="70">
        <v>2.7</v>
      </c>
      <c r="X249" s="130">
        <f t="shared" si="50"/>
        <v>-1.7000000000000002</v>
      </c>
      <c r="Y249" s="16">
        <f t="shared" si="53"/>
        <v>1.1587610938960944</v>
      </c>
      <c r="Z249" s="286" t="s">
        <v>53</v>
      </c>
      <c r="AA249" s="287" t="s">
        <v>53</v>
      </c>
      <c r="AB249" s="16">
        <v>1.1587610938960944</v>
      </c>
      <c r="AC249" s="66" t="s">
        <v>49</v>
      </c>
      <c r="AD249" s="51" t="s">
        <v>282</v>
      </c>
      <c r="AE249" s="13">
        <v>6</v>
      </c>
      <c r="AF249" s="13">
        <v>3</v>
      </c>
      <c r="AG249" s="13">
        <v>50</v>
      </c>
      <c r="AH249" s="134">
        <v>211360</v>
      </c>
      <c r="AI249" s="134">
        <v>3.5</v>
      </c>
      <c r="AJ249" s="135">
        <f t="shared" si="51"/>
        <v>175</v>
      </c>
      <c r="AK249" s="136">
        <f t="shared" si="52"/>
        <v>525</v>
      </c>
      <c r="AL249" s="136" t="str" cm="1">
        <f t="array" ref="AL249">_xlfn.IFS(
AI249&lt;3,"Ligera",
AI249&lt;=6,"Moderada",
AI249&gt;6,"Vigorosa"
)</f>
        <v>Moderada</v>
      </c>
      <c r="AM249" s="45" t="s">
        <v>48</v>
      </c>
      <c r="AN249" s="46" t="s">
        <v>60</v>
      </c>
      <c r="AO249" s="46" t="s">
        <v>61</v>
      </c>
      <c r="AP249" s="289" t="s">
        <v>128</v>
      </c>
      <c r="AQ249" s="139">
        <v>0</v>
      </c>
    </row>
    <row r="250" spans="1:43" ht="62.25" customHeight="1" thickBot="1">
      <c r="A250" s="138" t="s">
        <v>281</v>
      </c>
      <c r="B250" s="12">
        <v>21</v>
      </c>
      <c r="C250" s="12">
        <v>70.099999999999994</v>
      </c>
      <c r="D250" s="12">
        <v>57.1</v>
      </c>
      <c r="E250" s="12" t="s">
        <v>45</v>
      </c>
      <c r="F250" s="12" t="s">
        <v>45</v>
      </c>
      <c r="G250" s="12" t="s">
        <v>223</v>
      </c>
      <c r="H250" s="12"/>
      <c r="I250" s="12" t="s">
        <v>45</v>
      </c>
      <c r="J250" s="12" t="s">
        <v>47</v>
      </c>
      <c r="K250" s="12" t="s">
        <v>48</v>
      </c>
      <c r="L250" s="12" t="s">
        <v>49</v>
      </c>
      <c r="M250" s="11" t="s">
        <v>56</v>
      </c>
      <c r="N250" s="11" t="s">
        <v>152</v>
      </c>
      <c r="O250" s="11" t="s">
        <v>153</v>
      </c>
      <c r="P250" s="11" t="s">
        <v>51</v>
      </c>
      <c r="Q250" s="72" t="s">
        <v>287</v>
      </c>
      <c r="R250" s="65">
        <v>7</v>
      </c>
      <c r="S250" s="71">
        <v>5</v>
      </c>
      <c r="T250" s="70">
        <v>4.7</v>
      </c>
      <c r="U250" s="65">
        <v>7</v>
      </c>
      <c r="V250" s="65">
        <v>7.1</v>
      </c>
      <c r="W250" s="70">
        <v>3.6</v>
      </c>
      <c r="X250" s="130">
        <f t="shared" si="50"/>
        <v>2.0999999999999996</v>
      </c>
      <c r="Y250" s="16">
        <f t="shared" si="53"/>
        <v>1.6093476939431082</v>
      </c>
      <c r="Z250" s="15">
        <f t="shared" si="54"/>
        <v>3.8</v>
      </c>
      <c r="AA250" s="16">
        <f t="shared" si="55"/>
        <v>9.4162500000000016</v>
      </c>
      <c r="AB250" s="16">
        <f t="shared" si="56"/>
        <v>1.4836445998625476</v>
      </c>
      <c r="AC250" s="66" t="s">
        <v>49</v>
      </c>
      <c r="AD250" s="51" t="s">
        <v>285</v>
      </c>
      <c r="AE250" s="13">
        <v>6</v>
      </c>
      <c r="AF250" s="13">
        <v>3</v>
      </c>
      <c r="AG250" s="13">
        <v>50</v>
      </c>
      <c r="AH250" s="13">
        <v>2230060</v>
      </c>
      <c r="AI250" s="13">
        <v>3.5</v>
      </c>
      <c r="AJ250" s="135">
        <f t="shared" si="51"/>
        <v>175</v>
      </c>
      <c r="AK250" s="136">
        <f t="shared" si="52"/>
        <v>525</v>
      </c>
      <c r="AL250" s="136" t="str" cm="1">
        <f t="array" ref="AL250">_xlfn.IFS(
AI250&lt;3,"Ligera",
AI250&lt;=6,"Moderada",
AI250&gt;6,"Vigorosa"
)</f>
        <v>Moderada</v>
      </c>
      <c r="AM250" s="45" t="s">
        <v>48</v>
      </c>
      <c r="AN250" s="46" t="s">
        <v>60</v>
      </c>
      <c r="AO250" s="46" t="s">
        <v>61</v>
      </c>
      <c r="AP250" s="289" t="s">
        <v>128</v>
      </c>
      <c r="AQ250" s="139">
        <v>0</v>
      </c>
    </row>
    <row r="251" spans="1:43" ht="62.25" customHeight="1" thickBot="1">
      <c r="A251" s="138" t="s">
        <v>281</v>
      </c>
      <c r="B251" s="12">
        <v>21</v>
      </c>
      <c r="C251" s="12">
        <v>73.099999999999994</v>
      </c>
      <c r="D251" s="12">
        <v>18.2</v>
      </c>
      <c r="E251" s="12" t="s">
        <v>45</v>
      </c>
      <c r="F251" s="12" t="s">
        <v>45</v>
      </c>
      <c r="G251" s="12" t="s">
        <v>223</v>
      </c>
      <c r="H251" s="12"/>
      <c r="I251" s="12" t="s">
        <v>45</v>
      </c>
      <c r="J251" s="12" t="s">
        <v>47</v>
      </c>
      <c r="K251" s="12" t="s">
        <v>48</v>
      </c>
      <c r="L251" s="12" t="s">
        <v>49</v>
      </c>
      <c r="M251" s="11" t="s">
        <v>56</v>
      </c>
      <c r="N251" s="11" t="s">
        <v>233</v>
      </c>
      <c r="O251" s="11" t="s">
        <v>233</v>
      </c>
      <c r="P251" s="11" t="s">
        <v>51</v>
      </c>
      <c r="Q251" s="72" t="s">
        <v>288</v>
      </c>
      <c r="R251" s="65">
        <v>11</v>
      </c>
      <c r="S251" s="71">
        <v>2.6</v>
      </c>
      <c r="T251" s="71">
        <v>1.8</v>
      </c>
      <c r="U251" s="65">
        <v>11</v>
      </c>
      <c r="V251" s="65">
        <v>3.9</v>
      </c>
      <c r="W251" s="70">
        <v>3.5</v>
      </c>
      <c r="X251" s="130">
        <f t="shared" si="50"/>
        <v>1.2999999999999998</v>
      </c>
      <c r="Y251" s="16">
        <f t="shared" si="53"/>
        <v>0.91403202649280602</v>
      </c>
      <c r="Z251" s="286" t="s">
        <v>53</v>
      </c>
      <c r="AA251" s="287" t="s">
        <v>53</v>
      </c>
      <c r="AB251" s="16">
        <v>0.91403202649280602</v>
      </c>
      <c r="AC251" s="66" t="s">
        <v>49</v>
      </c>
      <c r="AD251" s="51" t="s">
        <v>282</v>
      </c>
      <c r="AE251" s="13">
        <v>6</v>
      </c>
      <c r="AF251" s="13">
        <v>3</v>
      </c>
      <c r="AG251" s="13">
        <v>50</v>
      </c>
      <c r="AH251" s="134">
        <v>211360</v>
      </c>
      <c r="AI251" s="134">
        <v>3.5</v>
      </c>
      <c r="AJ251" s="135">
        <f t="shared" si="51"/>
        <v>175</v>
      </c>
      <c r="AK251" s="136">
        <f t="shared" si="52"/>
        <v>525</v>
      </c>
      <c r="AL251" s="136" t="str" cm="1">
        <f t="array" ref="AL251">_xlfn.IFS(
AI251&lt;3,"Ligera",
AI251&lt;=6,"Moderada",
AI251&gt;6,"Vigorosa"
)</f>
        <v>Moderada</v>
      </c>
      <c r="AM251" s="45" t="s">
        <v>48</v>
      </c>
      <c r="AN251" s="46" t="s">
        <v>60</v>
      </c>
      <c r="AO251" s="46" t="s">
        <v>61</v>
      </c>
      <c r="AP251" s="289" t="s">
        <v>128</v>
      </c>
      <c r="AQ251" s="139">
        <v>0</v>
      </c>
    </row>
    <row r="252" spans="1:43" ht="62.25" customHeight="1" thickBot="1">
      <c r="A252" s="138" t="s">
        <v>281</v>
      </c>
      <c r="B252" s="12">
        <v>21</v>
      </c>
      <c r="C252" s="12">
        <v>70.099999999999994</v>
      </c>
      <c r="D252" s="12">
        <v>57.1</v>
      </c>
      <c r="E252" s="12" t="s">
        <v>45</v>
      </c>
      <c r="F252" s="12" t="s">
        <v>45</v>
      </c>
      <c r="G252" s="12" t="s">
        <v>223</v>
      </c>
      <c r="H252" s="12"/>
      <c r="I252" s="12" t="s">
        <v>45</v>
      </c>
      <c r="J252" s="12" t="s">
        <v>47</v>
      </c>
      <c r="K252" s="12" t="s">
        <v>48</v>
      </c>
      <c r="L252" s="12" t="s">
        <v>49</v>
      </c>
      <c r="M252" s="11" t="s">
        <v>56</v>
      </c>
      <c r="N252" s="11" t="s">
        <v>152</v>
      </c>
      <c r="O252" s="11" t="s">
        <v>153</v>
      </c>
      <c r="P252" s="11" t="s">
        <v>51</v>
      </c>
      <c r="Q252" s="72" t="s">
        <v>288</v>
      </c>
      <c r="R252" s="65">
        <v>7</v>
      </c>
      <c r="S252" s="71">
        <v>4.7</v>
      </c>
      <c r="T252" s="70">
        <v>3.5</v>
      </c>
      <c r="U252" s="65">
        <v>7</v>
      </c>
      <c r="V252" s="65">
        <v>9.3000000000000007</v>
      </c>
      <c r="W252" s="70">
        <v>5</v>
      </c>
      <c r="X252" s="130">
        <f t="shared" si="50"/>
        <v>4.6000000000000005</v>
      </c>
      <c r="Y252" s="16">
        <f t="shared" si="53"/>
        <v>1.6797108594721208</v>
      </c>
      <c r="Z252" s="15">
        <f t="shared" si="54"/>
        <v>3.3000000000000007</v>
      </c>
      <c r="AA252" s="16">
        <f t="shared" si="55"/>
        <v>17.03125</v>
      </c>
      <c r="AB252" s="16">
        <f t="shared" si="56"/>
        <v>1.9953273337553337</v>
      </c>
      <c r="AC252" s="66" t="s">
        <v>49</v>
      </c>
      <c r="AD252" s="51" t="s">
        <v>285</v>
      </c>
      <c r="AE252" s="13">
        <v>6</v>
      </c>
      <c r="AF252" s="13">
        <v>3</v>
      </c>
      <c r="AG252" s="13">
        <v>50</v>
      </c>
      <c r="AH252" s="13">
        <v>2230060</v>
      </c>
      <c r="AI252" s="13">
        <v>3.5</v>
      </c>
      <c r="AJ252" s="135">
        <f t="shared" si="51"/>
        <v>175</v>
      </c>
      <c r="AK252" s="136">
        <f t="shared" si="52"/>
        <v>525</v>
      </c>
      <c r="AL252" s="136" t="str" cm="1">
        <f t="array" ref="AL252">_xlfn.IFS(
AI252&lt;3,"Ligera",
AI252&lt;=6,"Moderada",
AI252&gt;6,"Vigorosa"
)</f>
        <v>Moderada</v>
      </c>
      <c r="AM252" s="45" t="s">
        <v>48</v>
      </c>
      <c r="AN252" s="46" t="s">
        <v>60</v>
      </c>
      <c r="AO252" s="46" t="s">
        <v>61</v>
      </c>
      <c r="AP252" s="289" t="s">
        <v>128</v>
      </c>
      <c r="AQ252" s="139">
        <v>0</v>
      </c>
    </row>
    <row r="253" spans="1:43" ht="62.25" customHeight="1" thickBot="1">
      <c r="A253" s="138" t="s">
        <v>281</v>
      </c>
      <c r="B253" s="12">
        <v>21</v>
      </c>
      <c r="C253" s="12">
        <v>73.099999999999994</v>
      </c>
      <c r="D253" s="12">
        <v>18.2</v>
      </c>
      <c r="E253" s="12" t="s">
        <v>45</v>
      </c>
      <c r="F253" s="12" t="s">
        <v>45</v>
      </c>
      <c r="G253" s="12" t="s">
        <v>223</v>
      </c>
      <c r="H253" s="12"/>
      <c r="I253" s="12" t="s">
        <v>45</v>
      </c>
      <c r="J253" s="12" t="s">
        <v>47</v>
      </c>
      <c r="K253" s="12" t="s">
        <v>48</v>
      </c>
      <c r="L253" s="12" t="s">
        <v>49</v>
      </c>
      <c r="M253" s="11" t="s">
        <v>56</v>
      </c>
      <c r="N253" s="11" t="s">
        <v>233</v>
      </c>
      <c r="O253" s="11" t="s">
        <v>233</v>
      </c>
      <c r="P253" s="11" t="s">
        <v>51</v>
      </c>
      <c r="Q253" s="72" t="s">
        <v>289</v>
      </c>
      <c r="R253" s="65">
        <v>11</v>
      </c>
      <c r="S253" s="71">
        <v>24.7</v>
      </c>
      <c r="T253" s="71">
        <v>6.2</v>
      </c>
      <c r="U253" s="65">
        <v>11</v>
      </c>
      <c r="V253" s="65">
        <v>27.2</v>
      </c>
      <c r="W253" s="70">
        <v>3.1</v>
      </c>
      <c r="X253" s="130">
        <f t="shared" si="50"/>
        <v>2.5</v>
      </c>
      <c r="Y253" s="16">
        <f t="shared" si="53"/>
        <v>1.61892220038799</v>
      </c>
      <c r="Z253" s="286" t="s">
        <v>53</v>
      </c>
      <c r="AA253" s="287" t="s">
        <v>53</v>
      </c>
      <c r="AB253" s="16">
        <v>1.61892220038799</v>
      </c>
      <c r="AC253" s="66" t="s">
        <v>49</v>
      </c>
      <c r="AD253" s="51" t="s">
        <v>282</v>
      </c>
      <c r="AE253" s="13">
        <v>6</v>
      </c>
      <c r="AF253" s="13">
        <v>3</v>
      </c>
      <c r="AG253" s="13">
        <v>50</v>
      </c>
      <c r="AH253" s="134">
        <v>211360</v>
      </c>
      <c r="AI253" s="134">
        <v>3.5</v>
      </c>
      <c r="AJ253" s="135">
        <f t="shared" si="51"/>
        <v>175</v>
      </c>
      <c r="AK253" s="136">
        <f t="shared" si="52"/>
        <v>525</v>
      </c>
      <c r="AL253" s="136" t="str" cm="1">
        <f t="array" ref="AL253">_xlfn.IFS(
AI253&lt;3,"Ligera",
AI253&lt;=6,"Moderada",
AI253&gt;6,"Vigorosa"
)</f>
        <v>Moderada</v>
      </c>
      <c r="AM253" s="45" t="s">
        <v>48</v>
      </c>
      <c r="AN253" s="46" t="s">
        <v>60</v>
      </c>
      <c r="AO253" s="46" t="s">
        <v>61</v>
      </c>
      <c r="AP253" s="289" t="s">
        <v>128</v>
      </c>
      <c r="AQ253" s="139">
        <v>0</v>
      </c>
    </row>
    <row r="254" spans="1:43" ht="62.25" customHeight="1" thickBot="1">
      <c r="A254" s="138" t="s">
        <v>281</v>
      </c>
      <c r="B254" s="12">
        <v>21</v>
      </c>
      <c r="C254" s="12">
        <v>70.099999999999994</v>
      </c>
      <c r="D254" s="12">
        <v>57.1</v>
      </c>
      <c r="E254" s="12" t="s">
        <v>45</v>
      </c>
      <c r="F254" s="12" t="s">
        <v>45</v>
      </c>
      <c r="G254" s="12" t="s">
        <v>223</v>
      </c>
      <c r="H254" s="12"/>
      <c r="I254" s="12" t="s">
        <v>45</v>
      </c>
      <c r="J254" s="12" t="s">
        <v>47</v>
      </c>
      <c r="K254" s="12" t="s">
        <v>48</v>
      </c>
      <c r="L254" s="12" t="s">
        <v>49</v>
      </c>
      <c r="M254" s="11" t="s">
        <v>56</v>
      </c>
      <c r="N254" s="11" t="s">
        <v>152</v>
      </c>
      <c r="O254" s="11" t="s">
        <v>153</v>
      </c>
      <c r="P254" s="11" t="s">
        <v>51</v>
      </c>
      <c r="Q254" s="72" t="s">
        <v>289</v>
      </c>
      <c r="R254" s="65">
        <v>7</v>
      </c>
      <c r="S254" s="71">
        <v>24.7</v>
      </c>
      <c r="T254" s="70">
        <v>13.6</v>
      </c>
      <c r="U254" s="65">
        <v>7</v>
      </c>
      <c r="V254" s="65">
        <v>26.9</v>
      </c>
      <c r="W254" s="70">
        <v>8.3000000000000007</v>
      </c>
      <c r="X254" s="130">
        <f t="shared" si="50"/>
        <v>2.1999999999999993</v>
      </c>
      <c r="Y254" s="16">
        <f t="shared" si="53"/>
        <v>4.4876019685987547</v>
      </c>
      <c r="Z254" s="15">
        <f t="shared" si="54"/>
        <v>-0.30000000000000071</v>
      </c>
      <c r="AA254" s="16">
        <f t="shared" si="55"/>
        <v>31.840000000000007</v>
      </c>
      <c r="AB254" s="16">
        <f t="shared" si="56"/>
        <v>2.7282076319658817</v>
      </c>
      <c r="AC254" s="66" t="s">
        <v>49</v>
      </c>
      <c r="AD254" s="51" t="s">
        <v>285</v>
      </c>
      <c r="AE254" s="13">
        <v>6</v>
      </c>
      <c r="AF254" s="13">
        <v>3</v>
      </c>
      <c r="AG254" s="13">
        <v>50</v>
      </c>
      <c r="AH254" s="13">
        <v>2230060</v>
      </c>
      <c r="AI254" s="13">
        <v>3.5</v>
      </c>
      <c r="AJ254" s="135">
        <f t="shared" si="51"/>
        <v>175</v>
      </c>
      <c r="AK254" s="136">
        <f t="shared" si="52"/>
        <v>525</v>
      </c>
      <c r="AL254" s="136" t="str" cm="1">
        <f t="array" ref="AL254">_xlfn.IFS(
AI254&lt;3,"Ligera",
AI254&lt;=6,"Moderada",
AI254&gt;6,"Vigorosa"
)</f>
        <v>Moderada</v>
      </c>
      <c r="AM254" s="45" t="s">
        <v>48</v>
      </c>
      <c r="AN254" s="46" t="s">
        <v>60</v>
      </c>
      <c r="AO254" s="46" t="s">
        <v>61</v>
      </c>
      <c r="AP254" s="289" t="s">
        <v>128</v>
      </c>
      <c r="AQ254" s="139">
        <v>0</v>
      </c>
    </row>
    <row r="255" spans="1:43" ht="62.25" customHeight="1" thickBot="1">
      <c r="A255" s="138" t="s">
        <v>281</v>
      </c>
      <c r="B255" s="12">
        <v>21</v>
      </c>
      <c r="C255" s="12">
        <v>73.099999999999994</v>
      </c>
      <c r="D255" s="12">
        <v>18.2</v>
      </c>
      <c r="E255" s="12" t="s">
        <v>45</v>
      </c>
      <c r="F255" s="12" t="s">
        <v>45</v>
      </c>
      <c r="G255" s="12" t="s">
        <v>223</v>
      </c>
      <c r="H255" s="12"/>
      <c r="I255" s="12" t="s">
        <v>45</v>
      </c>
      <c r="J255" s="12" t="s">
        <v>47</v>
      </c>
      <c r="K255" s="12" t="s">
        <v>48</v>
      </c>
      <c r="L255" s="12" t="s">
        <v>49</v>
      </c>
      <c r="M255" s="11" t="s">
        <v>56</v>
      </c>
      <c r="N255" s="11" t="s">
        <v>233</v>
      </c>
      <c r="O255" s="11" t="s">
        <v>233</v>
      </c>
      <c r="P255" s="11" t="s">
        <v>51</v>
      </c>
      <c r="Q255" s="72" t="s">
        <v>290</v>
      </c>
      <c r="R255" s="65">
        <v>11</v>
      </c>
      <c r="S255" s="71">
        <v>9.1999999999999993</v>
      </c>
      <c r="T255" s="71">
        <v>6.8</v>
      </c>
      <c r="U255" s="65">
        <v>11</v>
      </c>
      <c r="V255" s="65">
        <v>10.3</v>
      </c>
      <c r="W255" s="70">
        <v>5.5</v>
      </c>
      <c r="X255" s="130">
        <f t="shared" si="50"/>
        <v>1.1000000000000014</v>
      </c>
      <c r="Y255" s="16">
        <f t="shared" si="53"/>
        <v>1.8851091118649772</v>
      </c>
      <c r="Z255" s="286" t="s">
        <v>53</v>
      </c>
      <c r="AA255" s="287" t="s">
        <v>53</v>
      </c>
      <c r="AB255" s="16">
        <v>1.8851091118649772</v>
      </c>
      <c r="AC255" s="66" t="s">
        <v>49</v>
      </c>
      <c r="AD255" s="51" t="s">
        <v>282</v>
      </c>
      <c r="AE255" s="13">
        <v>6</v>
      </c>
      <c r="AF255" s="13">
        <v>3</v>
      </c>
      <c r="AG255" s="13">
        <v>50</v>
      </c>
      <c r="AH255" s="134">
        <v>211360</v>
      </c>
      <c r="AI255" s="134">
        <v>3.5</v>
      </c>
      <c r="AJ255" s="135">
        <f t="shared" si="51"/>
        <v>175</v>
      </c>
      <c r="AK255" s="136">
        <f t="shared" si="52"/>
        <v>525</v>
      </c>
      <c r="AL255" s="136" t="str" cm="1">
        <f t="array" ref="AL255">_xlfn.IFS(
AI255&lt;3,"Ligera",
AI255&lt;=6,"Moderada",
AI255&gt;6,"Vigorosa"
)</f>
        <v>Moderada</v>
      </c>
      <c r="AM255" s="45" t="s">
        <v>48</v>
      </c>
      <c r="AN255" s="46" t="s">
        <v>60</v>
      </c>
      <c r="AO255" s="46" t="s">
        <v>61</v>
      </c>
      <c r="AP255" s="289" t="s">
        <v>128</v>
      </c>
      <c r="AQ255" s="139">
        <v>0</v>
      </c>
    </row>
    <row r="256" spans="1:43" ht="62.25" customHeight="1" thickBot="1">
      <c r="A256" s="138" t="s">
        <v>281</v>
      </c>
      <c r="B256" s="12">
        <v>21</v>
      </c>
      <c r="C256" s="12">
        <v>70.099999999999994</v>
      </c>
      <c r="D256" s="12">
        <v>57.1</v>
      </c>
      <c r="E256" s="12" t="s">
        <v>45</v>
      </c>
      <c r="F256" s="12" t="s">
        <v>45</v>
      </c>
      <c r="G256" s="12" t="s">
        <v>223</v>
      </c>
      <c r="H256" s="12"/>
      <c r="I256" s="12" t="s">
        <v>45</v>
      </c>
      <c r="J256" s="12" t="s">
        <v>47</v>
      </c>
      <c r="K256" s="12" t="s">
        <v>48</v>
      </c>
      <c r="L256" s="12" t="s">
        <v>49</v>
      </c>
      <c r="M256" s="11" t="s">
        <v>56</v>
      </c>
      <c r="N256" s="11" t="s">
        <v>152</v>
      </c>
      <c r="O256" s="11" t="s">
        <v>153</v>
      </c>
      <c r="P256" s="11" t="s">
        <v>51</v>
      </c>
      <c r="Q256" s="72" t="s">
        <v>290</v>
      </c>
      <c r="R256" s="65">
        <v>7</v>
      </c>
      <c r="S256" s="71">
        <v>5.4</v>
      </c>
      <c r="T256" s="70">
        <v>5</v>
      </c>
      <c r="U256" s="65">
        <v>7</v>
      </c>
      <c r="V256" s="65">
        <v>15.7</v>
      </c>
      <c r="W256" s="70">
        <v>11.5</v>
      </c>
      <c r="X256" s="130">
        <f t="shared" si="50"/>
        <v>10.299999999999999</v>
      </c>
      <c r="Y256" s="16">
        <f t="shared" si="53"/>
        <v>3.7749172176353745</v>
      </c>
      <c r="Z256" s="15">
        <f t="shared" si="54"/>
        <v>9.1999999999999975</v>
      </c>
      <c r="AA256" s="16">
        <f t="shared" si="55"/>
        <v>68.5</v>
      </c>
      <c r="AB256" s="16">
        <f t="shared" si="56"/>
        <v>4.0016230473380441</v>
      </c>
      <c r="AC256" s="66" t="s">
        <v>49</v>
      </c>
      <c r="AD256" s="51" t="s">
        <v>285</v>
      </c>
      <c r="AE256" s="13">
        <v>6</v>
      </c>
      <c r="AF256" s="13">
        <v>3</v>
      </c>
      <c r="AG256" s="13">
        <v>50</v>
      </c>
      <c r="AH256" s="13">
        <v>2230060</v>
      </c>
      <c r="AI256" s="13">
        <v>3.5</v>
      </c>
      <c r="AJ256" s="135">
        <f t="shared" si="51"/>
        <v>175</v>
      </c>
      <c r="AK256" s="136">
        <f t="shared" si="52"/>
        <v>525</v>
      </c>
      <c r="AL256" s="136" t="str" cm="1">
        <f t="array" ref="AL256">_xlfn.IFS(
AI256&lt;3,"Ligera",
AI256&lt;=6,"Moderada",
AI256&gt;6,"Vigorosa"
)</f>
        <v>Moderada</v>
      </c>
      <c r="AM256" s="45" t="s">
        <v>48</v>
      </c>
      <c r="AN256" s="46" t="s">
        <v>60</v>
      </c>
      <c r="AO256" s="46" t="s">
        <v>61</v>
      </c>
      <c r="AP256" s="289" t="s">
        <v>128</v>
      </c>
      <c r="AQ256" s="139">
        <v>0</v>
      </c>
    </row>
    <row r="257" spans="1:43" ht="62.25" customHeight="1" thickBot="1">
      <c r="A257" s="138" t="s">
        <v>281</v>
      </c>
      <c r="B257" s="12">
        <v>21</v>
      </c>
      <c r="C257" s="12">
        <v>73.099999999999994</v>
      </c>
      <c r="D257" s="12">
        <v>18.2</v>
      </c>
      <c r="E257" s="12" t="s">
        <v>45</v>
      </c>
      <c r="F257" s="12" t="s">
        <v>45</v>
      </c>
      <c r="G257" s="12" t="s">
        <v>223</v>
      </c>
      <c r="H257" s="12"/>
      <c r="I257" s="12" t="s">
        <v>45</v>
      </c>
      <c r="J257" s="12" t="s">
        <v>47</v>
      </c>
      <c r="K257" s="12" t="s">
        <v>48</v>
      </c>
      <c r="L257" s="12" t="s">
        <v>49</v>
      </c>
      <c r="M257" s="11" t="s">
        <v>56</v>
      </c>
      <c r="N257" s="11" t="s">
        <v>233</v>
      </c>
      <c r="O257" s="11" t="s">
        <v>233</v>
      </c>
      <c r="P257" s="11" t="s">
        <v>51</v>
      </c>
      <c r="Q257" s="72" t="s">
        <v>124</v>
      </c>
      <c r="R257" s="65">
        <v>11</v>
      </c>
      <c r="S257" s="71">
        <v>11.4</v>
      </c>
      <c r="T257" s="71">
        <v>4.0999999999999996</v>
      </c>
      <c r="U257" s="65">
        <v>11</v>
      </c>
      <c r="V257" s="65">
        <v>10</v>
      </c>
      <c r="W257" s="70">
        <v>3.7</v>
      </c>
      <c r="X257" s="130">
        <f t="shared" si="50"/>
        <v>-1.4000000000000004</v>
      </c>
      <c r="Y257" s="16">
        <f t="shared" si="53"/>
        <v>1.1805237666545996</v>
      </c>
      <c r="Z257" s="286" t="s">
        <v>53</v>
      </c>
      <c r="AA257" s="287" t="s">
        <v>53</v>
      </c>
      <c r="AB257" s="16">
        <v>1.1805237666545996</v>
      </c>
      <c r="AC257" s="66" t="s">
        <v>48</v>
      </c>
      <c r="AD257" s="51" t="s">
        <v>282</v>
      </c>
      <c r="AE257" s="13">
        <v>6</v>
      </c>
      <c r="AF257" s="13">
        <v>3</v>
      </c>
      <c r="AG257" s="13">
        <v>50</v>
      </c>
      <c r="AH257" s="134">
        <v>211360</v>
      </c>
      <c r="AI257" s="134">
        <v>3.5</v>
      </c>
      <c r="AJ257" s="135">
        <f t="shared" si="51"/>
        <v>175</v>
      </c>
      <c r="AK257" s="136">
        <f t="shared" si="52"/>
        <v>525</v>
      </c>
      <c r="AL257" s="136" t="str" cm="1">
        <f t="array" ref="AL257">_xlfn.IFS(
AI257&lt;3,"Ligera",
AI257&lt;=6,"Moderada",
AI257&gt;6,"Vigorosa"
)</f>
        <v>Moderada</v>
      </c>
      <c r="AM257" s="45" t="s">
        <v>48</v>
      </c>
      <c r="AN257" s="46" t="s">
        <v>60</v>
      </c>
      <c r="AO257" s="46" t="s">
        <v>61</v>
      </c>
      <c r="AP257" s="289" t="s">
        <v>128</v>
      </c>
      <c r="AQ257" s="139">
        <v>0</v>
      </c>
    </row>
    <row r="258" spans="1:43" ht="62.25" customHeight="1" thickBot="1">
      <c r="A258" s="138" t="s">
        <v>281</v>
      </c>
      <c r="B258" s="12">
        <v>21</v>
      </c>
      <c r="C258" s="12">
        <v>70.099999999999994</v>
      </c>
      <c r="D258" s="12">
        <v>57.1</v>
      </c>
      <c r="E258" s="12" t="s">
        <v>45</v>
      </c>
      <c r="F258" s="12" t="s">
        <v>45</v>
      </c>
      <c r="G258" s="12" t="s">
        <v>223</v>
      </c>
      <c r="H258" s="12"/>
      <c r="I258" s="12" t="s">
        <v>45</v>
      </c>
      <c r="J258" s="12" t="s">
        <v>47</v>
      </c>
      <c r="K258" s="12" t="s">
        <v>48</v>
      </c>
      <c r="L258" s="12" t="s">
        <v>49</v>
      </c>
      <c r="M258" s="11" t="s">
        <v>56</v>
      </c>
      <c r="N258" s="11" t="s">
        <v>152</v>
      </c>
      <c r="O258" s="11" t="s">
        <v>153</v>
      </c>
      <c r="P258" s="11" t="s">
        <v>51</v>
      </c>
      <c r="Q258" s="72" t="s">
        <v>124</v>
      </c>
      <c r="R258" s="65">
        <v>7</v>
      </c>
      <c r="S258" s="71">
        <v>12.7</v>
      </c>
      <c r="T258" s="70">
        <v>6.5</v>
      </c>
      <c r="U258" s="65">
        <v>7</v>
      </c>
      <c r="V258" s="65">
        <v>9.6</v>
      </c>
      <c r="W258" s="70">
        <v>4</v>
      </c>
      <c r="X258" s="130">
        <f t="shared" si="50"/>
        <v>-3.0999999999999996</v>
      </c>
      <c r="Y258" s="16">
        <f t="shared" si="53"/>
        <v>2.1464256001881026</v>
      </c>
      <c r="Z258" s="15">
        <f t="shared" si="54"/>
        <v>-1.6999999999999993</v>
      </c>
      <c r="AA258" s="16">
        <f t="shared" si="55"/>
        <v>14.55625</v>
      </c>
      <c r="AB258" s="16">
        <f t="shared" si="56"/>
        <v>1.8446570793130468</v>
      </c>
      <c r="AC258" s="66" t="s">
        <v>48</v>
      </c>
      <c r="AD258" s="51" t="s">
        <v>285</v>
      </c>
      <c r="AE258" s="13">
        <v>6</v>
      </c>
      <c r="AF258" s="13">
        <v>3</v>
      </c>
      <c r="AG258" s="13">
        <v>50</v>
      </c>
      <c r="AH258" s="13">
        <v>2230060</v>
      </c>
      <c r="AI258" s="13">
        <v>3.5</v>
      </c>
      <c r="AJ258" s="135">
        <f t="shared" si="51"/>
        <v>175</v>
      </c>
      <c r="AK258" s="136">
        <f t="shared" si="52"/>
        <v>525</v>
      </c>
      <c r="AL258" s="136" t="str" cm="1">
        <f t="array" ref="AL258">_xlfn.IFS(
AI258&lt;3,"Ligera",
AI258&lt;=6,"Moderada",
AI258&gt;6,"Vigorosa"
)</f>
        <v>Moderada</v>
      </c>
      <c r="AM258" s="45" t="s">
        <v>48</v>
      </c>
      <c r="AN258" s="46" t="s">
        <v>60</v>
      </c>
      <c r="AO258" s="46" t="s">
        <v>61</v>
      </c>
      <c r="AP258" s="289" t="s">
        <v>128</v>
      </c>
      <c r="AQ258" s="139">
        <v>0</v>
      </c>
    </row>
    <row r="259" spans="1:43" ht="62.25" customHeight="1" thickBot="1">
      <c r="A259" s="138" t="s">
        <v>281</v>
      </c>
      <c r="B259" s="12">
        <v>21</v>
      </c>
      <c r="C259" s="12">
        <v>73.099999999999994</v>
      </c>
      <c r="D259" s="12">
        <v>18.2</v>
      </c>
      <c r="E259" s="12" t="s">
        <v>45</v>
      </c>
      <c r="F259" s="12" t="s">
        <v>45</v>
      </c>
      <c r="G259" s="12" t="s">
        <v>223</v>
      </c>
      <c r="H259" s="12"/>
      <c r="I259" s="12" t="s">
        <v>45</v>
      </c>
      <c r="J259" s="12" t="s">
        <v>47</v>
      </c>
      <c r="K259" s="12" t="s">
        <v>48</v>
      </c>
      <c r="L259" s="12" t="s">
        <v>49</v>
      </c>
      <c r="M259" s="11" t="s">
        <v>56</v>
      </c>
      <c r="N259" s="11" t="s">
        <v>233</v>
      </c>
      <c r="O259" s="11" t="s">
        <v>233</v>
      </c>
      <c r="P259" s="11" t="s">
        <v>197</v>
      </c>
      <c r="Q259" s="72" t="s">
        <v>198</v>
      </c>
      <c r="R259" s="65">
        <v>11</v>
      </c>
      <c r="S259" s="71">
        <v>26</v>
      </c>
      <c r="T259" s="71">
        <v>8.9</v>
      </c>
      <c r="U259" s="65">
        <v>11</v>
      </c>
      <c r="V259" s="65">
        <v>23.6</v>
      </c>
      <c r="W259" s="70">
        <v>6.8</v>
      </c>
      <c r="X259" s="130">
        <f t="shared" si="50"/>
        <v>-2.3999999999999986</v>
      </c>
      <c r="Y259" s="16">
        <f t="shared" si="53"/>
        <v>2.4295528956429973</v>
      </c>
      <c r="Z259" s="286" t="s">
        <v>53</v>
      </c>
      <c r="AA259" s="287" t="s">
        <v>53</v>
      </c>
      <c r="AB259" s="16">
        <v>2.4295528956429973</v>
      </c>
      <c r="AC259" s="66" t="s">
        <v>48</v>
      </c>
      <c r="AD259" s="51" t="s">
        <v>282</v>
      </c>
      <c r="AE259" s="13">
        <v>6</v>
      </c>
      <c r="AF259" s="13">
        <v>3</v>
      </c>
      <c r="AG259" s="13">
        <v>50</v>
      </c>
      <c r="AH259" s="134">
        <v>211360</v>
      </c>
      <c r="AI259" s="134">
        <v>3.5</v>
      </c>
      <c r="AJ259" s="135">
        <f t="shared" si="51"/>
        <v>175</v>
      </c>
      <c r="AK259" s="136">
        <f t="shared" si="52"/>
        <v>525</v>
      </c>
      <c r="AL259" s="136" t="str" cm="1">
        <f t="array" ref="AL259">_xlfn.IFS(
AI259&lt;3,"Ligera",
AI259&lt;=6,"Moderada",
AI259&gt;6,"Vigorosa"
)</f>
        <v>Moderada</v>
      </c>
      <c r="AM259" s="45" t="s">
        <v>48</v>
      </c>
      <c r="AN259" s="46" t="s">
        <v>60</v>
      </c>
      <c r="AO259" s="46" t="s">
        <v>61</v>
      </c>
      <c r="AP259" s="289" t="s">
        <v>128</v>
      </c>
      <c r="AQ259" s="139">
        <v>0</v>
      </c>
    </row>
    <row r="260" spans="1:43" ht="44.1" customHeight="1" thickBot="1">
      <c r="A260" s="140" t="s">
        <v>281</v>
      </c>
      <c r="B260" s="141">
        <v>21</v>
      </c>
      <c r="C260" s="141">
        <v>70.099999999999994</v>
      </c>
      <c r="D260" s="141">
        <v>57.1</v>
      </c>
      <c r="E260" s="141" t="s">
        <v>45</v>
      </c>
      <c r="F260" s="141" t="s">
        <v>45</v>
      </c>
      <c r="G260" s="141" t="s">
        <v>223</v>
      </c>
      <c r="H260" s="141"/>
      <c r="I260" s="141" t="s">
        <v>45</v>
      </c>
      <c r="J260" s="141" t="s">
        <v>47</v>
      </c>
      <c r="K260" s="141" t="s">
        <v>48</v>
      </c>
      <c r="L260" s="141" t="s">
        <v>49</v>
      </c>
      <c r="M260" s="142" t="s">
        <v>56</v>
      </c>
      <c r="N260" s="142" t="s">
        <v>152</v>
      </c>
      <c r="O260" s="142" t="s">
        <v>153</v>
      </c>
      <c r="P260" s="142" t="s">
        <v>197</v>
      </c>
      <c r="Q260" s="153" t="s">
        <v>198</v>
      </c>
      <c r="R260" s="144">
        <v>7</v>
      </c>
      <c r="S260" s="164">
        <v>26.1</v>
      </c>
      <c r="T260" s="162">
        <v>10.1</v>
      </c>
      <c r="U260" s="144">
        <v>7</v>
      </c>
      <c r="V260" s="144">
        <v>23</v>
      </c>
      <c r="W260" s="162">
        <v>5.2</v>
      </c>
      <c r="X260" s="130">
        <f t="shared" si="50"/>
        <v>-3.1000000000000014</v>
      </c>
      <c r="Y260" s="16">
        <f t="shared" si="53"/>
        <v>3.3064871303026626</v>
      </c>
      <c r="Z260" s="15">
        <f t="shared" si="54"/>
        <v>-0.70000000000000284</v>
      </c>
      <c r="AA260" s="16">
        <f t="shared" si="55"/>
        <v>39.04</v>
      </c>
      <c r="AB260" s="16">
        <f t="shared" si="56"/>
        <v>3.0209657009363355</v>
      </c>
      <c r="AC260" s="66" t="s">
        <v>48</v>
      </c>
      <c r="AD260" s="151" t="s">
        <v>285</v>
      </c>
      <c r="AE260" s="146">
        <v>6</v>
      </c>
      <c r="AF260" s="146">
        <v>3</v>
      </c>
      <c r="AG260" s="146">
        <v>50</v>
      </c>
      <c r="AH260" s="13">
        <v>2230060</v>
      </c>
      <c r="AI260" s="13">
        <v>3.5</v>
      </c>
      <c r="AJ260" s="135">
        <f t="shared" si="51"/>
        <v>175</v>
      </c>
      <c r="AK260" s="136">
        <f t="shared" si="52"/>
        <v>525</v>
      </c>
      <c r="AL260" s="136" t="str" cm="1">
        <f t="array" ref="AL260">_xlfn.IFS(
AI260&lt;3,"Ligera",
AI260&lt;=6,"Moderada",
AI260&gt;6,"Vigorosa"
)</f>
        <v>Moderada</v>
      </c>
      <c r="AM260" s="147" t="s">
        <v>48</v>
      </c>
      <c r="AN260" s="148" t="s">
        <v>60</v>
      </c>
      <c r="AO260" s="148" t="s">
        <v>61</v>
      </c>
      <c r="AP260" s="290" t="s">
        <v>128</v>
      </c>
      <c r="AQ260" s="149">
        <v>0</v>
      </c>
    </row>
    <row r="261" spans="1:43" ht="73.5" customHeight="1" thickBot="1">
      <c r="A261" s="124" t="s">
        <v>291</v>
      </c>
      <c r="B261" s="125">
        <v>169</v>
      </c>
      <c r="C261" s="125">
        <v>75</v>
      </c>
      <c r="D261" s="125">
        <v>41.07</v>
      </c>
      <c r="E261" s="125" t="s">
        <v>45</v>
      </c>
      <c r="F261" s="125" t="s">
        <v>45</v>
      </c>
      <c r="G261" s="125" t="s">
        <v>292</v>
      </c>
      <c r="H261" s="125"/>
      <c r="I261" s="125" t="s">
        <v>45</v>
      </c>
      <c r="J261" s="125" t="s">
        <v>47</v>
      </c>
      <c r="K261" s="125" t="s">
        <v>49</v>
      </c>
      <c r="L261" s="125" t="s">
        <v>48</v>
      </c>
      <c r="M261" s="126" t="s">
        <v>50</v>
      </c>
      <c r="N261" s="126" t="s">
        <v>50</v>
      </c>
      <c r="O261" s="126" t="s">
        <v>50</v>
      </c>
      <c r="P261" s="126" t="s">
        <v>51</v>
      </c>
      <c r="Q261" s="157" t="s">
        <v>293</v>
      </c>
      <c r="R261" s="128">
        <v>50</v>
      </c>
      <c r="S261" s="152">
        <v>12.7</v>
      </c>
      <c r="T261" s="166">
        <v>5.34</v>
      </c>
      <c r="U261" s="128">
        <v>50</v>
      </c>
      <c r="V261" s="128">
        <v>9.1999999999999993</v>
      </c>
      <c r="W261" s="152">
        <v>3.7</v>
      </c>
      <c r="X261" s="130">
        <f t="shared" si="50"/>
        <v>-3.5</v>
      </c>
      <c r="Y261" s="16">
        <f t="shared" si="53"/>
        <v>0.67003880484640599</v>
      </c>
      <c r="Z261" s="286" t="s">
        <v>53</v>
      </c>
      <c r="AA261" s="287" t="s">
        <v>53</v>
      </c>
      <c r="AB261" s="16">
        <v>0.67003880484640599</v>
      </c>
      <c r="AC261" s="66" t="s">
        <v>49</v>
      </c>
      <c r="AD261" s="133" t="s">
        <v>294</v>
      </c>
      <c r="AE261" s="134">
        <v>12</v>
      </c>
      <c r="AF261" s="134">
        <v>0</v>
      </c>
      <c r="AG261" s="134">
        <v>0</v>
      </c>
      <c r="AH261" s="134">
        <v>0</v>
      </c>
      <c r="AI261" s="134">
        <v>0</v>
      </c>
      <c r="AJ261" s="135">
        <f t="shared" si="51"/>
        <v>0</v>
      </c>
      <c r="AK261" s="136">
        <f t="shared" si="52"/>
        <v>0</v>
      </c>
      <c r="AL261" s="136" t="str" cm="1">
        <f t="array" ref="AL261">_xlfn.IFS(
AI261&lt;3,"Ligera",
AI261&lt;=6,"Moderada",
AI261&gt;6,"Vigorosa"
)</f>
        <v>Ligera</v>
      </c>
      <c r="AM261" s="136" t="s">
        <v>49</v>
      </c>
      <c r="AN261" s="135" t="s">
        <v>49</v>
      </c>
      <c r="AO261" s="135" t="s">
        <v>49</v>
      </c>
      <c r="AP261" s="288" t="s">
        <v>49</v>
      </c>
      <c r="AQ261" s="137">
        <v>0</v>
      </c>
    </row>
    <row r="262" spans="1:43" ht="75" customHeight="1" thickBot="1">
      <c r="A262" s="138" t="s">
        <v>291</v>
      </c>
      <c r="B262" s="12">
        <v>169</v>
      </c>
      <c r="C262" s="12">
        <v>74.400000000000006</v>
      </c>
      <c r="D262" s="12">
        <v>50</v>
      </c>
      <c r="E262" s="12" t="s">
        <v>45</v>
      </c>
      <c r="F262" s="12" t="s">
        <v>45</v>
      </c>
      <c r="G262" s="12" t="s">
        <v>292</v>
      </c>
      <c r="H262" s="12"/>
      <c r="I262" s="12" t="s">
        <v>45</v>
      </c>
      <c r="J262" s="12" t="s">
        <v>47</v>
      </c>
      <c r="K262" s="12" t="s">
        <v>49</v>
      </c>
      <c r="L262" s="12" t="s">
        <v>48</v>
      </c>
      <c r="M262" s="11" t="s">
        <v>56</v>
      </c>
      <c r="N262" s="11" t="s">
        <v>76</v>
      </c>
      <c r="O262" s="11" t="s">
        <v>103</v>
      </c>
      <c r="P262" s="11" t="s">
        <v>51</v>
      </c>
      <c r="Q262" s="72" t="s">
        <v>293</v>
      </c>
      <c r="R262" s="65">
        <v>52</v>
      </c>
      <c r="S262" s="70">
        <v>12.5</v>
      </c>
      <c r="T262" s="70">
        <v>5.23</v>
      </c>
      <c r="U262" s="65">
        <v>52</v>
      </c>
      <c r="V262" s="65">
        <v>18.100000000000001</v>
      </c>
      <c r="W262" s="70">
        <v>5.69</v>
      </c>
      <c r="X262" s="130">
        <f t="shared" si="50"/>
        <v>5.6000000000000014</v>
      </c>
      <c r="Y262" s="16">
        <f t="shared" si="53"/>
        <v>0.75917845272170581</v>
      </c>
      <c r="Z262" s="15">
        <f t="shared" si="54"/>
        <v>9.1000000000000014</v>
      </c>
      <c r="AA262" s="16">
        <f t="shared" si="55"/>
        <v>23.219911000000003</v>
      </c>
      <c r="AB262" s="16">
        <f t="shared" si="56"/>
        <v>0.95442913304236487</v>
      </c>
      <c r="AC262" s="66" t="s">
        <v>49</v>
      </c>
      <c r="AD262" s="51" t="s">
        <v>295</v>
      </c>
      <c r="AE262" s="13">
        <v>12</v>
      </c>
      <c r="AF262" s="13">
        <v>2</v>
      </c>
      <c r="AG262" s="13">
        <v>35</v>
      </c>
      <c r="AH262" s="13" t="s">
        <v>296</v>
      </c>
      <c r="AI262" s="13">
        <v>3</v>
      </c>
      <c r="AJ262" s="135">
        <v>107.5</v>
      </c>
      <c r="AK262" s="136">
        <f t="shared" si="52"/>
        <v>215</v>
      </c>
      <c r="AL262" s="136" t="str" cm="1">
        <f t="array" ref="AL262">_xlfn.IFS(
AI262&lt;3,"Ligera",
AI262&lt;=6,"Moderada",
AI262&gt;6,"Vigorosa"
)</f>
        <v>Moderada</v>
      </c>
      <c r="AM262" s="45" t="s">
        <v>48</v>
      </c>
      <c r="AN262" s="46" t="s">
        <v>60</v>
      </c>
      <c r="AO262" s="46" t="s">
        <v>61</v>
      </c>
      <c r="AP262" s="289" t="s">
        <v>155</v>
      </c>
      <c r="AQ262" s="139">
        <v>0</v>
      </c>
    </row>
    <row r="263" spans="1:43" ht="75" customHeight="1" thickBot="1">
      <c r="A263" s="138" t="s">
        <v>291</v>
      </c>
      <c r="B263" s="12">
        <v>169</v>
      </c>
      <c r="C263" s="12">
        <v>73.8</v>
      </c>
      <c r="D263" s="12">
        <v>35.090000000000003</v>
      </c>
      <c r="E263" s="12" t="s">
        <v>45</v>
      </c>
      <c r="F263" s="12" t="s">
        <v>45</v>
      </c>
      <c r="G263" s="12" t="s">
        <v>292</v>
      </c>
      <c r="H263" s="12"/>
      <c r="I263" s="12" t="s">
        <v>45</v>
      </c>
      <c r="J263" s="12" t="s">
        <v>47</v>
      </c>
      <c r="K263" s="12" t="s">
        <v>49</v>
      </c>
      <c r="L263" s="12" t="s">
        <v>48</v>
      </c>
      <c r="M263" s="11" t="s">
        <v>56</v>
      </c>
      <c r="N263" s="11" t="s">
        <v>162</v>
      </c>
      <c r="O263" s="11" t="s">
        <v>297</v>
      </c>
      <c r="P263" s="11" t="s">
        <v>51</v>
      </c>
      <c r="Q263" s="72" t="s">
        <v>293</v>
      </c>
      <c r="R263" s="65">
        <v>54</v>
      </c>
      <c r="S263" s="71">
        <v>12.6</v>
      </c>
      <c r="T263" s="71">
        <v>5.28</v>
      </c>
      <c r="U263" s="65">
        <v>54</v>
      </c>
      <c r="V263" s="65">
        <v>19.100000000000001</v>
      </c>
      <c r="W263" s="70">
        <v>4.51</v>
      </c>
      <c r="X263" s="130">
        <f t="shared" si="50"/>
        <v>6.5000000000000018</v>
      </c>
      <c r="Y263" s="16">
        <f t="shared" si="53"/>
        <v>0.6722777754822834</v>
      </c>
      <c r="Z263" s="15">
        <f>X263-X261</f>
        <v>10.000000000000002</v>
      </c>
      <c r="AA263" s="16">
        <f>((U263-1)*W263^2+(U261-1)*W261^2)/((U263-1)+(U261-1))</f>
        <v>17.14544411764706</v>
      </c>
      <c r="AB263" s="16">
        <f>SQRT(AA263*((1/U263)+(1/U261)))</f>
        <v>0.81266051137840623</v>
      </c>
      <c r="AC263" s="66" t="s">
        <v>49</v>
      </c>
      <c r="AD263" s="51" t="s">
        <v>298</v>
      </c>
      <c r="AE263" s="13">
        <v>12</v>
      </c>
      <c r="AF263" s="13">
        <v>2</v>
      </c>
      <c r="AG263" s="13">
        <v>30</v>
      </c>
      <c r="AH263" s="13">
        <v>303160</v>
      </c>
      <c r="AI263" s="13">
        <v>6.3</v>
      </c>
      <c r="AJ263" s="135">
        <f t="shared" si="51"/>
        <v>189</v>
      </c>
      <c r="AK263" s="136">
        <f t="shared" si="52"/>
        <v>378</v>
      </c>
      <c r="AL263" s="136" t="str" cm="1">
        <f t="array" ref="AL263">_xlfn.IFS(
AI263&lt;3,"Ligera",
AI263&lt;=6,"Moderada",
AI263&gt;6,"Vigorosa"
)</f>
        <v>Vigorosa</v>
      </c>
      <c r="AM263" s="45" t="s">
        <v>49</v>
      </c>
      <c r="AN263" s="46" t="s">
        <v>49</v>
      </c>
      <c r="AO263" s="46" t="s">
        <v>61</v>
      </c>
      <c r="AP263" s="289" t="s">
        <v>155</v>
      </c>
      <c r="AQ263" s="139">
        <v>0</v>
      </c>
    </row>
    <row r="264" spans="1:43" ht="73.5" customHeight="1" thickBot="1">
      <c r="A264" s="138" t="s">
        <v>291</v>
      </c>
      <c r="B264" s="12">
        <v>169</v>
      </c>
      <c r="C264" s="12">
        <v>75</v>
      </c>
      <c r="D264" s="12">
        <v>41.07</v>
      </c>
      <c r="E264" s="12" t="s">
        <v>45</v>
      </c>
      <c r="F264" s="12" t="s">
        <v>45</v>
      </c>
      <c r="G264" s="12" t="s">
        <v>292</v>
      </c>
      <c r="H264" s="12"/>
      <c r="I264" s="12" t="s">
        <v>45</v>
      </c>
      <c r="J264" s="12" t="s">
        <v>47</v>
      </c>
      <c r="K264" s="12" t="s">
        <v>49</v>
      </c>
      <c r="L264" s="12" t="s">
        <v>48</v>
      </c>
      <c r="M264" s="11" t="s">
        <v>50</v>
      </c>
      <c r="N264" s="11" t="s">
        <v>50</v>
      </c>
      <c r="O264" s="11" t="s">
        <v>50</v>
      </c>
      <c r="P264" s="11" t="s">
        <v>51</v>
      </c>
      <c r="Q264" s="72" t="s">
        <v>299</v>
      </c>
      <c r="R264" s="65">
        <v>50</v>
      </c>
      <c r="S264" s="70">
        <v>11.3</v>
      </c>
      <c r="T264" s="71">
        <v>4.97</v>
      </c>
      <c r="U264" s="65">
        <v>50</v>
      </c>
      <c r="V264" s="65">
        <v>10.9</v>
      </c>
      <c r="W264" s="70">
        <v>5.01</v>
      </c>
      <c r="X264" s="130">
        <f t="shared" si="50"/>
        <v>-0.40000000000000036</v>
      </c>
      <c r="Y264" s="16">
        <f t="shared" si="53"/>
        <v>0.7057095719911981</v>
      </c>
      <c r="Z264" s="286" t="s">
        <v>53</v>
      </c>
      <c r="AA264" s="287" t="s">
        <v>53</v>
      </c>
      <c r="AB264" s="16">
        <v>0.7057095719911981</v>
      </c>
      <c r="AC264" s="66" t="s">
        <v>49</v>
      </c>
      <c r="AD264" s="51" t="s">
        <v>294</v>
      </c>
      <c r="AE264" s="13">
        <v>12</v>
      </c>
      <c r="AF264" s="13">
        <v>0</v>
      </c>
      <c r="AG264" s="13">
        <v>0</v>
      </c>
      <c r="AH264" s="134">
        <v>0</v>
      </c>
      <c r="AI264" s="134">
        <v>0</v>
      </c>
      <c r="AJ264" s="135">
        <f t="shared" si="51"/>
        <v>0</v>
      </c>
      <c r="AK264" s="136">
        <f t="shared" si="52"/>
        <v>0</v>
      </c>
      <c r="AL264" s="136" t="str" cm="1">
        <f t="array" ref="AL264">_xlfn.IFS(
AI264&lt;3,"Ligera",
AI264&lt;=6,"Moderada",
AI264&gt;6,"Vigorosa"
)</f>
        <v>Ligera</v>
      </c>
      <c r="AM264" s="45" t="s">
        <v>49</v>
      </c>
      <c r="AN264" s="46" t="s">
        <v>49</v>
      </c>
      <c r="AO264" s="46" t="s">
        <v>49</v>
      </c>
      <c r="AP264" s="289" t="s">
        <v>49</v>
      </c>
      <c r="AQ264" s="139">
        <v>0</v>
      </c>
    </row>
    <row r="265" spans="1:43" ht="75" customHeight="1" thickBot="1">
      <c r="A265" s="138" t="s">
        <v>291</v>
      </c>
      <c r="B265" s="12">
        <v>169</v>
      </c>
      <c r="C265" s="12">
        <v>74.400000000000006</v>
      </c>
      <c r="D265" s="12">
        <v>50</v>
      </c>
      <c r="E265" s="12" t="s">
        <v>45</v>
      </c>
      <c r="F265" s="12" t="s">
        <v>45</v>
      </c>
      <c r="G265" s="12" t="s">
        <v>292</v>
      </c>
      <c r="H265" s="12"/>
      <c r="I265" s="12" t="s">
        <v>45</v>
      </c>
      <c r="J265" s="12" t="s">
        <v>47</v>
      </c>
      <c r="K265" s="12" t="s">
        <v>49</v>
      </c>
      <c r="L265" s="12" t="s">
        <v>48</v>
      </c>
      <c r="M265" s="11" t="s">
        <v>56</v>
      </c>
      <c r="N265" s="11" t="s">
        <v>76</v>
      </c>
      <c r="O265" s="11" t="s">
        <v>103</v>
      </c>
      <c r="P265" s="11" t="s">
        <v>51</v>
      </c>
      <c r="Q265" s="72" t="s">
        <v>299</v>
      </c>
      <c r="R265" s="65">
        <v>52</v>
      </c>
      <c r="S265" s="70">
        <v>10.8</v>
      </c>
      <c r="T265" s="70">
        <v>3.93</v>
      </c>
      <c r="U265" s="65">
        <v>52</v>
      </c>
      <c r="V265" s="65">
        <v>17.399999999999999</v>
      </c>
      <c r="W265" s="70">
        <v>4.59</v>
      </c>
      <c r="X265" s="130">
        <f t="shared" si="50"/>
        <v>6.5999999999999979</v>
      </c>
      <c r="Y265" s="16">
        <f t="shared" si="53"/>
        <v>0.59604949458916578</v>
      </c>
      <c r="Z265" s="15">
        <f t="shared" si="54"/>
        <v>6.9999999999999982</v>
      </c>
      <c r="AA265" s="16">
        <f t="shared" si="55"/>
        <v>23.043779999999998</v>
      </c>
      <c r="AB265" s="16">
        <f t="shared" si="56"/>
        <v>0.95080240606795663</v>
      </c>
      <c r="AC265" s="66" t="s">
        <v>49</v>
      </c>
      <c r="AD265" s="51" t="s">
        <v>295</v>
      </c>
      <c r="AE265" s="13">
        <v>12</v>
      </c>
      <c r="AF265" s="13">
        <v>2</v>
      </c>
      <c r="AG265" s="13">
        <v>35</v>
      </c>
      <c r="AH265" s="13" t="s">
        <v>296</v>
      </c>
      <c r="AI265" s="13">
        <v>3</v>
      </c>
      <c r="AJ265" s="135">
        <v>107.5</v>
      </c>
      <c r="AK265" s="136">
        <f t="shared" si="52"/>
        <v>215</v>
      </c>
      <c r="AL265" s="136" t="str" cm="1">
        <f t="array" ref="AL265">_xlfn.IFS(
AI265&lt;3,"Ligera",
AI265&lt;=6,"Moderada",
AI265&gt;6,"Vigorosa"
)</f>
        <v>Moderada</v>
      </c>
      <c r="AM265" s="45" t="s">
        <v>48</v>
      </c>
      <c r="AN265" s="46" t="s">
        <v>60</v>
      </c>
      <c r="AO265" s="46" t="s">
        <v>61</v>
      </c>
      <c r="AP265" s="289" t="s">
        <v>155</v>
      </c>
      <c r="AQ265" s="139">
        <v>0</v>
      </c>
    </row>
    <row r="266" spans="1:43" ht="75" customHeight="1" thickBot="1">
      <c r="A266" s="138" t="s">
        <v>291</v>
      </c>
      <c r="B266" s="12">
        <v>169</v>
      </c>
      <c r="C266" s="12">
        <v>73.8</v>
      </c>
      <c r="D266" s="12">
        <v>35.090000000000003</v>
      </c>
      <c r="E266" s="12" t="s">
        <v>45</v>
      </c>
      <c r="F266" s="12" t="s">
        <v>45</v>
      </c>
      <c r="G266" s="12" t="s">
        <v>292</v>
      </c>
      <c r="H266" s="12"/>
      <c r="I266" s="12" t="s">
        <v>45</v>
      </c>
      <c r="J266" s="12" t="s">
        <v>47</v>
      </c>
      <c r="K266" s="12" t="s">
        <v>49</v>
      </c>
      <c r="L266" s="12" t="s">
        <v>48</v>
      </c>
      <c r="M266" s="11" t="s">
        <v>56</v>
      </c>
      <c r="N266" s="11" t="s">
        <v>162</v>
      </c>
      <c r="O266" s="11" t="s">
        <v>297</v>
      </c>
      <c r="P266" s="11" t="s">
        <v>51</v>
      </c>
      <c r="Q266" s="72" t="s">
        <v>299</v>
      </c>
      <c r="R266" s="65">
        <v>54</v>
      </c>
      <c r="S266" s="71">
        <v>10.8</v>
      </c>
      <c r="T266" s="71">
        <v>4.08</v>
      </c>
      <c r="U266" s="65">
        <v>54</v>
      </c>
      <c r="V266" s="65">
        <v>18.5</v>
      </c>
      <c r="W266" s="70">
        <v>4.12</v>
      </c>
      <c r="X266" s="130">
        <f t="shared" si="50"/>
        <v>7.6999999999999993</v>
      </c>
      <c r="Y266" s="16">
        <f t="shared" si="53"/>
        <v>0.55795924449597445</v>
      </c>
      <c r="Z266" s="15">
        <f>X266-X264</f>
        <v>8.1</v>
      </c>
      <c r="AA266" s="16">
        <f>((U266-1)*W266^2+(U264-1)*W264^2)/((U266-1)+(U264-1))</f>
        <v>20.877922549019608</v>
      </c>
      <c r="AB266" s="16">
        <f>SQRT(AA266*((1/U266)+(1/U264)))</f>
        <v>0.8967645434185092</v>
      </c>
      <c r="AC266" s="66" t="s">
        <v>49</v>
      </c>
      <c r="AD266" s="51" t="s">
        <v>298</v>
      </c>
      <c r="AE266" s="13">
        <v>12</v>
      </c>
      <c r="AF266" s="13">
        <v>2</v>
      </c>
      <c r="AG266" s="13">
        <v>30</v>
      </c>
      <c r="AH266" s="13">
        <v>303160</v>
      </c>
      <c r="AI266" s="13">
        <v>6.3</v>
      </c>
      <c r="AJ266" s="135">
        <f t="shared" si="51"/>
        <v>189</v>
      </c>
      <c r="AK266" s="136">
        <f t="shared" si="52"/>
        <v>378</v>
      </c>
      <c r="AL266" s="136" t="str" cm="1">
        <f t="array" ref="AL266">_xlfn.IFS(
AI266&lt;3,"Ligera",
AI266&lt;=6,"Moderada",
AI266&gt;6,"Vigorosa"
)</f>
        <v>Vigorosa</v>
      </c>
      <c r="AM266" s="45" t="s">
        <v>49</v>
      </c>
      <c r="AN266" s="46" t="s">
        <v>49</v>
      </c>
      <c r="AO266" s="46" t="s">
        <v>61</v>
      </c>
      <c r="AP266" s="289" t="s">
        <v>155</v>
      </c>
      <c r="AQ266" s="139">
        <v>0</v>
      </c>
    </row>
    <row r="267" spans="1:43" ht="73.5" customHeight="1" thickBot="1">
      <c r="A267" s="138" t="s">
        <v>291</v>
      </c>
      <c r="B267" s="12">
        <v>169</v>
      </c>
      <c r="C267" s="12">
        <v>75</v>
      </c>
      <c r="D267" s="12">
        <v>41.07</v>
      </c>
      <c r="E267" s="12" t="s">
        <v>45</v>
      </c>
      <c r="F267" s="12" t="s">
        <v>45</v>
      </c>
      <c r="G267" s="12" t="s">
        <v>292</v>
      </c>
      <c r="H267" s="12"/>
      <c r="I267" s="12" t="s">
        <v>45</v>
      </c>
      <c r="J267" s="12" t="s">
        <v>47</v>
      </c>
      <c r="K267" s="12" t="s">
        <v>49</v>
      </c>
      <c r="L267" s="12" t="s">
        <v>48</v>
      </c>
      <c r="M267" s="11" t="s">
        <v>50</v>
      </c>
      <c r="N267" s="11" t="s">
        <v>50</v>
      </c>
      <c r="O267" s="11" t="s">
        <v>50</v>
      </c>
      <c r="P267" s="11" t="s">
        <v>51</v>
      </c>
      <c r="Q267" s="72" t="s">
        <v>81</v>
      </c>
      <c r="R267" s="65">
        <v>50</v>
      </c>
      <c r="S267" s="70">
        <v>9.6</v>
      </c>
      <c r="T267" s="71">
        <v>3.24</v>
      </c>
      <c r="U267" s="65">
        <v>50</v>
      </c>
      <c r="V267" s="65">
        <v>9.1</v>
      </c>
      <c r="W267" s="70">
        <v>3.18</v>
      </c>
      <c r="X267" s="130">
        <f t="shared" si="50"/>
        <v>-0.5</v>
      </c>
      <c r="Y267" s="16">
        <f t="shared" si="53"/>
        <v>0.4540220258974228</v>
      </c>
      <c r="Z267" s="286" t="s">
        <v>53</v>
      </c>
      <c r="AA267" s="287" t="s">
        <v>53</v>
      </c>
      <c r="AB267" s="16">
        <v>0.4540220258974228</v>
      </c>
      <c r="AC267" s="66" t="s">
        <v>49</v>
      </c>
      <c r="AD267" s="51" t="s">
        <v>294</v>
      </c>
      <c r="AE267" s="13">
        <v>12</v>
      </c>
      <c r="AF267" s="13">
        <v>0</v>
      </c>
      <c r="AG267" s="13">
        <v>0</v>
      </c>
      <c r="AH267" s="134">
        <v>0</v>
      </c>
      <c r="AI267" s="134">
        <v>0</v>
      </c>
      <c r="AJ267" s="135">
        <f t="shared" si="51"/>
        <v>0</v>
      </c>
      <c r="AK267" s="136">
        <f t="shared" si="52"/>
        <v>0</v>
      </c>
      <c r="AL267" s="136" t="str" cm="1">
        <f t="array" ref="AL267">_xlfn.IFS(
AI267&lt;3,"Ligera",
AI267&lt;=6,"Moderada",
AI267&gt;6,"Vigorosa"
)</f>
        <v>Ligera</v>
      </c>
      <c r="AM267" s="45" t="s">
        <v>49</v>
      </c>
      <c r="AN267" s="46" t="s">
        <v>49</v>
      </c>
      <c r="AO267" s="46" t="s">
        <v>49</v>
      </c>
      <c r="AP267" s="289" t="s">
        <v>49</v>
      </c>
      <c r="AQ267" s="139">
        <v>0</v>
      </c>
    </row>
    <row r="268" spans="1:43" ht="75" customHeight="1" thickBot="1">
      <c r="A268" s="138" t="s">
        <v>291</v>
      </c>
      <c r="B268" s="12">
        <v>169</v>
      </c>
      <c r="C268" s="12">
        <v>74.400000000000006</v>
      </c>
      <c r="D268" s="12">
        <v>50</v>
      </c>
      <c r="E268" s="12" t="s">
        <v>45</v>
      </c>
      <c r="F268" s="12" t="s">
        <v>45</v>
      </c>
      <c r="G268" s="12" t="s">
        <v>292</v>
      </c>
      <c r="H268" s="12"/>
      <c r="I268" s="12" t="s">
        <v>45</v>
      </c>
      <c r="J268" s="12" t="s">
        <v>47</v>
      </c>
      <c r="K268" s="12" t="s">
        <v>49</v>
      </c>
      <c r="L268" s="12" t="s">
        <v>48</v>
      </c>
      <c r="M268" s="11" t="s">
        <v>56</v>
      </c>
      <c r="N268" s="11" t="s">
        <v>76</v>
      </c>
      <c r="O268" s="11" t="s">
        <v>103</v>
      </c>
      <c r="P268" s="11" t="s">
        <v>51</v>
      </c>
      <c r="Q268" s="72" t="s">
        <v>81</v>
      </c>
      <c r="R268" s="65">
        <v>52</v>
      </c>
      <c r="S268" s="70">
        <v>9</v>
      </c>
      <c r="T268" s="70">
        <v>3.81</v>
      </c>
      <c r="U268" s="65">
        <v>52</v>
      </c>
      <c r="V268" s="65">
        <v>11.6</v>
      </c>
      <c r="W268" s="70">
        <v>3.83</v>
      </c>
      <c r="X268" s="130">
        <f t="shared" si="50"/>
        <v>2.5999999999999996</v>
      </c>
      <c r="Y268" s="16">
        <f t="shared" si="53"/>
        <v>0.52974413272243637</v>
      </c>
      <c r="Z268" s="15">
        <f t="shared" si="54"/>
        <v>3.0999999999999996</v>
      </c>
      <c r="AA268" s="16">
        <f t="shared" si="55"/>
        <v>12.436215000000002</v>
      </c>
      <c r="AB268" s="16">
        <f t="shared" si="56"/>
        <v>0.69848570548668421</v>
      </c>
      <c r="AC268" s="66" t="s">
        <v>49</v>
      </c>
      <c r="AD268" s="51" t="s">
        <v>295</v>
      </c>
      <c r="AE268" s="13">
        <v>12</v>
      </c>
      <c r="AF268" s="13">
        <v>2</v>
      </c>
      <c r="AG268" s="13">
        <v>35</v>
      </c>
      <c r="AH268" s="13" t="s">
        <v>296</v>
      </c>
      <c r="AI268" s="13">
        <v>3</v>
      </c>
      <c r="AJ268" s="135">
        <v>107.5</v>
      </c>
      <c r="AK268" s="136">
        <f t="shared" si="52"/>
        <v>215</v>
      </c>
      <c r="AL268" s="136" t="str" cm="1">
        <f t="array" ref="AL268">_xlfn.IFS(
AI268&lt;3,"Ligera",
AI268&lt;=6,"Moderada",
AI268&gt;6,"Vigorosa"
)</f>
        <v>Moderada</v>
      </c>
      <c r="AM268" s="45" t="s">
        <v>48</v>
      </c>
      <c r="AN268" s="46" t="s">
        <v>60</v>
      </c>
      <c r="AO268" s="46" t="s">
        <v>61</v>
      </c>
      <c r="AP268" s="289" t="s">
        <v>155</v>
      </c>
      <c r="AQ268" s="139">
        <v>0</v>
      </c>
    </row>
    <row r="269" spans="1:43" ht="75" customHeight="1" thickBot="1">
      <c r="A269" s="138" t="s">
        <v>291</v>
      </c>
      <c r="B269" s="12">
        <v>169</v>
      </c>
      <c r="C269" s="12">
        <v>73.8</v>
      </c>
      <c r="D269" s="12">
        <v>35.090000000000003</v>
      </c>
      <c r="E269" s="12" t="s">
        <v>45</v>
      </c>
      <c r="F269" s="12" t="s">
        <v>45</v>
      </c>
      <c r="G269" s="12" t="s">
        <v>292</v>
      </c>
      <c r="H269" s="12"/>
      <c r="I269" s="12" t="s">
        <v>45</v>
      </c>
      <c r="J269" s="12" t="s">
        <v>47</v>
      </c>
      <c r="K269" s="12" t="s">
        <v>49</v>
      </c>
      <c r="L269" s="12" t="s">
        <v>48</v>
      </c>
      <c r="M269" s="11" t="s">
        <v>56</v>
      </c>
      <c r="N269" s="11" t="s">
        <v>162</v>
      </c>
      <c r="O269" s="11" t="s">
        <v>297</v>
      </c>
      <c r="P269" s="11" t="s">
        <v>51</v>
      </c>
      <c r="Q269" s="72" t="s">
        <v>81</v>
      </c>
      <c r="R269" s="65">
        <v>54</v>
      </c>
      <c r="S269" s="71">
        <v>9</v>
      </c>
      <c r="T269" s="71">
        <v>4.01</v>
      </c>
      <c r="U269" s="65">
        <v>54</v>
      </c>
      <c r="V269" s="65">
        <v>12.7</v>
      </c>
      <c r="W269" s="70">
        <v>3.96</v>
      </c>
      <c r="X269" s="130">
        <f t="shared" si="50"/>
        <v>3.6999999999999993</v>
      </c>
      <c r="Y269" s="16">
        <f t="shared" si="53"/>
        <v>0.5423218260064433</v>
      </c>
      <c r="Z269" s="15">
        <f>X269-X267</f>
        <v>4.1999999999999993</v>
      </c>
      <c r="AA269" s="16">
        <f>((U269-1)*W269^2+(U267-1)*W267^2)/((U269-1)+(U267-1))</f>
        <v>13.0062</v>
      </c>
      <c r="AB269" s="16">
        <f>SQRT(AA269*((1/U269)+(1/U267)))</f>
        <v>0.70779909264957075</v>
      </c>
      <c r="AC269" s="66" t="s">
        <v>49</v>
      </c>
      <c r="AD269" s="51" t="s">
        <v>298</v>
      </c>
      <c r="AE269" s="13">
        <v>12</v>
      </c>
      <c r="AF269" s="13">
        <v>2</v>
      </c>
      <c r="AG269" s="13">
        <v>30</v>
      </c>
      <c r="AH269" s="13">
        <v>303160</v>
      </c>
      <c r="AI269" s="13">
        <v>6.3</v>
      </c>
      <c r="AJ269" s="135">
        <f t="shared" si="51"/>
        <v>189</v>
      </c>
      <c r="AK269" s="136">
        <f t="shared" si="52"/>
        <v>378</v>
      </c>
      <c r="AL269" s="136" t="str" cm="1">
        <f t="array" ref="AL269">_xlfn.IFS(
AI269&lt;3,"Ligera",
AI269&lt;=6,"Moderada",
AI269&gt;6,"Vigorosa"
)</f>
        <v>Vigorosa</v>
      </c>
      <c r="AM269" s="45" t="s">
        <v>49</v>
      </c>
      <c r="AN269" s="46" t="s">
        <v>49</v>
      </c>
      <c r="AO269" s="46" t="s">
        <v>61</v>
      </c>
      <c r="AP269" s="289" t="s">
        <v>155</v>
      </c>
      <c r="AQ269" s="139">
        <v>0</v>
      </c>
    </row>
    <row r="270" spans="1:43" ht="73.5" customHeight="1" thickBot="1">
      <c r="A270" s="138" t="s">
        <v>291</v>
      </c>
      <c r="B270" s="12">
        <v>169</v>
      </c>
      <c r="C270" s="12">
        <v>75</v>
      </c>
      <c r="D270" s="12">
        <v>41.07</v>
      </c>
      <c r="E270" s="12" t="s">
        <v>45</v>
      </c>
      <c r="F270" s="12" t="s">
        <v>45</v>
      </c>
      <c r="G270" s="12" t="s">
        <v>292</v>
      </c>
      <c r="H270" s="12"/>
      <c r="I270" s="12" t="s">
        <v>45</v>
      </c>
      <c r="J270" s="12" t="s">
        <v>47</v>
      </c>
      <c r="K270" s="12" t="s">
        <v>49</v>
      </c>
      <c r="L270" s="12" t="s">
        <v>48</v>
      </c>
      <c r="M270" s="11" t="s">
        <v>50</v>
      </c>
      <c r="N270" s="11" t="s">
        <v>50</v>
      </c>
      <c r="O270" s="11" t="s">
        <v>50</v>
      </c>
      <c r="P270" s="11" t="s">
        <v>86</v>
      </c>
      <c r="Q270" s="72" t="s">
        <v>87</v>
      </c>
      <c r="R270" s="65">
        <v>50</v>
      </c>
      <c r="S270" s="70">
        <v>11.8</v>
      </c>
      <c r="T270" s="71">
        <v>5.37</v>
      </c>
      <c r="U270" s="65">
        <v>50</v>
      </c>
      <c r="V270" s="65">
        <v>11.4</v>
      </c>
      <c r="W270" s="70">
        <v>5.64</v>
      </c>
      <c r="X270" s="130">
        <f t="shared" si="50"/>
        <v>-0.40000000000000036</v>
      </c>
      <c r="Y270" s="16">
        <f t="shared" si="53"/>
        <v>0.77922653958909793</v>
      </c>
      <c r="Z270" s="286" t="s">
        <v>53</v>
      </c>
      <c r="AA270" s="287" t="s">
        <v>53</v>
      </c>
      <c r="AB270" s="16">
        <v>0.77922653958909793</v>
      </c>
      <c r="AC270" s="66" t="s">
        <v>49</v>
      </c>
      <c r="AD270" s="51" t="s">
        <v>294</v>
      </c>
      <c r="AE270" s="13">
        <v>12</v>
      </c>
      <c r="AF270" s="13">
        <v>0</v>
      </c>
      <c r="AG270" s="13">
        <v>0</v>
      </c>
      <c r="AH270" s="134">
        <v>0</v>
      </c>
      <c r="AI270" s="134">
        <v>0</v>
      </c>
      <c r="AJ270" s="135">
        <f t="shared" si="51"/>
        <v>0</v>
      </c>
      <c r="AK270" s="136">
        <f t="shared" si="52"/>
        <v>0</v>
      </c>
      <c r="AL270" s="136" t="str" cm="1">
        <f t="array" ref="AL270">_xlfn.IFS(
AI270&lt;3,"Ligera",
AI270&lt;=6,"Moderada",
AI270&gt;6,"Vigorosa"
)</f>
        <v>Ligera</v>
      </c>
      <c r="AM270" s="45" t="s">
        <v>49</v>
      </c>
      <c r="AN270" s="46" t="s">
        <v>49</v>
      </c>
      <c r="AO270" s="46" t="s">
        <v>49</v>
      </c>
      <c r="AP270" s="289" t="s">
        <v>49</v>
      </c>
      <c r="AQ270" s="139">
        <v>0</v>
      </c>
    </row>
    <row r="271" spans="1:43" ht="75" customHeight="1" thickBot="1">
      <c r="A271" s="138" t="s">
        <v>291</v>
      </c>
      <c r="B271" s="12">
        <v>169</v>
      </c>
      <c r="C271" s="12">
        <v>74.400000000000006</v>
      </c>
      <c r="D271" s="12">
        <v>50</v>
      </c>
      <c r="E271" s="12" t="s">
        <v>45</v>
      </c>
      <c r="F271" s="12" t="s">
        <v>45</v>
      </c>
      <c r="G271" s="12" t="s">
        <v>292</v>
      </c>
      <c r="H271" s="12"/>
      <c r="I271" s="12" t="s">
        <v>45</v>
      </c>
      <c r="J271" s="12" t="s">
        <v>47</v>
      </c>
      <c r="K271" s="12" t="s">
        <v>49</v>
      </c>
      <c r="L271" s="12" t="s">
        <v>48</v>
      </c>
      <c r="M271" s="11" t="s">
        <v>56</v>
      </c>
      <c r="N271" s="11" t="s">
        <v>76</v>
      </c>
      <c r="O271" s="11" t="s">
        <v>103</v>
      </c>
      <c r="P271" s="11" t="s">
        <v>86</v>
      </c>
      <c r="Q271" s="72" t="s">
        <v>87</v>
      </c>
      <c r="R271" s="65">
        <v>52</v>
      </c>
      <c r="S271" s="70">
        <v>12.5</v>
      </c>
      <c r="T271" s="70">
        <v>6.27</v>
      </c>
      <c r="U271" s="65">
        <v>52</v>
      </c>
      <c r="V271" s="65">
        <v>14.4</v>
      </c>
      <c r="W271" s="65">
        <v>5.71</v>
      </c>
      <c r="X271" s="130">
        <f t="shared" si="50"/>
        <v>1.9000000000000004</v>
      </c>
      <c r="Y271" s="16">
        <f t="shared" si="53"/>
        <v>0.83338166526508139</v>
      </c>
      <c r="Z271" s="15">
        <f t="shared" si="54"/>
        <v>2.3000000000000007</v>
      </c>
      <c r="AA271" s="16">
        <f t="shared" si="55"/>
        <v>32.214795000000002</v>
      </c>
      <c r="AB271" s="16">
        <f t="shared" si="56"/>
        <v>1.1241935725049927</v>
      </c>
      <c r="AC271" s="66" t="s">
        <v>49</v>
      </c>
      <c r="AD271" s="51" t="s">
        <v>295</v>
      </c>
      <c r="AE271" s="13">
        <v>12</v>
      </c>
      <c r="AF271" s="13">
        <v>2</v>
      </c>
      <c r="AG271" s="13">
        <v>35</v>
      </c>
      <c r="AH271" s="13" t="s">
        <v>296</v>
      </c>
      <c r="AI271" s="13">
        <v>3</v>
      </c>
      <c r="AJ271" s="135">
        <v>107.5</v>
      </c>
      <c r="AK271" s="136">
        <f t="shared" si="52"/>
        <v>215</v>
      </c>
      <c r="AL271" s="136" t="str" cm="1">
        <f t="array" ref="AL271">_xlfn.IFS(
AI271&lt;3,"Ligera",
AI271&lt;=6,"Moderada",
AI271&gt;6,"Vigorosa"
)</f>
        <v>Moderada</v>
      </c>
      <c r="AM271" s="45" t="s">
        <v>48</v>
      </c>
      <c r="AN271" s="46" t="s">
        <v>60</v>
      </c>
      <c r="AO271" s="46" t="s">
        <v>61</v>
      </c>
      <c r="AP271" s="289" t="s">
        <v>155</v>
      </c>
      <c r="AQ271" s="139">
        <v>0</v>
      </c>
    </row>
    <row r="272" spans="1:43" ht="75" customHeight="1" thickBot="1">
      <c r="A272" s="140" t="s">
        <v>291</v>
      </c>
      <c r="B272" s="141">
        <v>169</v>
      </c>
      <c r="C272" s="141">
        <v>73.8</v>
      </c>
      <c r="D272" s="141">
        <v>35.090000000000003</v>
      </c>
      <c r="E272" s="141" t="s">
        <v>45</v>
      </c>
      <c r="F272" s="141" t="s">
        <v>45</v>
      </c>
      <c r="G272" s="141" t="s">
        <v>292</v>
      </c>
      <c r="H272" s="141"/>
      <c r="I272" s="141" t="s">
        <v>45</v>
      </c>
      <c r="J272" s="141" t="s">
        <v>47</v>
      </c>
      <c r="K272" s="141" t="s">
        <v>49</v>
      </c>
      <c r="L272" s="141" t="s">
        <v>48</v>
      </c>
      <c r="M272" s="142" t="s">
        <v>56</v>
      </c>
      <c r="N272" s="142" t="s">
        <v>162</v>
      </c>
      <c r="O272" s="142" t="s">
        <v>297</v>
      </c>
      <c r="P272" s="11" t="s">
        <v>86</v>
      </c>
      <c r="Q272" s="153" t="s">
        <v>87</v>
      </c>
      <c r="R272" s="144">
        <v>54</v>
      </c>
      <c r="S272" s="164">
        <v>12.7</v>
      </c>
      <c r="T272" s="164">
        <v>5.18</v>
      </c>
      <c r="U272" s="144">
        <v>54</v>
      </c>
      <c r="V272" s="144">
        <v>14.4</v>
      </c>
      <c r="W272" s="162">
        <v>5.71</v>
      </c>
      <c r="X272" s="130">
        <f t="shared" si="50"/>
        <v>1.7000000000000011</v>
      </c>
      <c r="Y272" s="16">
        <f t="shared" si="53"/>
        <v>0.74359860737422634</v>
      </c>
      <c r="Z272" s="15">
        <f>X272-X270</f>
        <v>2.1000000000000014</v>
      </c>
      <c r="AA272" s="16">
        <f>((U272-1)*W272^2+(U270-1)*W270^2)/((U272-1)+(U270-1))</f>
        <v>32.222428431372549</v>
      </c>
      <c r="AB272" s="16">
        <f>SQRT(AA272*((1/U272)+(1/U270)))</f>
        <v>1.1140736987495312</v>
      </c>
      <c r="AC272" s="66" t="s">
        <v>49</v>
      </c>
      <c r="AD272" s="151" t="s">
        <v>298</v>
      </c>
      <c r="AE272" s="146">
        <v>12</v>
      </c>
      <c r="AF272" s="146">
        <v>2</v>
      </c>
      <c r="AG272" s="146">
        <v>30</v>
      </c>
      <c r="AH272" s="13">
        <v>303160</v>
      </c>
      <c r="AI272" s="13">
        <v>6.3</v>
      </c>
      <c r="AJ272" s="135">
        <f t="shared" si="51"/>
        <v>189</v>
      </c>
      <c r="AK272" s="136">
        <f t="shared" si="52"/>
        <v>378</v>
      </c>
      <c r="AL272" s="136" t="str" cm="1">
        <f t="array" ref="AL272">_xlfn.IFS(
AI272&lt;3,"Ligera",
AI272&lt;=6,"Moderada",
AI272&gt;6,"Vigorosa"
)</f>
        <v>Vigorosa</v>
      </c>
      <c r="AM272" s="147" t="s">
        <v>49</v>
      </c>
      <c r="AN272" s="148" t="s">
        <v>49</v>
      </c>
      <c r="AO272" s="148" t="s">
        <v>61</v>
      </c>
      <c r="AP272" s="290" t="s">
        <v>155</v>
      </c>
      <c r="AQ272" s="149">
        <v>0</v>
      </c>
    </row>
    <row r="273" spans="1:45" ht="66" customHeight="1" thickBot="1">
      <c r="A273" s="124" t="s">
        <v>300</v>
      </c>
      <c r="B273" s="125">
        <v>165</v>
      </c>
      <c r="C273" s="125">
        <v>74.13</v>
      </c>
      <c r="D273" s="125">
        <v>41.82</v>
      </c>
      <c r="E273" s="125" t="s">
        <v>45</v>
      </c>
      <c r="F273" s="125" t="s">
        <v>45</v>
      </c>
      <c r="G273" s="125" t="s">
        <v>292</v>
      </c>
      <c r="H273" s="125"/>
      <c r="I273" s="125" t="s">
        <v>45</v>
      </c>
      <c r="J273" s="125" t="s">
        <v>47</v>
      </c>
      <c r="K273" s="125" t="s">
        <v>49</v>
      </c>
      <c r="L273" s="125" t="s">
        <v>48</v>
      </c>
      <c r="M273" s="126" t="s">
        <v>50</v>
      </c>
      <c r="N273" s="126" t="s">
        <v>50</v>
      </c>
      <c r="O273" s="126" t="s">
        <v>50</v>
      </c>
      <c r="P273" s="126" t="s">
        <v>94</v>
      </c>
      <c r="Q273" s="157" t="s">
        <v>119</v>
      </c>
      <c r="R273" s="128">
        <v>55</v>
      </c>
      <c r="S273" s="152">
        <v>25.02</v>
      </c>
      <c r="T273" s="152">
        <v>3.36</v>
      </c>
      <c r="U273" s="152">
        <v>50</v>
      </c>
      <c r="V273" s="128" t="s">
        <v>47</v>
      </c>
      <c r="W273" s="152" t="s">
        <v>47</v>
      </c>
      <c r="X273" s="130"/>
      <c r="Y273" s="16"/>
      <c r="Z273" s="286"/>
      <c r="AA273" s="287"/>
      <c r="AB273" s="16"/>
      <c r="AC273" s="66" t="s">
        <v>49</v>
      </c>
      <c r="AD273" s="133" t="s">
        <v>301</v>
      </c>
      <c r="AE273" s="134">
        <v>12</v>
      </c>
      <c r="AF273" s="134">
        <v>0</v>
      </c>
      <c r="AG273" s="134">
        <v>0</v>
      </c>
      <c r="AH273" s="134">
        <v>0</v>
      </c>
      <c r="AI273" s="134">
        <v>0</v>
      </c>
      <c r="AJ273" s="135">
        <f t="shared" si="51"/>
        <v>0</v>
      </c>
      <c r="AK273" s="136">
        <f t="shared" si="52"/>
        <v>0</v>
      </c>
      <c r="AL273" s="136" t="str" cm="1">
        <f t="array" ref="AL273">_xlfn.IFS(
AI273&lt;3,"Ligera",
AI273&lt;=6,"Moderada",
AI273&gt;6,"Vigorosa"
)</f>
        <v>Ligera</v>
      </c>
      <c r="AM273" s="136" t="s">
        <v>49</v>
      </c>
      <c r="AN273" s="135" t="s">
        <v>49</v>
      </c>
      <c r="AO273" s="135" t="s">
        <v>49</v>
      </c>
      <c r="AP273" s="288" t="s">
        <v>49</v>
      </c>
      <c r="AQ273" s="137">
        <v>0</v>
      </c>
      <c r="AS273" s="43" t="s">
        <v>302</v>
      </c>
    </row>
    <row r="274" spans="1:45" ht="66" customHeight="1" thickBot="1">
      <c r="A274" s="138" t="s">
        <v>300</v>
      </c>
      <c r="B274" s="12">
        <v>165</v>
      </c>
      <c r="C274" s="81">
        <v>74.400000000000006</v>
      </c>
      <c r="D274" s="12">
        <v>45.45</v>
      </c>
      <c r="E274" s="12" t="s">
        <v>45</v>
      </c>
      <c r="F274" s="12" t="s">
        <v>45</v>
      </c>
      <c r="G274" s="12" t="s">
        <v>292</v>
      </c>
      <c r="H274" s="12"/>
      <c r="I274" s="12" t="s">
        <v>45</v>
      </c>
      <c r="J274" s="12" t="s">
        <v>47</v>
      </c>
      <c r="K274" s="12" t="s">
        <v>49</v>
      </c>
      <c r="L274" s="12" t="s">
        <v>48</v>
      </c>
      <c r="M274" s="11" t="s">
        <v>56</v>
      </c>
      <c r="N274" s="11" t="s">
        <v>76</v>
      </c>
      <c r="O274" s="11" t="s">
        <v>103</v>
      </c>
      <c r="P274" s="11" t="s">
        <v>94</v>
      </c>
      <c r="Q274" s="72" t="s">
        <v>119</v>
      </c>
      <c r="R274" s="65">
        <v>55</v>
      </c>
      <c r="S274" s="70">
        <v>24.67</v>
      </c>
      <c r="T274" s="70">
        <v>3.4</v>
      </c>
      <c r="U274" s="70">
        <v>52</v>
      </c>
      <c r="V274" s="65" t="s">
        <v>47</v>
      </c>
      <c r="W274" s="70" t="s">
        <v>47</v>
      </c>
      <c r="X274" s="130"/>
      <c r="Y274" s="16"/>
      <c r="Z274" s="15"/>
      <c r="AA274" s="16"/>
      <c r="AB274" s="16"/>
      <c r="AC274" s="66" t="s">
        <v>49</v>
      </c>
      <c r="AD274" s="51" t="s">
        <v>303</v>
      </c>
      <c r="AE274" s="13">
        <v>12</v>
      </c>
      <c r="AF274" s="13">
        <v>2</v>
      </c>
      <c r="AG274" s="13">
        <v>30</v>
      </c>
      <c r="AH274" s="13" t="s">
        <v>296</v>
      </c>
      <c r="AI274" s="13">
        <v>3</v>
      </c>
      <c r="AJ274" s="135">
        <v>107.5</v>
      </c>
      <c r="AK274" s="136">
        <f t="shared" si="52"/>
        <v>215</v>
      </c>
      <c r="AL274" s="136" t="str" cm="1">
        <f t="array" ref="AL274">_xlfn.IFS(
AI274&lt;3,"Ligera",
AI274&lt;=6,"Moderada",
AI274&gt;6,"Vigorosa"
)</f>
        <v>Moderada</v>
      </c>
      <c r="AM274" s="45" t="s">
        <v>49</v>
      </c>
      <c r="AN274" s="46" t="s">
        <v>49</v>
      </c>
      <c r="AO274" s="46" t="s">
        <v>61</v>
      </c>
      <c r="AP274" s="289" t="s">
        <v>155</v>
      </c>
      <c r="AQ274" s="139">
        <v>0</v>
      </c>
      <c r="AS274" s="43" t="s">
        <v>302</v>
      </c>
    </row>
    <row r="275" spans="1:45" ht="66" customHeight="1" thickBot="1">
      <c r="A275" s="283" t="s">
        <v>300</v>
      </c>
      <c r="B275" s="12">
        <v>165</v>
      </c>
      <c r="C275" s="12">
        <v>74.510000000000005</v>
      </c>
      <c r="D275" s="12">
        <v>34.549999999999997</v>
      </c>
      <c r="E275" s="12" t="s">
        <v>45</v>
      </c>
      <c r="F275" s="12" t="s">
        <v>45</v>
      </c>
      <c r="G275" s="12" t="s">
        <v>292</v>
      </c>
      <c r="H275" s="12"/>
      <c r="I275" s="12" t="s">
        <v>45</v>
      </c>
      <c r="J275" s="12" t="s">
        <v>47</v>
      </c>
      <c r="K275" s="12" t="s">
        <v>49</v>
      </c>
      <c r="L275" s="12" t="s">
        <v>48</v>
      </c>
      <c r="M275" s="11" t="s">
        <v>56</v>
      </c>
      <c r="N275" s="11" t="s">
        <v>162</v>
      </c>
      <c r="O275" s="11" t="s">
        <v>297</v>
      </c>
      <c r="P275" s="11" t="s">
        <v>94</v>
      </c>
      <c r="Q275" s="72" t="s">
        <v>119</v>
      </c>
      <c r="R275" s="65">
        <v>55</v>
      </c>
      <c r="S275" s="70">
        <v>25.13</v>
      </c>
      <c r="T275" s="70">
        <v>3.38</v>
      </c>
      <c r="U275" s="70">
        <v>51</v>
      </c>
      <c r="V275" s="65" t="s">
        <v>47</v>
      </c>
      <c r="W275" s="70" t="s">
        <v>47</v>
      </c>
      <c r="X275" s="130"/>
      <c r="Y275" s="16"/>
      <c r="Z275" s="15"/>
      <c r="AA275" s="16"/>
      <c r="AB275" s="16"/>
      <c r="AC275" s="66" t="s">
        <v>49</v>
      </c>
      <c r="AD275" s="51" t="s">
        <v>304</v>
      </c>
      <c r="AE275" s="13">
        <v>12</v>
      </c>
      <c r="AF275" s="13">
        <v>2</v>
      </c>
      <c r="AG275" s="13">
        <v>30</v>
      </c>
      <c r="AH275" s="13">
        <v>90580</v>
      </c>
      <c r="AI275" s="13">
        <v>3.1</v>
      </c>
      <c r="AJ275" s="135">
        <f t="shared" si="51"/>
        <v>93</v>
      </c>
      <c r="AK275" s="136">
        <f t="shared" si="52"/>
        <v>186</v>
      </c>
      <c r="AL275" s="136" t="str" cm="1">
        <f t="array" ref="AL275">_xlfn.IFS(
AI275&lt;3,"Ligera",
AI275&lt;=6,"Moderada",
AI275&gt;6,"Vigorosa"
)</f>
        <v>Moderada</v>
      </c>
      <c r="AM275" s="45" t="s">
        <v>49</v>
      </c>
      <c r="AN275" s="46" t="s">
        <v>49</v>
      </c>
      <c r="AO275" s="46" t="s">
        <v>61</v>
      </c>
      <c r="AP275" s="289" t="s">
        <v>155</v>
      </c>
      <c r="AQ275" s="139">
        <v>0</v>
      </c>
      <c r="AS275" s="43" t="s">
        <v>302</v>
      </c>
    </row>
    <row r="276" spans="1:45" ht="66" customHeight="1" thickBot="1">
      <c r="A276" s="138" t="s">
        <v>300</v>
      </c>
      <c r="B276" s="12">
        <v>165</v>
      </c>
      <c r="C276" s="12">
        <v>74.13</v>
      </c>
      <c r="D276" s="12">
        <v>41.82</v>
      </c>
      <c r="E276" s="12" t="s">
        <v>45</v>
      </c>
      <c r="F276" s="12" t="s">
        <v>45</v>
      </c>
      <c r="G276" s="12" t="s">
        <v>292</v>
      </c>
      <c r="H276" s="12"/>
      <c r="I276" s="12" t="s">
        <v>45</v>
      </c>
      <c r="J276" s="12" t="s">
        <v>47</v>
      </c>
      <c r="K276" s="12" t="s">
        <v>49</v>
      </c>
      <c r="L276" s="12" t="s">
        <v>48</v>
      </c>
      <c r="M276" s="11" t="s">
        <v>50</v>
      </c>
      <c r="N276" s="11" t="s">
        <v>50</v>
      </c>
      <c r="O276" s="11" t="s">
        <v>50</v>
      </c>
      <c r="P276" s="11" t="s">
        <v>51</v>
      </c>
      <c r="Q276" s="72" t="s">
        <v>293</v>
      </c>
      <c r="R276" s="65">
        <v>55</v>
      </c>
      <c r="S276" s="70">
        <v>12.97</v>
      </c>
      <c r="T276" s="70">
        <v>5.3</v>
      </c>
      <c r="U276" s="70">
        <v>50</v>
      </c>
      <c r="V276" s="65">
        <v>12.2</v>
      </c>
      <c r="W276" s="82">
        <v>6.31</v>
      </c>
      <c r="X276" s="130">
        <f t="shared" si="50"/>
        <v>-0.77000000000000135</v>
      </c>
      <c r="Y276" s="16">
        <f t="shared" si="53"/>
        <v>0.83021804364877538</v>
      </c>
      <c r="Z276" s="286" t="s">
        <v>53</v>
      </c>
      <c r="AA276" s="287" t="s">
        <v>53</v>
      </c>
      <c r="AB276" s="16">
        <v>0.83021804364877538</v>
      </c>
      <c r="AC276" s="66" t="s">
        <v>49</v>
      </c>
      <c r="AD276" s="51" t="s">
        <v>301</v>
      </c>
      <c r="AE276" s="13">
        <v>12</v>
      </c>
      <c r="AF276" s="13">
        <v>0</v>
      </c>
      <c r="AG276" s="13">
        <v>0</v>
      </c>
      <c r="AH276" s="134">
        <v>0</v>
      </c>
      <c r="AI276" s="134">
        <v>0</v>
      </c>
      <c r="AJ276" s="135">
        <f t="shared" si="51"/>
        <v>0</v>
      </c>
      <c r="AK276" s="136">
        <f t="shared" si="52"/>
        <v>0</v>
      </c>
      <c r="AL276" s="136" t="str" cm="1">
        <f t="array" ref="AL276">_xlfn.IFS(
AI276&lt;3,"Ligera",
AI276&lt;=6,"Moderada",
AI276&gt;6,"Vigorosa"
)</f>
        <v>Ligera</v>
      </c>
      <c r="AM276" s="45" t="s">
        <v>49</v>
      </c>
      <c r="AN276" s="46" t="s">
        <v>49</v>
      </c>
      <c r="AO276" s="46" t="s">
        <v>49</v>
      </c>
      <c r="AP276" s="289" t="s">
        <v>49</v>
      </c>
      <c r="AQ276" s="139">
        <v>0</v>
      </c>
      <c r="AS276" s="83" t="s">
        <v>305</v>
      </c>
    </row>
    <row r="277" spans="1:45" ht="66" customHeight="1" thickBot="1">
      <c r="A277" s="138" t="s">
        <v>300</v>
      </c>
      <c r="B277" s="12">
        <v>165</v>
      </c>
      <c r="C277" s="81">
        <v>74.400000000000006</v>
      </c>
      <c r="D277" s="12">
        <v>45.45</v>
      </c>
      <c r="E277" s="12" t="s">
        <v>45</v>
      </c>
      <c r="F277" s="12" t="s">
        <v>45</v>
      </c>
      <c r="G277" s="12" t="s">
        <v>292</v>
      </c>
      <c r="H277" s="12"/>
      <c r="I277" s="12" t="s">
        <v>45</v>
      </c>
      <c r="J277" s="12" t="s">
        <v>47</v>
      </c>
      <c r="K277" s="12" t="s">
        <v>49</v>
      </c>
      <c r="L277" s="12" t="s">
        <v>48</v>
      </c>
      <c r="M277" s="11" t="s">
        <v>56</v>
      </c>
      <c r="N277" s="11" t="s">
        <v>76</v>
      </c>
      <c r="O277" s="11" t="s">
        <v>103</v>
      </c>
      <c r="P277" s="11" t="s">
        <v>51</v>
      </c>
      <c r="Q277" s="72" t="s">
        <v>293</v>
      </c>
      <c r="R277" s="65">
        <v>55</v>
      </c>
      <c r="S277" s="70">
        <v>12.67</v>
      </c>
      <c r="T277" s="70">
        <v>5.38</v>
      </c>
      <c r="U277" s="70">
        <v>52</v>
      </c>
      <c r="V277" s="65">
        <v>18.21</v>
      </c>
      <c r="W277" s="82">
        <v>5.31</v>
      </c>
      <c r="X277" s="130">
        <f t="shared" si="50"/>
        <v>5.5400000000000009</v>
      </c>
      <c r="Y277" s="16">
        <f t="shared" si="53"/>
        <v>0.74126580927491847</v>
      </c>
      <c r="Z277" s="15">
        <f t="shared" si="54"/>
        <v>6.3100000000000023</v>
      </c>
      <c r="AA277" s="16">
        <f t="shared" si="55"/>
        <v>33.88989999999999</v>
      </c>
      <c r="AB277" s="16">
        <f t="shared" si="56"/>
        <v>1.1530511030105499</v>
      </c>
      <c r="AC277" s="66" t="s">
        <v>49</v>
      </c>
      <c r="AD277" s="51" t="s">
        <v>303</v>
      </c>
      <c r="AE277" s="13">
        <v>12</v>
      </c>
      <c r="AF277" s="13">
        <v>2</v>
      </c>
      <c r="AG277" s="13">
        <v>30</v>
      </c>
      <c r="AH277" s="13" t="s">
        <v>296</v>
      </c>
      <c r="AI277" s="13">
        <v>3</v>
      </c>
      <c r="AJ277" s="135">
        <v>107.5</v>
      </c>
      <c r="AK277" s="136">
        <f t="shared" si="52"/>
        <v>215</v>
      </c>
      <c r="AL277" s="136" t="str" cm="1">
        <f t="array" ref="AL277">_xlfn.IFS(
AI277&lt;3,"Ligera",
AI277&lt;=6,"Moderada",
AI277&gt;6,"Vigorosa"
)</f>
        <v>Moderada</v>
      </c>
      <c r="AM277" s="45" t="s">
        <v>49</v>
      </c>
      <c r="AN277" s="46" t="s">
        <v>49</v>
      </c>
      <c r="AO277" s="46" t="s">
        <v>61</v>
      </c>
      <c r="AP277" s="289" t="s">
        <v>155</v>
      </c>
      <c r="AQ277" s="139">
        <v>0</v>
      </c>
      <c r="AS277" s="83" t="s">
        <v>305</v>
      </c>
    </row>
    <row r="278" spans="1:45" ht="66" customHeight="1" thickBot="1">
      <c r="A278" s="283" t="s">
        <v>300</v>
      </c>
      <c r="B278" s="12">
        <v>165</v>
      </c>
      <c r="C278" s="12">
        <v>74.510000000000005</v>
      </c>
      <c r="D278" s="12">
        <v>34.549999999999997</v>
      </c>
      <c r="E278" s="12" t="s">
        <v>45</v>
      </c>
      <c r="F278" s="12" t="s">
        <v>45</v>
      </c>
      <c r="G278" s="12" t="s">
        <v>292</v>
      </c>
      <c r="H278" s="12"/>
      <c r="I278" s="12" t="s">
        <v>45</v>
      </c>
      <c r="J278" s="12" t="s">
        <v>47</v>
      </c>
      <c r="K278" s="12" t="s">
        <v>49</v>
      </c>
      <c r="L278" s="12" t="s">
        <v>48</v>
      </c>
      <c r="M278" s="11" t="s">
        <v>56</v>
      </c>
      <c r="N278" s="11" t="s">
        <v>162</v>
      </c>
      <c r="O278" s="11" t="s">
        <v>297</v>
      </c>
      <c r="P278" s="11" t="s">
        <v>51</v>
      </c>
      <c r="Q278" s="72" t="s">
        <v>293</v>
      </c>
      <c r="R278" s="65">
        <v>55</v>
      </c>
      <c r="S278" s="70">
        <v>12.74</v>
      </c>
      <c r="T278" s="70">
        <v>5.69</v>
      </c>
      <c r="U278" s="70">
        <v>51</v>
      </c>
      <c r="V278" s="65">
        <v>19.510000000000002</v>
      </c>
      <c r="W278" s="82">
        <v>6.08</v>
      </c>
      <c r="X278" s="130">
        <f t="shared" si="50"/>
        <v>6.7700000000000014</v>
      </c>
      <c r="Y278" s="16">
        <f t="shared" si="53"/>
        <v>0.8254208670994071</v>
      </c>
      <c r="Z278" s="15">
        <f>X278-X276</f>
        <v>7.5400000000000027</v>
      </c>
      <c r="AA278" s="16">
        <f>((U278-1)*W278^2+(U276-1)*W276^2)/((U278-1)+(U276-1))</f>
        <v>38.376857575757569</v>
      </c>
      <c r="AB278" s="16">
        <f>SQRT(AA278*((1/U278)+(1/U276)))</f>
        <v>1.232892758905404</v>
      </c>
      <c r="AC278" s="66" t="s">
        <v>49</v>
      </c>
      <c r="AD278" s="51" t="s">
        <v>306</v>
      </c>
      <c r="AE278" s="13">
        <v>12</v>
      </c>
      <c r="AF278" s="13">
        <v>2</v>
      </c>
      <c r="AG278" s="13">
        <v>30</v>
      </c>
      <c r="AH278" s="13">
        <v>90580</v>
      </c>
      <c r="AI278" s="13">
        <v>3.1</v>
      </c>
      <c r="AJ278" s="135">
        <f t="shared" si="51"/>
        <v>93</v>
      </c>
      <c r="AK278" s="136">
        <f t="shared" si="52"/>
        <v>186</v>
      </c>
      <c r="AL278" s="136" t="str" cm="1">
        <f t="array" ref="AL278">_xlfn.IFS(
AI278&lt;3,"Ligera",
AI278&lt;=6,"Moderada",
AI278&gt;6,"Vigorosa"
)</f>
        <v>Moderada</v>
      </c>
      <c r="AM278" s="45" t="s">
        <v>49</v>
      </c>
      <c r="AN278" s="46" t="s">
        <v>49</v>
      </c>
      <c r="AO278" s="46" t="s">
        <v>61</v>
      </c>
      <c r="AP278" s="289" t="s">
        <v>155</v>
      </c>
      <c r="AQ278" s="139">
        <v>0</v>
      </c>
      <c r="AS278" s="83" t="s">
        <v>305</v>
      </c>
    </row>
    <row r="279" spans="1:45" ht="66" customHeight="1" thickBot="1">
      <c r="A279" s="138" t="s">
        <v>300</v>
      </c>
      <c r="B279" s="12">
        <v>165</v>
      </c>
      <c r="C279" s="12">
        <v>74.13</v>
      </c>
      <c r="D279" s="12">
        <v>41.82</v>
      </c>
      <c r="E279" s="12" t="s">
        <v>45</v>
      </c>
      <c r="F279" s="12" t="s">
        <v>45</v>
      </c>
      <c r="G279" s="12" t="s">
        <v>292</v>
      </c>
      <c r="H279" s="12"/>
      <c r="I279" s="12" t="s">
        <v>45</v>
      </c>
      <c r="J279" s="12" t="s">
        <v>47</v>
      </c>
      <c r="K279" s="12" t="s">
        <v>49</v>
      </c>
      <c r="L279" s="12" t="s">
        <v>48</v>
      </c>
      <c r="M279" s="11" t="s">
        <v>50</v>
      </c>
      <c r="N279" s="11" t="s">
        <v>50</v>
      </c>
      <c r="O279" s="11" t="s">
        <v>50</v>
      </c>
      <c r="P279" s="11" t="s">
        <v>51</v>
      </c>
      <c r="Q279" s="72" t="s">
        <v>299</v>
      </c>
      <c r="R279" s="65">
        <v>55</v>
      </c>
      <c r="S279" s="70">
        <v>11.43</v>
      </c>
      <c r="T279" s="70">
        <v>4.79</v>
      </c>
      <c r="U279" s="70">
        <v>50</v>
      </c>
      <c r="V279" s="65">
        <v>11.03</v>
      </c>
      <c r="W279" s="82">
        <v>4.87</v>
      </c>
      <c r="X279" s="130">
        <f t="shared" si="50"/>
        <v>-0.40000000000000036</v>
      </c>
      <c r="Y279" s="16">
        <f t="shared" si="53"/>
        <v>0.68313541849328807</v>
      </c>
      <c r="Z279" s="286" t="s">
        <v>53</v>
      </c>
      <c r="AA279" s="287" t="s">
        <v>53</v>
      </c>
      <c r="AB279" s="16">
        <v>0.68313541849328807</v>
      </c>
      <c r="AC279" s="66" t="s">
        <v>49</v>
      </c>
      <c r="AD279" s="51" t="s">
        <v>301</v>
      </c>
      <c r="AE279" s="13">
        <v>12</v>
      </c>
      <c r="AF279" s="13">
        <v>0</v>
      </c>
      <c r="AG279" s="13">
        <v>0</v>
      </c>
      <c r="AH279" s="134">
        <v>0</v>
      </c>
      <c r="AI279" s="134">
        <v>0</v>
      </c>
      <c r="AJ279" s="135">
        <f t="shared" si="51"/>
        <v>0</v>
      </c>
      <c r="AK279" s="136">
        <f t="shared" si="52"/>
        <v>0</v>
      </c>
      <c r="AL279" s="136" t="str" cm="1">
        <f t="array" ref="AL279">_xlfn.IFS(
AI279&lt;3,"Ligera",
AI279&lt;=6,"Moderada",
AI279&gt;6,"Vigorosa"
)</f>
        <v>Ligera</v>
      </c>
      <c r="AM279" s="45" t="s">
        <v>49</v>
      </c>
      <c r="AN279" s="46" t="s">
        <v>49</v>
      </c>
      <c r="AO279" s="46" t="s">
        <v>49</v>
      </c>
      <c r="AP279" s="289" t="s">
        <v>49</v>
      </c>
      <c r="AQ279" s="139">
        <v>0</v>
      </c>
      <c r="AS279" s="83" t="s">
        <v>305</v>
      </c>
    </row>
    <row r="280" spans="1:45" ht="66" customHeight="1" thickBot="1">
      <c r="A280" s="138" t="s">
        <v>300</v>
      </c>
      <c r="B280" s="12">
        <v>165</v>
      </c>
      <c r="C280" s="81">
        <v>74.400000000000006</v>
      </c>
      <c r="D280" s="12">
        <v>45.45</v>
      </c>
      <c r="E280" s="12" t="s">
        <v>45</v>
      </c>
      <c r="F280" s="12" t="s">
        <v>45</v>
      </c>
      <c r="G280" s="12" t="s">
        <v>292</v>
      </c>
      <c r="H280" s="12"/>
      <c r="I280" s="12" t="s">
        <v>45</v>
      </c>
      <c r="J280" s="12" t="s">
        <v>47</v>
      </c>
      <c r="K280" s="12" t="s">
        <v>49</v>
      </c>
      <c r="L280" s="12" t="s">
        <v>48</v>
      </c>
      <c r="M280" s="11" t="s">
        <v>56</v>
      </c>
      <c r="N280" s="11" t="s">
        <v>76</v>
      </c>
      <c r="O280" s="11" t="s">
        <v>103</v>
      </c>
      <c r="P280" s="11" t="s">
        <v>51</v>
      </c>
      <c r="Q280" s="72" t="s">
        <v>299</v>
      </c>
      <c r="R280" s="65">
        <v>55</v>
      </c>
      <c r="S280" s="70">
        <v>11.14</v>
      </c>
      <c r="T280" s="70">
        <v>4.3099999999999996</v>
      </c>
      <c r="U280" s="70">
        <v>52</v>
      </c>
      <c r="V280" s="65">
        <v>17.739999999999998</v>
      </c>
      <c r="W280" s="82">
        <v>4.13</v>
      </c>
      <c r="X280" s="130">
        <f t="shared" si="50"/>
        <v>6.5999999999999979</v>
      </c>
      <c r="Y280" s="16">
        <f t="shared" si="53"/>
        <v>0.58560783674873962</v>
      </c>
      <c r="Z280" s="15">
        <f t="shared" si="54"/>
        <v>6.9999999999999982</v>
      </c>
      <c r="AA280" s="16">
        <f t="shared" si="55"/>
        <v>20.320300000000003</v>
      </c>
      <c r="AB280" s="16">
        <f t="shared" si="56"/>
        <v>0.89284993139944868</v>
      </c>
      <c r="AC280" s="66" t="s">
        <v>49</v>
      </c>
      <c r="AD280" s="51" t="s">
        <v>303</v>
      </c>
      <c r="AE280" s="13">
        <v>12</v>
      </c>
      <c r="AF280" s="13">
        <v>2</v>
      </c>
      <c r="AG280" s="13">
        <v>30</v>
      </c>
      <c r="AH280" s="13" t="s">
        <v>296</v>
      </c>
      <c r="AI280" s="13">
        <v>3</v>
      </c>
      <c r="AJ280" s="135">
        <v>107.5</v>
      </c>
      <c r="AK280" s="136">
        <f t="shared" si="52"/>
        <v>215</v>
      </c>
      <c r="AL280" s="136" t="str" cm="1">
        <f t="array" ref="AL280">_xlfn.IFS(
AI280&lt;3,"Ligera",
AI280&lt;=6,"Moderada",
AI280&gt;6,"Vigorosa"
)</f>
        <v>Moderada</v>
      </c>
      <c r="AM280" s="45" t="s">
        <v>49</v>
      </c>
      <c r="AN280" s="46" t="s">
        <v>49</v>
      </c>
      <c r="AO280" s="46" t="s">
        <v>61</v>
      </c>
      <c r="AP280" s="289" t="s">
        <v>155</v>
      </c>
      <c r="AQ280" s="139">
        <v>0</v>
      </c>
      <c r="AS280" s="83" t="s">
        <v>305</v>
      </c>
    </row>
    <row r="281" spans="1:45" ht="66" customHeight="1" thickBot="1">
      <c r="A281" s="283" t="s">
        <v>300</v>
      </c>
      <c r="B281" s="12">
        <v>165</v>
      </c>
      <c r="C281" s="12">
        <v>74.510000000000005</v>
      </c>
      <c r="D281" s="12">
        <v>34.549999999999997</v>
      </c>
      <c r="E281" s="12" t="s">
        <v>45</v>
      </c>
      <c r="F281" s="12" t="s">
        <v>45</v>
      </c>
      <c r="G281" s="12" t="s">
        <v>292</v>
      </c>
      <c r="H281" s="12"/>
      <c r="I281" s="12" t="s">
        <v>45</v>
      </c>
      <c r="J281" s="12" t="s">
        <v>47</v>
      </c>
      <c r="K281" s="12" t="s">
        <v>49</v>
      </c>
      <c r="L281" s="12" t="s">
        <v>48</v>
      </c>
      <c r="M281" s="11" t="s">
        <v>56</v>
      </c>
      <c r="N281" s="11" t="s">
        <v>162</v>
      </c>
      <c r="O281" s="11" t="s">
        <v>297</v>
      </c>
      <c r="P281" s="11" t="s">
        <v>51</v>
      </c>
      <c r="Q281" s="72" t="s">
        <v>299</v>
      </c>
      <c r="R281" s="65">
        <v>55</v>
      </c>
      <c r="S281" s="70">
        <v>11.09</v>
      </c>
      <c r="T281" s="70">
        <v>4.53</v>
      </c>
      <c r="U281" s="70">
        <v>51</v>
      </c>
      <c r="V281" s="65">
        <v>19.14</v>
      </c>
      <c r="W281" s="82">
        <v>4.29</v>
      </c>
      <c r="X281" s="130">
        <f t="shared" si="50"/>
        <v>8.0500000000000007</v>
      </c>
      <c r="Y281" s="16">
        <f t="shared" si="53"/>
        <v>0.61820898807860791</v>
      </c>
      <c r="Z281" s="15">
        <f>X281-X279</f>
        <v>8.4500000000000011</v>
      </c>
      <c r="AA281" s="16">
        <f>((U281-1)*W281^2+(U279-1)*W279^2)/((U281-1)+(U279-1))</f>
        <v>21.033667676767674</v>
      </c>
      <c r="AB281" s="16">
        <f>SQRT(AA281*((1/U281)+(1/U279)))</f>
        <v>0.91274213770514778</v>
      </c>
      <c r="AC281" s="66" t="s">
        <v>49</v>
      </c>
      <c r="AD281" s="51" t="s">
        <v>306</v>
      </c>
      <c r="AE281" s="13">
        <v>12</v>
      </c>
      <c r="AF281" s="13">
        <v>2</v>
      </c>
      <c r="AG281" s="13">
        <v>30</v>
      </c>
      <c r="AH281" s="13">
        <v>90580</v>
      </c>
      <c r="AI281" s="13">
        <v>3.1</v>
      </c>
      <c r="AJ281" s="135">
        <f t="shared" si="51"/>
        <v>93</v>
      </c>
      <c r="AK281" s="136">
        <f t="shared" si="52"/>
        <v>186</v>
      </c>
      <c r="AL281" s="136" t="str" cm="1">
        <f t="array" ref="AL281">_xlfn.IFS(
AI281&lt;3,"Ligera",
AI281&lt;=6,"Moderada",
AI281&gt;6,"Vigorosa"
)</f>
        <v>Moderada</v>
      </c>
      <c r="AM281" s="45" t="s">
        <v>49</v>
      </c>
      <c r="AN281" s="46" t="s">
        <v>49</v>
      </c>
      <c r="AO281" s="46" t="s">
        <v>61</v>
      </c>
      <c r="AP281" s="289" t="s">
        <v>155</v>
      </c>
      <c r="AQ281" s="139">
        <v>0</v>
      </c>
      <c r="AS281" s="83" t="s">
        <v>305</v>
      </c>
    </row>
    <row r="282" spans="1:45" ht="66" customHeight="1" thickBot="1">
      <c r="A282" s="138" t="s">
        <v>300</v>
      </c>
      <c r="B282" s="12">
        <v>165</v>
      </c>
      <c r="C282" s="12">
        <v>74.13</v>
      </c>
      <c r="D282" s="12">
        <v>41.82</v>
      </c>
      <c r="E282" s="12" t="s">
        <v>45</v>
      </c>
      <c r="F282" s="12" t="s">
        <v>45</v>
      </c>
      <c r="G282" s="12" t="s">
        <v>292</v>
      </c>
      <c r="H282" s="12"/>
      <c r="I282" s="12" t="s">
        <v>45</v>
      </c>
      <c r="J282" s="12" t="s">
        <v>47</v>
      </c>
      <c r="K282" s="12" t="s">
        <v>49</v>
      </c>
      <c r="L282" s="12" t="s">
        <v>48</v>
      </c>
      <c r="M282" s="11" t="s">
        <v>50</v>
      </c>
      <c r="N282" s="11" t="s">
        <v>50</v>
      </c>
      <c r="O282" s="11" t="s">
        <v>50</v>
      </c>
      <c r="P282" s="11" t="s">
        <v>51</v>
      </c>
      <c r="Q282" s="72" t="s">
        <v>81</v>
      </c>
      <c r="R282" s="65">
        <v>55</v>
      </c>
      <c r="S282" s="70">
        <v>9.2899999999999991</v>
      </c>
      <c r="T282" s="70">
        <v>3.24</v>
      </c>
      <c r="U282" s="70">
        <v>50</v>
      </c>
      <c r="V282" s="65">
        <v>8.77</v>
      </c>
      <c r="W282" s="82">
        <v>2.83</v>
      </c>
      <c r="X282" s="130">
        <f t="shared" si="50"/>
        <v>-0.51999999999999957</v>
      </c>
      <c r="Y282" s="16">
        <f t="shared" si="53"/>
        <v>0.4321411806342923</v>
      </c>
      <c r="Z282" s="286" t="s">
        <v>53</v>
      </c>
      <c r="AA282" s="287" t="s">
        <v>53</v>
      </c>
      <c r="AB282" s="16">
        <v>0.4321411806342923</v>
      </c>
      <c r="AC282" s="66" t="s">
        <v>49</v>
      </c>
      <c r="AD282" s="51" t="s">
        <v>301</v>
      </c>
      <c r="AE282" s="13">
        <v>12</v>
      </c>
      <c r="AF282" s="13">
        <v>0</v>
      </c>
      <c r="AG282" s="13">
        <v>0</v>
      </c>
      <c r="AH282" s="134">
        <v>0</v>
      </c>
      <c r="AI282" s="134">
        <v>0</v>
      </c>
      <c r="AJ282" s="135">
        <f t="shared" si="51"/>
        <v>0</v>
      </c>
      <c r="AK282" s="136">
        <f t="shared" si="52"/>
        <v>0</v>
      </c>
      <c r="AL282" s="136" t="str" cm="1">
        <f t="array" ref="AL282">_xlfn.IFS(
AI282&lt;3,"Ligera",
AI282&lt;=6,"Moderada",
AI282&gt;6,"Vigorosa"
)</f>
        <v>Ligera</v>
      </c>
      <c r="AM282" s="45" t="s">
        <v>49</v>
      </c>
      <c r="AN282" s="46" t="s">
        <v>49</v>
      </c>
      <c r="AO282" s="46" t="s">
        <v>49</v>
      </c>
      <c r="AP282" s="289" t="s">
        <v>49</v>
      </c>
      <c r="AQ282" s="139">
        <v>0</v>
      </c>
      <c r="AS282" s="83" t="s">
        <v>305</v>
      </c>
    </row>
    <row r="283" spans="1:45" ht="66" customHeight="1" thickBot="1">
      <c r="A283" s="138" t="s">
        <v>300</v>
      </c>
      <c r="B283" s="12">
        <v>165</v>
      </c>
      <c r="C283" s="81">
        <v>74.400000000000006</v>
      </c>
      <c r="D283" s="12">
        <v>45.45</v>
      </c>
      <c r="E283" s="12" t="s">
        <v>45</v>
      </c>
      <c r="F283" s="12" t="s">
        <v>45</v>
      </c>
      <c r="G283" s="12" t="s">
        <v>292</v>
      </c>
      <c r="H283" s="12"/>
      <c r="I283" s="12" t="s">
        <v>45</v>
      </c>
      <c r="J283" s="12" t="s">
        <v>47</v>
      </c>
      <c r="K283" s="12" t="s">
        <v>49</v>
      </c>
      <c r="L283" s="12" t="s">
        <v>48</v>
      </c>
      <c r="M283" s="11" t="s">
        <v>56</v>
      </c>
      <c r="N283" s="11" t="s">
        <v>76</v>
      </c>
      <c r="O283" s="11" t="s">
        <v>103</v>
      </c>
      <c r="P283" s="11" t="s">
        <v>51</v>
      </c>
      <c r="Q283" s="72" t="s">
        <v>81</v>
      </c>
      <c r="R283" s="65">
        <v>55</v>
      </c>
      <c r="S283" s="70">
        <v>9.11</v>
      </c>
      <c r="T283" s="70">
        <v>3.8</v>
      </c>
      <c r="U283" s="70">
        <v>52</v>
      </c>
      <c r="V283" s="65">
        <v>11.67</v>
      </c>
      <c r="W283" s="82">
        <v>3.55</v>
      </c>
      <c r="X283" s="130">
        <f t="shared" si="50"/>
        <v>2.5600000000000005</v>
      </c>
      <c r="Y283" s="16">
        <f t="shared" si="53"/>
        <v>0.51051444641655341</v>
      </c>
      <c r="Z283" s="15">
        <f t="shared" si="54"/>
        <v>3.08</v>
      </c>
      <c r="AA283" s="16">
        <f t="shared" si="55"/>
        <v>10.351635999999999</v>
      </c>
      <c r="AB283" s="16">
        <f t="shared" si="56"/>
        <v>0.63726183243383028</v>
      </c>
      <c r="AC283" s="66" t="s">
        <v>49</v>
      </c>
      <c r="AD283" s="51" t="s">
        <v>303</v>
      </c>
      <c r="AE283" s="13">
        <v>12</v>
      </c>
      <c r="AF283" s="13">
        <v>2</v>
      </c>
      <c r="AG283" s="13">
        <v>30</v>
      </c>
      <c r="AH283" s="13" t="s">
        <v>296</v>
      </c>
      <c r="AI283" s="13">
        <v>3</v>
      </c>
      <c r="AJ283" s="135">
        <v>107.5</v>
      </c>
      <c r="AK283" s="136">
        <f t="shared" si="52"/>
        <v>215</v>
      </c>
      <c r="AL283" s="136" t="str" cm="1">
        <f t="array" ref="AL283">_xlfn.IFS(
AI283&lt;3,"Ligera",
AI283&lt;=6,"Moderada",
AI283&gt;6,"Vigorosa"
)</f>
        <v>Moderada</v>
      </c>
      <c r="AM283" s="45" t="s">
        <v>49</v>
      </c>
      <c r="AN283" s="46" t="s">
        <v>49</v>
      </c>
      <c r="AO283" s="46" t="s">
        <v>61</v>
      </c>
      <c r="AP283" s="289" t="s">
        <v>155</v>
      </c>
      <c r="AQ283" s="139">
        <v>0</v>
      </c>
      <c r="AS283" s="83" t="s">
        <v>305</v>
      </c>
    </row>
    <row r="284" spans="1:45" ht="66" customHeight="1" thickBot="1">
      <c r="A284" s="283" t="s">
        <v>300</v>
      </c>
      <c r="B284" s="12">
        <v>165</v>
      </c>
      <c r="C284" s="12">
        <v>74.510000000000005</v>
      </c>
      <c r="D284" s="12">
        <v>34.549999999999997</v>
      </c>
      <c r="E284" s="12" t="s">
        <v>45</v>
      </c>
      <c r="F284" s="12" t="s">
        <v>45</v>
      </c>
      <c r="G284" s="12" t="s">
        <v>292</v>
      </c>
      <c r="H284" s="12"/>
      <c r="I284" s="12" t="s">
        <v>45</v>
      </c>
      <c r="J284" s="12" t="s">
        <v>47</v>
      </c>
      <c r="K284" s="12" t="s">
        <v>49</v>
      </c>
      <c r="L284" s="12" t="s">
        <v>48</v>
      </c>
      <c r="M284" s="11" t="s">
        <v>56</v>
      </c>
      <c r="N284" s="11" t="s">
        <v>162</v>
      </c>
      <c r="O284" s="11" t="s">
        <v>297</v>
      </c>
      <c r="P284" s="11" t="s">
        <v>51</v>
      </c>
      <c r="Q284" s="72" t="s">
        <v>81</v>
      </c>
      <c r="R284" s="65">
        <v>55</v>
      </c>
      <c r="S284" s="70">
        <v>9.11</v>
      </c>
      <c r="T284" s="70">
        <v>4.01</v>
      </c>
      <c r="U284" s="70">
        <v>51</v>
      </c>
      <c r="V284" s="65">
        <v>12.82</v>
      </c>
      <c r="W284" s="82">
        <v>3.82</v>
      </c>
      <c r="X284" s="130">
        <f t="shared" si="50"/>
        <v>3.7100000000000009</v>
      </c>
      <c r="Y284" s="16">
        <f t="shared" si="53"/>
        <v>0.54869363572247942</v>
      </c>
      <c r="Z284" s="15">
        <f>X284-X282</f>
        <v>4.2300000000000004</v>
      </c>
      <c r="AA284" s="16">
        <f>((U284-1)*W284^2+(U282-1)*W282^2)/((U284-1)+(U282-1))</f>
        <v>11.3339</v>
      </c>
      <c r="AB284" s="16">
        <f>SQRT(AA284*((1/U284)+(1/U282)))</f>
        <v>0.67000845765806072</v>
      </c>
      <c r="AC284" s="66" t="s">
        <v>49</v>
      </c>
      <c r="AD284" s="51" t="s">
        <v>306</v>
      </c>
      <c r="AE284" s="13">
        <v>12</v>
      </c>
      <c r="AF284" s="13">
        <v>2</v>
      </c>
      <c r="AG284" s="13">
        <v>30</v>
      </c>
      <c r="AH284" s="13">
        <v>90580</v>
      </c>
      <c r="AI284" s="13">
        <v>3.1</v>
      </c>
      <c r="AJ284" s="135">
        <f t="shared" si="51"/>
        <v>93</v>
      </c>
      <c r="AK284" s="136">
        <f t="shared" si="52"/>
        <v>186</v>
      </c>
      <c r="AL284" s="136" t="str" cm="1">
        <f t="array" ref="AL284">_xlfn.IFS(
AI284&lt;3,"Ligera",
AI284&lt;=6,"Moderada",
AI284&gt;6,"Vigorosa"
)</f>
        <v>Moderada</v>
      </c>
      <c r="AM284" s="45" t="s">
        <v>49</v>
      </c>
      <c r="AN284" s="46" t="s">
        <v>49</v>
      </c>
      <c r="AO284" s="46" t="s">
        <v>61</v>
      </c>
      <c r="AP284" s="289" t="s">
        <v>155</v>
      </c>
      <c r="AQ284" s="139">
        <v>0</v>
      </c>
      <c r="AS284" s="83" t="s">
        <v>305</v>
      </c>
    </row>
    <row r="285" spans="1:45" ht="66" customHeight="1" thickBot="1">
      <c r="A285" s="138" t="s">
        <v>300</v>
      </c>
      <c r="B285" s="12">
        <v>165</v>
      </c>
      <c r="C285" s="12">
        <v>74.13</v>
      </c>
      <c r="D285" s="12">
        <v>41.82</v>
      </c>
      <c r="E285" s="12" t="s">
        <v>45</v>
      </c>
      <c r="F285" s="12" t="s">
        <v>45</v>
      </c>
      <c r="G285" s="12" t="s">
        <v>292</v>
      </c>
      <c r="H285" s="12"/>
      <c r="I285" s="12" t="s">
        <v>45</v>
      </c>
      <c r="J285" s="12" t="s">
        <v>47</v>
      </c>
      <c r="K285" s="12" t="s">
        <v>49</v>
      </c>
      <c r="L285" s="12" t="s">
        <v>48</v>
      </c>
      <c r="M285" s="11" t="s">
        <v>50</v>
      </c>
      <c r="N285" s="11" t="s">
        <v>50</v>
      </c>
      <c r="O285" s="11" t="s">
        <v>50</v>
      </c>
      <c r="P285" s="11" t="s">
        <v>51</v>
      </c>
      <c r="Q285" s="72" t="s">
        <v>307</v>
      </c>
      <c r="R285" s="65">
        <v>55</v>
      </c>
      <c r="S285" s="70">
        <v>-12.18</v>
      </c>
      <c r="T285" s="70">
        <v>20.16</v>
      </c>
      <c r="U285" s="70">
        <v>50</v>
      </c>
      <c r="V285" s="65">
        <v>-13.3</v>
      </c>
      <c r="W285" s="82">
        <v>20.09</v>
      </c>
      <c r="X285" s="130">
        <f t="shared" si="50"/>
        <v>-1.120000000000001</v>
      </c>
      <c r="Y285" s="16">
        <f t="shared" si="53"/>
        <v>2.8461177066312624</v>
      </c>
      <c r="Z285" s="286" t="s">
        <v>53</v>
      </c>
      <c r="AA285" s="287" t="s">
        <v>53</v>
      </c>
      <c r="AB285" s="16">
        <v>2.8461177066312624</v>
      </c>
      <c r="AC285" s="66" t="s">
        <v>49</v>
      </c>
      <c r="AD285" s="51" t="s">
        <v>301</v>
      </c>
      <c r="AE285" s="13">
        <v>12</v>
      </c>
      <c r="AF285" s="13">
        <v>0</v>
      </c>
      <c r="AG285" s="13">
        <v>0</v>
      </c>
      <c r="AH285" s="134">
        <v>0</v>
      </c>
      <c r="AI285" s="134">
        <v>0</v>
      </c>
      <c r="AJ285" s="135">
        <f t="shared" si="51"/>
        <v>0</v>
      </c>
      <c r="AK285" s="136">
        <f t="shared" si="52"/>
        <v>0</v>
      </c>
      <c r="AL285" s="136" t="str" cm="1">
        <f t="array" ref="AL285">_xlfn.IFS(
AI285&lt;3,"Ligera",
AI285&lt;=6,"Moderada",
AI285&gt;6,"Vigorosa"
)</f>
        <v>Ligera</v>
      </c>
      <c r="AM285" s="45" t="s">
        <v>49</v>
      </c>
      <c r="AN285" s="46" t="s">
        <v>49</v>
      </c>
      <c r="AO285" s="46" t="s">
        <v>49</v>
      </c>
      <c r="AP285" s="289" t="s">
        <v>49</v>
      </c>
      <c r="AQ285" s="139">
        <v>0</v>
      </c>
      <c r="AS285" s="83" t="s">
        <v>305</v>
      </c>
    </row>
    <row r="286" spans="1:45" ht="66" customHeight="1" thickBot="1">
      <c r="A286" s="138" t="s">
        <v>300</v>
      </c>
      <c r="B286" s="12">
        <v>165</v>
      </c>
      <c r="C286" s="81">
        <v>74.400000000000006</v>
      </c>
      <c r="D286" s="12">
        <v>45.45</v>
      </c>
      <c r="E286" s="12" t="s">
        <v>45</v>
      </c>
      <c r="F286" s="12" t="s">
        <v>45</v>
      </c>
      <c r="G286" s="12" t="s">
        <v>292</v>
      </c>
      <c r="H286" s="12"/>
      <c r="I286" s="12" t="s">
        <v>45</v>
      </c>
      <c r="J286" s="12" t="s">
        <v>47</v>
      </c>
      <c r="K286" s="12" t="s">
        <v>49</v>
      </c>
      <c r="L286" s="12" t="s">
        <v>48</v>
      </c>
      <c r="M286" s="11" t="s">
        <v>56</v>
      </c>
      <c r="N286" s="11" t="s">
        <v>76</v>
      </c>
      <c r="O286" s="11" t="s">
        <v>103</v>
      </c>
      <c r="P286" s="11" t="s">
        <v>51</v>
      </c>
      <c r="Q286" s="72" t="s">
        <v>307</v>
      </c>
      <c r="R286" s="65">
        <v>55</v>
      </c>
      <c r="S286" s="70">
        <v>-12.35</v>
      </c>
      <c r="T286" s="70">
        <v>19.88</v>
      </c>
      <c r="U286" s="70">
        <v>52</v>
      </c>
      <c r="V286" s="65">
        <v>-4.45</v>
      </c>
      <c r="W286" s="82">
        <v>21.29</v>
      </c>
      <c r="X286" s="130">
        <f t="shared" si="50"/>
        <v>7.8999999999999995</v>
      </c>
      <c r="Y286" s="16">
        <f t="shared" si="53"/>
        <v>2.8596439396432669</v>
      </c>
      <c r="Z286" s="15">
        <f t="shared" si="54"/>
        <v>9.02</v>
      </c>
      <c r="AA286" s="16">
        <f t="shared" si="55"/>
        <v>428.93265999999994</v>
      </c>
      <c r="AB286" s="16">
        <f t="shared" si="56"/>
        <v>4.1021163074686218</v>
      </c>
      <c r="AC286" s="66" t="s">
        <v>49</v>
      </c>
      <c r="AD286" s="51" t="s">
        <v>303</v>
      </c>
      <c r="AE286" s="13">
        <v>12</v>
      </c>
      <c r="AF286" s="13">
        <v>2</v>
      </c>
      <c r="AG286" s="13">
        <v>30</v>
      </c>
      <c r="AH286" s="13" t="s">
        <v>296</v>
      </c>
      <c r="AI286" s="13">
        <v>3</v>
      </c>
      <c r="AJ286" s="135">
        <v>107.5</v>
      </c>
      <c r="AK286" s="136">
        <f t="shared" si="52"/>
        <v>215</v>
      </c>
      <c r="AL286" s="136" t="str" cm="1">
        <f t="array" ref="AL286">_xlfn.IFS(
AI286&lt;3,"Ligera",
AI286&lt;=6,"Moderada",
AI286&gt;6,"Vigorosa"
)</f>
        <v>Moderada</v>
      </c>
      <c r="AM286" s="45" t="s">
        <v>49</v>
      </c>
      <c r="AN286" s="46" t="s">
        <v>49</v>
      </c>
      <c r="AO286" s="46" t="s">
        <v>61</v>
      </c>
      <c r="AP286" s="289" t="s">
        <v>155</v>
      </c>
      <c r="AQ286" s="139">
        <v>0</v>
      </c>
      <c r="AS286" s="83" t="s">
        <v>305</v>
      </c>
    </row>
    <row r="287" spans="1:45" ht="66" customHeight="1" thickBot="1">
      <c r="A287" s="283" t="s">
        <v>300</v>
      </c>
      <c r="B287" s="12">
        <v>165</v>
      </c>
      <c r="C287" s="12">
        <v>74.510000000000005</v>
      </c>
      <c r="D287" s="12">
        <v>34.549999999999997</v>
      </c>
      <c r="E287" s="12" t="s">
        <v>45</v>
      </c>
      <c r="F287" s="12" t="s">
        <v>45</v>
      </c>
      <c r="G287" s="12" t="s">
        <v>292</v>
      </c>
      <c r="H287" s="12"/>
      <c r="I287" s="12" t="s">
        <v>45</v>
      </c>
      <c r="J287" s="12" t="s">
        <v>47</v>
      </c>
      <c r="K287" s="12" t="s">
        <v>49</v>
      </c>
      <c r="L287" s="12" t="s">
        <v>48</v>
      </c>
      <c r="M287" s="11" t="s">
        <v>56</v>
      </c>
      <c r="N287" s="11" t="s">
        <v>162</v>
      </c>
      <c r="O287" s="11" t="s">
        <v>297</v>
      </c>
      <c r="P287" s="11" t="s">
        <v>51</v>
      </c>
      <c r="Q287" s="72" t="s">
        <v>307</v>
      </c>
      <c r="R287" s="65">
        <v>55</v>
      </c>
      <c r="S287" s="70">
        <v>-12.47</v>
      </c>
      <c r="T287" s="70">
        <v>13.93</v>
      </c>
      <c r="U287" s="70">
        <v>51</v>
      </c>
      <c r="V287" s="65">
        <v>0.51</v>
      </c>
      <c r="W287" s="82">
        <v>17.88</v>
      </c>
      <c r="X287" s="130">
        <f t="shared" si="50"/>
        <v>12.98</v>
      </c>
      <c r="Y287" s="16">
        <f t="shared" si="53"/>
        <v>2.2780749527168935</v>
      </c>
      <c r="Z287" s="15">
        <f>X287-X285</f>
        <v>14.100000000000001</v>
      </c>
      <c r="AA287" s="16">
        <f>((U287-1)*W287^2+(U285-1)*W285^2)/((U287-1)+(U285-1))</f>
        <v>361.2274434343434</v>
      </c>
      <c r="AB287" s="16">
        <f>SQRT(AA287*((1/U287)+(1/U285)))</f>
        <v>3.7825176690161135</v>
      </c>
      <c r="AC287" s="66" t="s">
        <v>49</v>
      </c>
      <c r="AD287" s="51" t="s">
        <v>306</v>
      </c>
      <c r="AE287" s="13">
        <v>12</v>
      </c>
      <c r="AF287" s="13">
        <v>2</v>
      </c>
      <c r="AG287" s="13">
        <v>30</v>
      </c>
      <c r="AH287" s="13">
        <v>90580</v>
      </c>
      <c r="AI287" s="13">
        <v>3.1</v>
      </c>
      <c r="AJ287" s="135">
        <f t="shared" si="51"/>
        <v>93</v>
      </c>
      <c r="AK287" s="136">
        <f t="shared" si="52"/>
        <v>186</v>
      </c>
      <c r="AL287" s="136" t="str" cm="1">
        <f t="array" ref="AL287">_xlfn.IFS(
AI287&lt;3,"Ligera",
AI287&lt;=6,"Moderada",
AI287&gt;6,"Vigorosa"
)</f>
        <v>Moderada</v>
      </c>
      <c r="AM287" s="45" t="s">
        <v>49</v>
      </c>
      <c r="AN287" s="46" t="s">
        <v>49</v>
      </c>
      <c r="AO287" s="46" t="s">
        <v>61</v>
      </c>
      <c r="AP287" s="289" t="s">
        <v>155</v>
      </c>
      <c r="AQ287" s="139">
        <v>0</v>
      </c>
      <c r="AS287" s="83" t="s">
        <v>305</v>
      </c>
    </row>
    <row r="288" spans="1:45" ht="66" customHeight="1" thickBot="1">
      <c r="A288" s="138" t="s">
        <v>300</v>
      </c>
      <c r="B288" s="12">
        <v>165</v>
      </c>
      <c r="C288" s="12">
        <v>74.13</v>
      </c>
      <c r="D288" s="12">
        <v>41.82</v>
      </c>
      <c r="E288" s="12" t="s">
        <v>45</v>
      </c>
      <c r="F288" s="12" t="s">
        <v>45</v>
      </c>
      <c r="G288" s="12" t="s">
        <v>292</v>
      </c>
      <c r="H288" s="12"/>
      <c r="I288" s="12" t="s">
        <v>45</v>
      </c>
      <c r="J288" s="12" t="s">
        <v>47</v>
      </c>
      <c r="K288" s="12" t="s">
        <v>49</v>
      </c>
      <c r="L288" s="12" t="s">
        <v>48</v>
      </c>
      <c r="M288" s="11" t="s">
        <v>50</v>
      </c>
      <c r="N288" s="11" t="s">
        <v>50</v>
      </c>
      <c r="O288" s="11" t="s">
        <v>50</v>
      </c>
      <c r="P288" s="11" t="s">
        <v>51</v>
      </c>
      <c r="Q288" s="72" t="s">
        <v>308</v>
      </c>
      <c r="R288" s="65">
        <v>55</v>
      </c>
      <c r="S288" s="70">
        <v>-12.45</v>
      </c>
      <c r="T288" s="70">
        <v>21.3</v>
      </c>
      <c r="U288" s="70">
        <v>50</v>
      </c>
      <c r="V288" s="65">
        <v>-13.07</v>
      </c>
      <c r="W288" s="82">
        <v>21.14</v>
      </c>
      <c r="X288" s="130">
        <f t="shared" si="50"/>
        <v>-0.62000000000000099</v>
      </c>
      <c r="Y288" s="16">
        <f t="shared" si="53"/>
        <v>3.0010251581751191</v>
      </c>
      <c r="Z288" s="286" t="s">
        <v>53</v>
      </c>
      <c r="AA288" s="287" t="s">
        <v>53</v>
      </c>
      <c r="AB288" s="16">
        <v>3.0010251581751191</v>
      </c>
      <c r="AC288" s="66" t="s">
        <v>49</v>
      </c>
      <c r="AD288" s="51" t="s">
        <v>301</v>
      </c>
      <c r="AE288" s="13">
        <v>12</v>
      </c>
      <c r="AF288" s="13">
        <v>0</v>
      </c>
      <c r="AG288" s="13">
        <v>0</v>
      </c>
      <c r="AH288" s="134">
        <v>0</v>
      </c>
      <c r="AI288" s="134">
        <v>0</v>
      </c>
      <c r="AJ288" s="135">
        <f t="shared" si="51"/>
        <v>0</v>
      </c>
      <c r="AK288" s="136">
        <f t="shared" si="52"/>
        <v>0</v>
      </c>
      <c r="AL288" s="136" t="str" cm="1">
        <f t="array" ref="AL288">_xlfn.IFS(
AI288&lt;3,"Ligera",
AI288&lt;=6,"Moderada",
AI288&gt;6,"Vigorosa"
)</f>
        <v>Ligera</v>
      </c>
      <c r="AM288" s="45" t="s">
        <v>49</v>
      </c>
      <c r="AN288" s="46" t="s">
        <v>49</v>
      </c>
      <c r="AO288" s="46" t="s">
        <v>49</v>
      </c>
      <c r="AP288" s="289" t="s">
        <v>49</v>
      </c>
      <c r="AQ288" s="139">
        <v>0</v>
      </c>
      <c r="AS288" s="83" t="s">
        <v>305</v>
      </c>
    </row>
    <row r="289" spans="1:45" ht="66" customHeight="1" thickBot="1">
      <c r="A289" s="138" t="s">
        <v>300</v>
      </c>
      <c r="B289" s="12">
        <v>165</v>
      </c>
      <c r="C289" s="81">
        <v>74.400000000000006</v>
      </c>
      <c r="D289" s="12">
        <v>45.45</v>
      </c>
      <c r="E289" s="12" t="s">
        <v>45</v>
      </c>
      <c r="F289" s="12" t="s">
        <v>45</v>
      </c>
      <c r="G289" s="12" t="s">
        <v>292</v>
      </c>
      <c r="H289" s="12"/>
      <c r="I289" s="12" t="s">
        <v>45</v>
      </c>
      <c r="J289" s="12" t="s">
        <v>47</v>
      </c>
      <c r="K289" s="12" t="s">
        <v>49</v>
      </c>
      <c r="L289" s="12" t="s">
        <v>48</v>
      </c>
      <c r="M289" s="11" t="s">
        <v>56</v>
      </c>
      <c r="N289" s="11" t="s">
        <v>76</v>
      </c>
      <c r="O289" s="11" t="s">
        <v>103</v>
      </c>
      <c r="P289" s="11" t="s">
        <v>51</v>
      </c>
      <c r="Q289" s="72" t="s">
        <v>308</v>
      </c>
      <c r="R289" s="65">
        <v>55</v>
      </c>
      <c r="S289" s="70">
        <v>-12.42</v>
      </c>
      <c r="T289" s="70">
        <v>17.27</v>
      </c>
      <c r="U289" s="70">
        <v>52</v>
      </c>
      <c r="V289" s="65">
        <v>-5.25</v>
      </c>
      <c r="W289" s="82">
        <v>16.399999999999999</v>
      </c>
      <c r="X289" s="130">
        <f t="shared" si="50"/>
        <v>7.17</v>
      </c>
      <c r="Y289" s="16">
        <f t="shared" si="53"/>
        <v>2.3369313376569449</v>
      </c>
      <c r="Z289" s="15">
        <f t="shared" si="54"/>
        <v>7.7900000000000009</v>
      </c>
      <c r="AA289" s="16">
        <f t="shared" si="55"/>
        <v>356.15040399999998</v>
      </c>
      <c r="AB289" s="16">
        <f t="shared" si="56"/>
        <v>3.7379211215285473</v>
      </c>
      <c r="AC289" s="66" t="s">
        <v>49</v>
      </c>
      <c r="AD289" s="51" t="s">
        <v>303</v>
      </c>
      <c r="AE289" s="13">
        <v>12</v>
      </c>
      <c r="AF289" s="13">
        <v>2</v>
      </c>
      <c r="AG289" s="13">
        <v>30</v>
      </c>
      <c r="AH289" s="13" t="s">
        <v>296</v>
      </c>
      <c r="AI289" s="13">
        <v>3</v>
      </c>
      <c r="AJ289" s="135">
        <v>107.5</v>
      </c>
      <c r="AK289" s="136">
        <f t="shared" si="52"/>
        <v>215</v>
      </c>
      <c r="AL289" s="136" t="str" cm="1">
        <f t="array" ref="AL289">_xlfn.IFS(
AI289&lt;3,"Ligera",
AI289&lt;=6,"Moderada",
AI289&gt;6,"Vigorosa"
)</f>
        <v>Moderada</v>
      </c>
      <c r="AM289" s="45" t="s">
        <v>49</v>
      </c>
      <c r="AN289" s="46" t="s">
        <v>49</v>
      </c>
      <c r="AO289" s="46" t="s">
        <v>61</v>
      </c>
      <c r="AP289" s="289" t="s">
        <v>155</v>
      </c>
      <c r="AQ289" s="139">
        <v>0</v>
      </c>
      <c r="AS289" s="83" t="s">
        <v>305</v>
      </c>
    </row>
    <row r="290" spans="1:45" ht="66" customHeight="1" thickBot="1">
      <c r="A290" s="283" t="s">
        <v>300</v>
      </c>
      <c r="B290" s="12">
        <v>165</v>
      </c>
      <c r="C290" s="12">
        <v>74.510000000000005</v>
      </c>
      <c r="D290" s="12">
        <v>34.549999999999997</v>
      </c>
      <c r="E290" s="12" t="s">
        <v>45</v>
      </c>
      <c r="F290" s="12" t="s">
        <v>45</v>
      </c>
      <c r="G290" s="12" t="s">
        <v>292</v>
      </c>
      <c r="H290" s="12"/>
      <c r="I290" s="12" t="s">
        <v>45</v>
      </c>
      <c r="J290" s="12" t="s">
        <v>47</v>
      </c>
      <c r="K290" s="12" t="s">
        <v>49</v>
      </c>
      <c r="L290" s="12" t="s">
        <v>48</v>
      </c>
      <c r="M290" s="11" t="s">
        <v>56</v>
      </c>
      <c r="N290" s="11" t="s">
        <v>162</v>
      </c>
      <c r="O290" s="11" t="s">
        <v>297</v>
      </c>
      <c r="P290" s="11" t="s">
        <v>51</v>
      </c>
      <c r="Q290" s="72" t="s">
        <v>308</v>
      </c>
      <c r="R290" s="65">
        <v>55</v>
      </c>
      <c r="S290" s="70">
        <v>-12.47</v>
      </c>
      <c r="T290" s="70">
        <v>13.49</v>
      </c>
      <c r="U290" s="70">
        <v>51</v>
      </c>
      <c r="V290" s="65">
        <v>-0.55000000000000004</v>
      </c>
      <c r="W290" s="82">
        <v>16.38</v>
      </c>
      <c r="X290" s="130">
        <f t="shared" si="50"/>
        <v>11.92</v>
      </c>
      <c r="Y290" s="16">
        <f t="shared" si="53"/>
        <v>2.1204804302096165</v>
      </c>
      <c r="Z290" s="15">
        <f>X290-X288</f>
        <v>12.540000000000001</v>
      </c>
      <c r="AA290" s="16">
        <f>((U290-1)*W290^2+(U288-1)*W288^2)/((U290-1)+(U288-1))</f>
        <v>356.70000404040405</v>
      </c>
      <c r="AB290" s="16">
        <f>SQRT(AA290*((1/U290)+(1/U288)))</f>
        <v>3.7587388585921362</v>
      </c>
      <c r="AC290" s="66" t="s">
        <v>49</v>
      </c>
      <c r="AD290" s="51" t="s">
        <v>306</v>
      </c>
      <c r="AE290" s="13">
        <v>12</v>
      </c>
      <c r="AF290" s="13">
        <v>2</v>
      </c>
      <c r="AG290" s="13">
        <v>30</v>
      </c>
      <c r="AH290" s="13">
        <v>90580</v>
      </c>
      <c r="AI290" s="13">
        <v>3.1</v>
      </c>
      <c r="AJ290" s="135">
        <f t="shared" si="51"/>
        <v>93</v>
      </c>
      <c r="AK290" s="136">
        <f t="shared" si="52"/>
        <v>186</v>
      </c>
      <c r="AL290" s="136" t="str" cm="1">
        <f t="array" ref="AL290">_xlfn.IFS(
AI290&lt;3,"Ligera",
AI290&lt;=6,"Moderada",
AI290&gt;6,"Vigorosa"
)</f>
        <v>Moderada</v>
      </c>
      <c r="AM290" s="45" t="s">
        <v>49</v>
      </c>
      <c r="AN290" s="46" t="s">
        <v>49</v>
      </c>
      <c r="AO290" s="46" t="s">
        <v>61</v>
      </c>
      <c r="AP290" s="289" t="s">
        <v>155</v>
      </c>
      <c r="AQ290" s="139">
        <v>0</v>
      </c>
      <c r="AS290" s="83" t="s">
        <v>305</v>
      </c>
    </row>
    <row r="291" spans="1:45" ht="66" customHeight="1" thickBot="1">
      <c r="A291" s="138" t="s">
        <v>300</v>
      </c>
      <c r="B291" s="12">
        <v>165</v>
      </c>
      <c r="C291" s="12">
        <v>74.13</v>
      </c>
      <c r="D291" s="12">
        <v>41.82</v>
      </c>
      <c r="E291" s="12" t="s">
        <v>45</v>
      </c>
      <c r="F291" s="12" t="s">
        <v>45</v>
      </c>
      <c r="G291" s="12" t="s">
        <v>292</v>
      </c>
      <c r="H291" s="12"/>
      <c r="I291" s="12" t="s">
        <v>45</v>
      </c>
      <c r="J291" s="12" t="s">
        <v>47</v>
      </c>
      <c r="K291" s="12" t="s">
        <v>49</v>
      </c>
      <c r="L291" s="12" t="s">
        <v>48</v>
      </c>
      <c r="M291" s="11" t="s">
        <v>50</v>
      </c>
      <c r="N291" s="11" t="s">
        <v>50</v>
      </c>
      <c r="O291" s="11" t="s">
        <v>50</v>
      </c>
      <c r="P291" s="11" t="s">
        <v>86</v>
      </c>
      <c r="Q291" s="72" t="s">
        <v>87</v>
      </c>
      <c r="R291" s="65">
        <v>55</v>
      </c>
      <c r="S291" s="70">
        <v>12.18</v>
      </c>
      <c r="T291" s="70">
        <v>5.33</v>
      </c>
      <c r="U291" s="70">
        <v>50</v>
      </c>
      <c r="V291" s="65">
        <v>11.78</v>
      </c>
      <c r="W291" s="82">
        <v>5.24</v>
      </c>
      <c r="X291" s="130">
        <f t="shared" si="50"/>
        <v>-0.40000000000000036</v>
      </c>
      <c r="Y291" s="16">
        <f t="shared" si="53"/>
        <v>0.74749314378126575</v>
      </c>
      <c r="Z291" s="286" t="s">
        <v>53</v>
      </c>
      <c r="AA291" s="287" t="s">
        <v>53</v>
      </c>
      <c r="AB291" s="16">
        <v>0.74749314378126575</v>
      </c>
      <c r="AC291" s="66" t="s">
        <v>49</v>
      </c>
      <c r="AD291" s="51" t="s">
        <v>301</v>
      </c>
      <c r="AE291" s="13">
        <v>12</v>
      </c>
      <c r="AF291" s="13">
        <v>0</v>
      </c>
      <c r="AG291" s="13">
        <v>0</v>
      </c>
      <c r="AH291" s="134">
        <v>0</v>
      </c>
      <c r="AI291" s="134">
        <v>0</v>
      </c>
      <c r="AJ291" s="135">
        <f t="shared" si="51"/>
        <v>0</v>
      </c>
      <c r="AK291" s="136">
        <f t="shared" si="52"/>
        <v>0</v>
      </c>
      <c r="AL291" s="136" t="str" cm="1">
        <f t="array" ref="AL291">_xlfn.IFS(
AI291&lt;3,"Ligera",
AI291&lt;=6,"Moderada",
AI291&gt;6,"Vigorosa"
)</f>
        <v>Ligera</v>
      </c>
      <c r="AM291" s="45" t="s">
        <v>49</v>
      </c>
      <c r="AN291" s="46" t="s">
        <v>49</v>
      </c>
      <c r="AO291" s="46" t="s">
        <v>49</v>
      </c>
      <c r="AP291" s="289" t="s">
        <v>49</v>
      </c>
      <c r="AQ291" s="139">
        <v>0</v>
      </c>
      <c r="AS291" s="83" t="s">
        <v>309</v>
      </c>
    </row>
    <row r="292" spans="1:45" ht="66" customHeight="1" thickBot="1">
      <c r="A292" s="138" t="s">
        <v>300</v>
      </c>
      <c r="B292" s="12">
        <v>165</v>
      </c>
      <c r="C292" s="81">
        <v>74.400000000000006</v>
      </c>
      <c r="D292" s="12">
        <v>45.45</v>
      </c>
      <c r="E292" s="12" t="s">
        <v>45</v>
      </c>
      <c r="F292" s="12" t="s">
        <v>45</v>
      </c>
      <c r="G292" s="12" t="s">
        <v>292</v>
      </c>
      <c r="H292" s="12"/>
      <c r="I292" s="12" t="s">
        <v>45</v>
      </c>
      <c r="J292" s="12" t="s">
        <v>47</v>
      </c>
      <c r="K292" s="12" t="s">
        <v>49</v>
      </c>
      <c r="L292" s="12" t="s">
        <v>48</v>
      </c>
      <c r="M292" s="11" t="s">
        <v>56</v>
      </c>
      <c r="N292" s="11" t="s">
        <v>76</v>
      </c>
      <c r="O292" s="11" t="s">
        <v>103</v>
      </c>
      <c r="P292" s="11" t="s">
        <v>86</v>
      </c>
      <c r="Q292" s="72" t="s">
        <v>87</v>
      </c>
      <c r="R292" s="65">
        <v>55</v>
      </c>
      <c r="S292" s="70">
        <v>12.38</v>
      </c>
      <c r="T292" s="70">
        <v>6.34</v>
      </c>
      <c r="U292" s="70">
        <v>52</v>
      </c>
      <c r="V292" s="65">
        <v>14.28</v>
      </c>
      <c r="W292" s="82">
        <v>6.16</v>
      </c>
      <c r="X292" s="130">
        <f t="shared" si="50"/>
        <v>1.8999999999999986</v>
      </c>
      <c r="Y292" s="16">
        <f t="shared" si="53"/>
        <v>0.86698859898457181</v>
      </c>
      <c r="Z292" s="15">
        <f t="shared" si="54"/>
        <v>2.2999999999999989</v>
      </c>
      <c r="AA292" s="16">
        <f t="shared" si="55"/>
        <v>32.806480000000001</v>
      </c>
      <c r="AB292" s="16">
        <f t="shared" si="56"/>
        <v>1.1344705576408083</v>
      </c>
      <c r="AC292" s="66" t="s">
        <v>49</v>
      </c>
      <c r="AD292" s="51" t="s">
        <v>303</v>
      </c>
      <c r="AE292" s="13">
        <v>12</v>
      </c>
      <c r="AF292" s="13">
        <v>2</v>
      </c>
      <c r="AG292" s="13">
        <v>30</v>
      </c>
      <c r="AH292" s="13" t="s">
        <v>296</v>
      </c>
      <c r="AI292" s="13">
        <v>3</v>
      </c>
      <c r="AJ292" s="135">
        <v>107.5</v>
      </c>
      <c r="AK292" s="136">
        <f t="shared" si="52"/>
        <v>215</v>
      </c>
      <c r="AL292" s="136" t="str" cm="1">
        <f t="array" ref="AL292">_xlfn.IFS(
AI292&lt;3,"Ligera",
AI292&lt;=6,"Moderada",
AI292&gt;6,"Vigorosa"
)</f>
        <v>Moderada</v>
      </c>
      <c r="AM292" s="45" t="s">
        <v>49</v>
      </c>
      <c r="AN292" s="46" t="s">
        <v>49</v>
      </c>
      <c r="AO292" s="46" t="s">
        <v>61</v>
      </c>
      <c r="AP292" s="289" t="s">
        <v>155</v>
      </c>
      <c r="AQ292" s="139">
        <v>0</v>
      </c>
      <c r="AS292" s="83" t="s">
        <v>309</v>
      </c>
    </row>
    <row r="293" spans="1:45" ht="66" customHeight="1" thickBot="1">
      <c r="A293" s="283" t="s">
        <v>300</v>
      </c>
      <c r="B293" s="12">
        <v>165</v>
      </c>
      <c r="C293" s="12">
        <v>74.510000000000005</v>
      </c>
      <c r="D293" s="12">
        <v>34.549999999999997</v>
      </c>
      <c r="E293" s="12" t="s">
        <v>45</v>
      </c>
      <c r="F293" s="12" t="s">
        <v>45</v>
      </c>
      <c r="G293" s="12" t="s">
        <v>292</v>
      </c>
      <c r="H293" s="12"/>
      <c r="I293" s="12" t="s">
        <v>45</v>
      </c>
      <c r="J293" s="12" t="s">
        <v>47</v>
      </c>
      <c r="K293" s="12" t="s">
        <v>49</v>
      </c>
      <c r="L293" s="12" t="s">
        <v>48</v>
      </c>
      <c r="M293" s="11" t="s">
        <v>56</v>
      </c>
      <c r="N293" s="11" t="s">
        <v>162</v>
      </c>
      <c r="O293" s="11" t="s">
        <v>297</v>
      </c>
      <c r="P293" s="11" t="s">
        <v>86</v>
      </c>
      <c r="Q293" s="72" t="s">
        <v>87</v>
      </c>
      <c r="R293" s="65">
        <v>55</v>
      </c>
      <c r="S293" s="70">
        <v>12.67</v>
      </c>
      <c r="T293" s="70">
        <v>5.14</v>
      </c>
      <c r="U293" s="70">
        <v>51</v>
      </c>
      <c r="V293" s="65">
        <v>15.26</v>
      </c>
      <c r="W293" s="82">
        <v>4.92</v>
      </c>
      <c r="X293" s="130">
        <f t="shared" si="50"/>
        <v>2.59</v>
      </c>
      <c r="Y293" s="16">
        <f t="shared" si="53"/>
        <v>0.70484597121445958</v>
      </c>
      <c r="Z293" s="15">
        <f>X293-X291</f>
        <v>2.99</v>
      </c>
      <c r="AA293" s="16">
        <f>((U293-1)*W293^2+(U291-1)*W291^2)/((U293-1)+(U291-1))</f>
        <v>25.815579797979797</v>
      </c>
      <c r="AB293" s="16">
        <f t="shared" si="56"/>
        <v>1.0013197775084302</v>
      </c>
      <c r="AC293" s="66" t="s">
        <v>49</v>
      </c>
      <c r="AD293" s="51" t="s">
        <v>306</v>
      </c>
      <c r="AE293" s="13">
        <v>12</v>
      </c>
      <c r="AF293" s="13">
        <v>2</v>
      </c>
      <c r="AG293" s="13">
        <v>30</v>
      </c>
      <c r="AH293" s="13">
        <v>90580</v>
      </c>
      <c r="AI293" s="13">
        <v>3.1</v>
      </c>
      <c r="AJ293" s="135">
        <f t="shared" si="51"/>
        <v>93</v>
      </c>
      <c r="AK293" s="136">
        <f t="shared" si="52"/>
        <v>186</v>
      </c>
      <c r="AL293" s="136" t="str" cm="1">
        <f t="array" ref="AL293">_xlfn.IFS(
AI293&lt;3,"Ligera",
AI293&lt;=6,"Moderada",
AI293&gt;6,"Vigorosa"
)</f>
        <v>Moderada</v>
      </c>
      <c r="AM293" s="45" t="s">
        <v>49</v>
      </c>
      <c r="AN293" s="46" t="s">
        <v>49</v>
      </c>
      <c r="AO293" s="46" t="s">
        <v>61</v>
      </c>
      <c r="AP293" s="289" t="s">
        <v>155</v>
      </c>
      <c r="AQ293" s="139">
        <v>0</v>
      </c>
      <c r="AS293" s="83" t="s">
        <v>309</v>
      </c>
    </row>
    <row r="294" spans="1:45" ht="66" customHeight="1" thickBot="1">
      <c r="A294" s="124" t="s">
        <v>311</v>
      </c>
      <c r="B294" s="125">
        <v>30</v>
      </c>
      <c r="C294" s="125">
        <v>84.1</v>
      </c>
      <c r="D294" s="125" t="s">
        <v>47</v>
      </c>
      <c r="E294" s="125" t="s">
        <v>45</v>
      </c>
      <c r="F294" s="125" t="s">
        <v>45</v>
      </c>
      <c r="G294" s="125" t="s">
        <v>312</v>
      </c>
      <c r="H294" s="125"/>
      <c r="I294" s="125" t="s">
        <v>45</v>
      </c>
      <c r="J294" s="125" t="s">
        <v>47</v>
      </c>
      <c r="K294" s="125" t="s">
        <v>49</v>
      </c>
      <c r="L294" s="125" t="s">
        <v>49</v>
      </c>
      <c r="M294" s="126" t="s">
        <v>50</v>
      </c>
      <c r="N294" s="126" t="s">
        <v>50</v>
      </c>
      <c r="O294" s="126" t="s">
        <v>50</v>
      </c>
      <c r="P294" s="126" t="s">
        <v>51</v>
      </c>
      <c r="Q294" s="159" t="s">
        <v>313</v>
      </c>
      <c r="R294" s="128">
        <v>15</v>
      </c>
      <c r="S294" s="152">
        <v>3.7</v>
      </c>
      <c r="T294" s="152">
        <v>1.1000000000000001</v>
      </c>
      <c r="U294" s="152">
        <v>11</v>
      </c>
      <c r="V294" s="128">
        <v>3.5</v>
      </c>
      <c r="W294" s="152">
        <v>1.2</v>
      </c>
      <c r="X294" s="130">
        <f t="shared" si="50"/>
        <v>-0.20000000000000018</v>
      </c>
      <c r="Y294" s="16">
        <f t="shared" si="53"/>
        <v>0.34771984543464141</v>
      </c>
      <c r="Z294" s="286" t="s">
        <v>53</v>
      </c>
      <c r="AA294" s="287" t="s">
        <v>53</v>
      </c>
      <c r="AB294" s="16">
        <v>0.34771984543464141</v>
      </c>
      <c r="AC294" s="66" t="s">
        <v>49</v>
      </c>
      <c r="AD294" s="133" t="s">
        <v>314</v>
      </c>
      <c r="AE294" s="134">
        <v>12</v>
      </c>
      <c r="AF294" s="134">
        <v>0</v>
      </c>
      <c r="AG294" s="134">
        <v>0</v>
      </c>
      <c r="AH294" s="134">
        <v>0</v>
      </c>
      <c r="AI294" s="134">
        <v>0</v>
      </c>
      <c r="AJ294" s="135">
        <f t="shared" si="51"/>
        <v>0</v>
      </c>
      <c r="AK294" s="136">
        <f t="shared" si="52"/>
        <v>0</v>
      </c>
      <c r="AL294" s="136" t="str" cm="1">
        <f t="array" ref="AL294">_xlfn.IFS(
AI294&lt;3,"Ligera",
AI294&lt;=6,"Moderada",
AI294&gt;6,"Vigorosa"
)</f>
        <v>Ligera</v>
      </c>
      <c r="AM294" s="136" t="s">
        <v>49</v>
      </c>
      <c r="AN294" s="135" t="s">
        <v>49</v>
      </c>
      <c r="AO294" s="135" t="s">
        <v>49</v>
      </c>
      <c r="AP294" s="288" t="s">
        <v>49</v>
      </c>
      <c r="AQ294" s="137">
        <v>0</v>
      </c>
    </row>
    <row r="295" spans="1:45" ht="66" customHeight="1" thickBot="1">
      <c r="A295" s="138" t="s">
        <v>311</v>
      </c>
      <c r="B295" s="12">
        <v>30</v>
      </c>
      <c r="C295" s="12">
        <v>83.3</v>
      </c>
      <c r="D295" s="12" t="s">
        <v>47</v>
      </c>
      <c r="E295" s="12" t="s">
        <v>45</v>
      </c>
      <c r="F295" s="12" t="s">
        <v>45</v>
      </c>
      <c r="G295" s="12" t="s">
        <v>312</v>
      </c>
      <c r="H295" s="12"/>
      <c r="I295" s="12" t="s">
        <v>45</v>
      </c>
      <c r="J295" s="12" t="s">
        <v>47</v>
      </c>
      <c r="K295" s="12" t="s">
        <v>49</v>
      </c>
      <c r="L295" s="12" t="s">
        <v>49</v>
      </c>
      <c r="M295" s="11" t="s">
        <v>56</v>
      </c>
      <c r="N295" s="11" t="s">
        <v>57</v>
      </c>
      <c r="O295" s="11" t="s">
        <v>126</v>
      </c>
      <c r="P295" s="11" t="s">
        <v>51</v>
      </c>
      <c r="Q295" s="50" t="s">
        <v>313</v>
      </c>
      <c r="R295" s="65">
        <v>15</v>
      </c>
      <c r="S295" s="70">
        <v>3.8</v>
      </c>
      <c r="T295" s="70">
        <v>0.6</v>
      </c>
      <c r="U295" s="70">
        <v>12</v>
      </c>
      <c r="V295" s="65">
        <v>4.8</v>
      </c>
      <c r="W295" s="70">
        <v>1.3</v>
      </c>
      <c r="X295" s="130">
        <f t="shared" si="50"/>
        <v>1</v>
      </c>
      <c r="Y295" s="16">
        <f t="shared" si="53"/>
        <v>0.32532035493238565</v>
      </c>
      <c r="Z295" s="15">
        <f t="shared" si="54"/>
        <v>1.2000000000000002</v>
      </c>
      <c r="AA295" s="16">
        <f t="shared" si="55"/>
        <v>1.5709523809523811</v>
      </c>
      <c r="AB295" s="16">
        <f t="shared" si="56"/>
        <v>0.52318882941682854</v>
      </c>
      <c r="AC295" s="66" t="s">
        <v>49</v>
      </c>
      <c r="AD295" s="51" t="s">
        <v>315</v>
      </c>
      <c r="AE295" s="13">
        <v>12</v>
      </c>
      <c r="AF295" s="13">
        <v>3</v>
      </c>
      <c r="AG295" s="13">
        <v>45</v>
      </c>
      <c r="AH295" s="13" t="s">
        <v>316</v>
      </c>
      <c r="AI295" s="13">
        <v>3.9</v>
      </c>
      <c r="AJ295" s="135">
        <v>157.5</v>
      </c>
      <c r="AK295" s="136">
        <f t="shared" si="52"/>
        <v>472.5</v>
      </c>
      <c r="AL295" s="136" t="str" cm="1">
        <f t="array" ref="AL295">_xlfn.IFS(
AI295&lt;3,"Ligera",
AI295&lt;=6,"Moderada",
AI295&gt;6,"Vigorosa"
)</f>
        <v>Moderada</v>
      </c>
      <c r="AM295" s="45" t="s">
        <v>48</v>
      </c>
      <c r="AN295" s="46" t="s">
        <v>60</v>
      </c>
      <c r="AO295" s="46" t="s">
        <v>61</v>
      </c>
      <c r="AP295" s="289" t="s">
        <v>128</v>
      </c>
      <c r="AQ295" s="139">
        <v>0</v>
      </c>
    </row>
    <row r="296" spans="1:45" ht="66" customHeight="1" thickBot="1">
      <c r="A296" s="138" t="s">
        <v>311</v>
      </c>
      <c r="B296" s="12">
        <v>30</v>
      </c>
      <c r="C296" s="12">
        <v>84.1</v>
      </c>
      <c r="D296" s="12" t="s">
        <v>47</v>
      </c>
      <c r="E296" s="12" t="s">
        <v>45</v>
      </c>
      <c r="F296" s="12" t="s">
        <v>45</v>
      </c>
      <c r="G296" s="12" t="s">
        <v>312</v>
      </c>
      <c r="H296" s="12"/>
      <c r="I296" s="12" t="s">
        <v>45</v>
      </c>
      <c r="J296" s="12" t="s">
        <v>47</v>
      </c>
      <c r="K296" s="12" t="s">
        <v>49</v>
      </c>
      <c r="L296" s="12" t="s">
        <v>49</v>
      </c>
      <c r="M296" s="11" t="s">
        <v>50</v>
      </c>
      <c r="N296" s="11" t="s">
        <v>50</v>
      </c>
      <c r="O296" s="11" t="s">
        <v>50</v>
      </c>
      <c r="P296" s="11" t="s">
        <v>94</v>
      </c>
      <c r="Q296" s="50" t="s">
        <v>119</v>
      </c>
      <c r="R296" s="65">
        <v>15</v>
      </c>
      <c r="S296" s="70">
        <v>22.1</v>
      </c>
      <c r="T296" s="70">
        <v>1.7</v>
      </c>
      <c r="U296" s="70">
        <v>11</v>
      </c>
      <c r="V296" s="65">
        <v>17.5</v>
      </c>
      <c r="W296" s="70">
        <v>2.1</v>
      </c>
      <c r="X296" s="130">
        <f t="shared" si="50"/>
        <v>-4.6000000000000014</v>
      </c>
      <c r="Y296" s="16">
        <f t="shared" si="53"/>
        <v>0.58231512868111979</v>
      </c>
      <c r="Z296" s="286" t="s">
        <v>53</v>
      </c>
      <c r="AA296" s="287" t="s">
        <v>53</v>
      </c>
      <c r="AB296" s="16">
        <v>0.58231512868111979</v>
      </c>
      <c r="AC296" s="66" t="s">
        <v>49</v>
      </c>
      <c r="AD296" s="51" t="s">
        <v>314</v>
      </c>
      <c r="AE296" s="13">
        <v>12</v>
      </c>
      <c r="AF296" s="13">
        <v>0</v>
      </c>
      <c r="AG296" s="13">
        <v>0</v>
      </c>
      <c r="AH296" s="134">
        <v>0</v>
      </c>
      <c r="AI296" s="134">
        <v>0</v>
      </c>
      <c r="AJ296" s="135">
        <f t="shared" si="51"/>
        <v>0</v>
      </c>
      <c r="AK296" s="136">
        <f t="shared" si="52"/>
        <v>0</v>
      </c>
      <c r="AL296" s="136" t="str" cm="1">
        <f t="array" ref="AL296">_xlfn.IFS(
AI296&lt;3,"Ligera",
AI296&lt;=6,"Moderada",
AI296&gt;6,"Vigorosa"
)</f>
        <v>Ligera</v>
      </c>
      <c r="AM296" s="45" t="s">
        <v>49</v>
      </c>
      <c r="AN296" s="46" t="s">
        <v>49</v>
      </c>
      <c r="AO296" s="46" t="s">
        <v>49</v>
      </c>
      <c r="AP296" s="289" t="s">
        <v>49</v>
      </c>
      <c r="AQ296" s="139">
        <v>0</v>
      </c>
    </row>
    <row r="297" spans="1:45" ht="66" customHeight="1" thickBot="1">
      <c r="A297" s="138" t="s">
        <v>311</v>
      </c>
      <c r="B297" s="12">
        <v>30</v>
      </c>
      <c r="C297" s="12">
        <v>83.3</v>
      </c>
      <c r="D297" s="12" t="s">
        <v>47</v>
      </c>
      <c r="E297" s="12" t="s">
        <v>45</v>
      </c>
      <c r="F297" s="12" t="s">
        <v>45</v>
      </c>
      <c r="G297" s="12" t="s">
        <v>312</v>
      </c>
      <c r="H297" s="12"/>
      <c r="I297" s="12" t="s">
        <v>45</v>
      </c>
      <c r="J297" s="12" t="s">
        <v>47</v>
      </c>
      <c r="K297" s="12" t="s">
        <v>49</v>
      </c>
      <c r="L297" s="12" t="s">
        <v>49</v>
      </c>
      <c r="M297" s="11" t="s">
        <v>56</v>
      </c>
      <c r="N297" s="11" t="s">
        <v>57</v>
      </c>
      <c r="O297" s="11" t="s">
        <v>126</v>
      </c>
      <c r="P297" s="11" t="s">
        <v>94</v>
      </c>
      <c r="Q297" s="50" t="s">
        <v>119</v>
      </c>
      <c r="R297" s="65">
        <v>15</v>
      </c>
      <c r="S297" s="70">
        <v>22.3</v>
      </c>
      <c r="T297" s="70">
        <v>2.1</v>
      </c>
      <c r="U297" s="70">
        <v>12</v>
      </c>
      <c r="V297" s="65">
        <v>23</v>
      </c>
      <c r="W297" s="70">
        <v>1.4</v>
      </c>
      <c r="X297" s="130">
        <f t="shared" si="50"/>
        <v>0.69999999999999929</v>
      </c>
      <c r="Y297" s="16">
        <f t="shared" si="53"/>
        <v>0.53463383107818141</v>
      </c>
      <c r="Z297" s="15">
        <f>X297-X296</f>
        <v>5.3000000000000007</v>
      </c>
      <c r="AA297" s="16">
        <f t="shared" si="55"/>
        <v>3.1266666666666665</v>
      </c>
      <c r="AB297" s="16">
        <f t="shared" si="56"/>
        <v>0.73810431498398643</v>
      </c>
      <c r="AC297" s="66" t="s">
        <v>49</v>
      </c>
      <c r="AD297" s="51" t="s">
        <v>315</v>
      </c>
      <c r="AE297" s="13">
        <v>12</v>
      </c>
      <c r="AF297" s="13">
        <v>3</v>
      </c>
      <c r="AG297" s="13">
        <v>45</v>
      </c>
      <c r="AH297" s="13" t="s">
        <v>316</v>
      </c>
      <c r="AI297" s="13">
        <v>3.9</v>
      </c>
      <c r="AJ297" s="135">
        <v>157.5</v>
      </c>
      <c r="AK297" s="136">
        <f t="shared" si="52"/>
        <v>472.5</v>
      </c>
      <c r="AL297" s="136" t="str" cm="1">
        <f t="array" ref="AL297">_xlfn.IFS(
AI297&lt;3,"Ligera",
AI297&lt;=6,"Moderada",
AI297&gt;6,"Vigorosa"
)</f>
        <v>Moderada</v>
      </c>
      <c r="AM297" s="45" t="s">
        <v>48</v>
      </c>
      <c r="AN297" s="46" t="s">
        <v>60</v>
      </c>
      <c r="AO297" s="46" t="s">
        <v>61</v>
      </c>
      <c r="AP297" s="289" t="s">
        <v>128</v>
      </c>
      <c r="AQ297" s="139">
        <v>0</v>
      </c>
    </row>
    <row r="298" spans="1:45" ht="66" customHeight="1" thickBot="1">
      <c r="A298" s="124" t="s">
        <v>317</v>
      </c>
      <c r="B298" s="125">
        <v>39</v>
      </c>
      <c r="C298" s="125">
        <v>83.59</v>
      </c>
      <c r="D298" s="125">
        <v>68.19</v>
      </c>
      <c r="E298" s="125" t="s">
        <v>45</v>
      </c>
      <c r="F298" s="125" t="s">
        <v>45</v>
      </c>
      <c r="G298" s="125" t="s">
        <v>46</v>
      </c>
      <c r="H298" s="125"/>
      <c r="I298" s="125" t="s">
        <v>45</v>
      </c>
      <c r="J298" s="125" t="s">
        <v>47</v>
      </c>
      <c r="K298" s="125" t="s">
        <v>48</v>
      </c>
      <c r="L298" s="125" t="s">
        <v>48</v>
      </c>
      <c r="M298" s="126" t="s">
        <v>50</v>
      </c>
      <c r="N298" s="126" t="s">
        <v>50</v>
      </c>
      <c r="O298" s="126" t="s">
        <v>50</v>
      </c>
      <c r="P298" s="126" t="s">
        <v>94</v>
      </c>
      <c r="Q298" s="159" t="s">
        <v>95</v>
      </c>
      <c r="R298" s="128">
        <v>22</v>
      </c>
      <c r="S298" s="152">
        <v>28.54</v>
      </c>
      <c r="T298" s="152">
        <v>2.8</v>
      </c>
      <c r="U298" s="152">
        <v>22</v>
      </c>
      <c r="V298" s="128">
        <v>27.23</v>
      </c>
      <c r="W298" s="152">
        <v>3.42</v>
      </c>
      <c r="X298" s="130">
        <f t="shared" ref="X298:X341" si="57">V298-S298</f>
        <v>-1.3099999999999987</v>
      </c>
      <c r="Y298" s="16">
        <f t="shared" ref="Y298:Y342" si="58">SQRT((T298^2+W298^2-(2*0.5*T298*W298)))/SQRT(U298)</f>
        <v>0.67286362254579823</v>
      </c>
      <c r="Z298" s="286" t="s">
        <v>53</v>
      </c>
      <c r="AA298" s="287" t="s">
        <v>53</v>
      </c>
      <c r="AB298" s="16">
        <v>0.67286362254579823</v>
      </c>
      <c r="AC298" s="66" t="s">
        <v>49</v>
      </c>
      <c r="AD298" s="133" t="s">
        <v>318</v>
      </c>
      <c r="AE298" s="134">
        <v>65</v>
      </c>
      <c r="AF298" s="134">
        <v>0</v>
      </c>
      <c r="AG298" s="134">
        <v>0</v>
      </c>
      <c r="AH298" s="134">
        <v>0</v>
      </c>
      <c r="AI298" s="134">
        <v>0</v>
      </c>
      <c r="AJ298" s="135">
        <f t="shared" ref="AJ298:AJ340" si="59">AI298*AG298</f>
        <v>0</v>
      </c>
      <c r="AK298" s="136">
        <f t="shared" ref="AK298:AK341" si="60">AJ298*AF298</f>
        <v>0</v>
      </c>
      <c r="AL298" s="136" t="str" cm="1">
        <f t="array" ref="AL298">_xlfn.IFS(
AI298&lt;3,"Ligera",
AI298&lt;=6,"Moderada",
AI298&gt;6,"Vigorosa"
)</f>
        <v>Ligera</v>
      </c>
      <c r="AM298" s="136" t="s">
        <v>49</v>
      </c>
      <c r="AN298" s="135" t="s">
        <v>49</v>
      </c>
      <c r="AO298" s="135" t="s">
        <v>49</v>
      </c>
      <c r="AP298" s="288" t="s">
        <v>49</v>
      </c>
      <c r="AQ298" s="137">
        <v>0</v>
      </c>
    </row>
    <row r="299" spans="1:45" ht="66" customHeight="1" thickBot="1">
      <c r="A299" s="138" t="s">
        <v>317</v>
      </c>
      <c r="B299" s="12">
        <v>39</v>
      </c>
      <c r="C299" s="12">
        <v>77.94</v>
      </c>
      <c r="D299" s="12">
        <v>52.95</v>
      </c>
      <c r="E299" s="12" t="s">
        <v>45</v>
      </c>
      <c r="F299" s="12" t="s">
        <v>45</v>
      </c>
      <c r="G299" s="12" t="s">
        <v>46</v>
      </c>
      <c r="H299" s="12"/>
      <c r="I299" s="12" t="s">
        <v>45</v>
      </c>
      <c r="J299" s="12" t="s">
        <v>47</v>
      </c>
      <c r="K299" s="12" t="s">
        <v>48</v>
      </c>
      <c r="L299" s="12" t="s">
        <v>48</v>
      </c>
      <c r="M299" s="11" t="s">
        <v>56</v>
      </c>
      <c r="N299" s="11" t="s">
        <v>162</v>
      </c>
      <c r="O299" s="11" t="s">
        <v>319</v>
      </c>
      <c r="P299" s="11" t="s">
        <v>94</v>
      </c>
      <c r="Q299" s="50" t="s">
        <v>95</v>
      </c>
      <c r="R299" s="65">
        <v>17</v>
      </c>
      <c r="S299" s="70">
        <v>28.58</v>
      </c>
      <c r="T299" s="70">
        <v>2.5</v>
      </c>
      <c r="U299" s="70">
        <v>17</v>
      </c>
      <c r="V299" s="65">
        <v>30.19</v>
      </c>
      <c r="W299" s="70">
        <v>3.77</v>
      </c>
      <c r="X299" s="130">
        <f t="shared" si="57"/>
        <v>1.610000000000003</v>
      </c>
      <c r="Y299" s="16">
        <f t="shared" si="58"/>
        <v>0.80578423619112671</v>
      </c>
      <c r="Z299" s="15">
        <f t="shared" ref="Z299:Z343" si="61">X299-X298</f>
        <v>2.9200000000000017</v>
      </c>
      <c r="AA299" s="16">
        <f t="shared" ref="AA299:AA343" si="62">((U299-1)*W299^2+(U298-1)*W298^2)/((U299-1)+(U298-1))</f>
        <v>12.784616216216216</v>
      </c>
      <c r="AB299" s="16">
        <f t="shared" ref="AB299:AB343" si="63">SQRT(AA299*((1/U299)+(1/U298)))</f>
        <v>1.1546233874868626</v>
      </c>
      <c r="AC299" s="66" t="s">
        <v>49</v>
      </c>
      <c r="AD299" s="51" t="s">
        <v>320</v>
      </c>
      <c r="AE299" s="13">
        <v>65</v>
      </c>
      <c r="AF299" s="13">
        <v>7</v>
      </c>
      <c r="AG299" s="13">
        <v>15</v>
      </c>
      <c r="AH299" s="13">
        <v>101160</v>
      </c>
      <c r="AI299" s="13">
        <v>4.3</v>
      </c>
      <c r="AJ299" s="135">
        <f t="shared" si="59"/>
        <v>64.5</v>
      </c>
      <c r="AK299" s="136">
        <f t="shared" si="60"/>
        <v>451.5</v>
      </c>
      <c r="AL299" s="136" t="str" cm="1">
        <f t="array" ref="AL299">_xlfn.IFS(
AI299&lt;3,"Ligera",
AI299&lt;=6,"Moderada",
AI299&gt;6,"Vigorosa"
)</f>
        <v>Moderada</v>
      </c>
      <c r="AM299" s="45" t="s">
        <v>49</v>
      </c>
      <c r="AN299" s="46" t="s">
        <v>49</v>
      </c>
      <c r="AO299" s="46" t="s">
        <v>61</v>
      </c>
      <c r="AP299" s="289" t="s">
        <v>155</v>
      </c>
      <c r="AQ299" s="139">
        <v>0</v>
      </c>
    </row>
    <row r="300" spans="1:45" ht="66" customHeight="1" thickBot="1">
      <c r="A300" s="138" t="s">
        <v>317</v>
      </c>
      <c r="B300" s="12">
        <v>39</v>
      </c>
      <c r="C300" s="12">
        <v>83.59</v>
      </c>
      <c r="D300" s="12">
        <v>68.19</v>
      </c>
      <c r="E300" s="12" t="s">
        <v>45</v>
      </c>
      <c r="F300" s="12" t="s">
        <v>45</v>
      </c>
      <c r="G300" s="12" t="s">
        <v>46</v>
      </c>
      <c r="H300" s="12"/>
      <c r="I300" s="12" t="s">
        <v>45</v>
      </c>
      <c r="J300" s="12" t="s">
        <v>47</v>
      </c>
      <c r="K300" s="12" t="s">
        <v>48</v>
      </c>
      <c r="L300" s="12" t="s">
        <v>48</v>
      </c>
      <c r="M300" s="11" t="s">
        <v>50</v>
      </c>
      <c r="N300" s="11" t="s">
        <v>50</v>
      </c>
      <c r="O300" s="11" t="s">
        <v>50</v>
      </c>
      <c r="P300" s="11" t="s">
        <v>94</v>
      </c>
      <c r="Q300" s="50" t="s">
        <v>321</v>
      </c>
      <c r="R300" s="65">
        <v>22</v>
      </c>
      <c r="S300" s="70">
        <v>23.86</v>
      </c>
      <c r="T300" s="70">
        <v>14.33</v>
      </c>
      <c r="U300" s="70">
        <v>22</v>
      </c>
      <c r="V300" s="65">
        <v>21.8</v>
      </c>
      <c r="W300" s="70">
        <v>13.21</v>
      </c>
      <c r="X300" s="130">
        <f t="shared" si="57"/>
        <v>-2.0599999999999987</v>
      </c>
      <c r="Y300" s="16">
        <f t="shared" si="58"/>
        <v>2.9430480489081075</v>
      </c>
      <c r="Z300" s="286" t="s">
        <v>53</v>
      </c>
      <c r="AA300" s="287" t="s">
        <v>53</v>
      </c>
      <c r="AB300" s="16">
        <v>2.9430480489081075</v>
      </c>
      <c r="AC300" s="66" t="s">
        <v>49</v>
      </c>
      <c r="AD300" s="51" t="s">
        <v>318</v>
      </c>
      <c r="AE300" s="13">
        <v>65</v>
      </c>
      <c r="AF300" s="13">
        <v>0</v>
      </c>
      <c r="AG300" s="13">
        <v>0</v>
      </c>
      <c r="AH300" s="134">
        <v>0</v>
      </c>
      <c r="AI300" s="134">
        <v>0</v>
      </c>
      <c r="AJ300" s="135">
        <f t="shared" si="59"/>
        <v>0</v>
      </c>
      <c r="AK300" s="136">
        <f t="shared" si="60"/>
        <v>0</v>
      </c>
      <c r="AL300" s="136" t="str" cm="1">
        <f t="array" ref="AL300">_xlfn.IFS(
AI300&lt;3,"Ligera",
AI300&lt;=6,"Moderada",
AI300&gt;6,"Vigorosa"
)</f>
        <v>Ligera</v>
      </c>
      <c r="AM300" s="45" t="s">
        <v>49</v>
      </c>
      <c r="AN300" s="46" t="s">
        <v>49</v>
      </c>
      <c r="AO300" s="46" t="s">
        <v>49</v>
      </c>
      <c r="AP300" s="289" t="s">
        <v>49</v>
      </c>
      <c r="AQ300" s="139">
        <v>0</v>
      </c>
    </row>
    <row r="301" spans="1:45" ht="66" customHeight="1" thickBot="1">
      <c r="A301" s="138" t="s">
        <v>317</v>
      </c>
      <c r="B301" s="12">
        <v>39</v>
      </c>
      <c r="C301" s="12">
        <v>77.94</v>
      </c>
      <c r="D301" s="12">
        <v>52.95</v>
      </c>
      <c r="E301" s="12" t="s">
        <v>45</v>
      </c>
      <c r="F301" s="12" t="s">
        <v>45</v>
      </c>
      <c r="G301" s="12" t="s">
        <v>46</v>
      </c>
      <c r="H301" s="12"/>
      <c r="I301" s="12" t="s">
        <v>45</v>
      </c>
      <c r="J301" s="12" t="s">
        <v>47</v>
      </c>
      <c r="K301" s="12" t="s">
        <v>48</v>
      </c>
      <c r="L301" s="12" t="s">
        <v>48</v>
      </c>
      <c r="M301" s="11" t="s">
        <v>56</v>
      </c>
      <c r="N301" s="11" t="s">
        <v>162</v>
      </c>
      <c r="O301" s="11" t="s">
        <v>319</v>
      </c>
      <c r="P301" s="11" t="s">
        <v>94</v>
      </c>
      <c r="Q301" s="50" t="s">
        <v>321</v>
      </c>
      <c r="R301" s="65">
        <v>17</v>
      </c>
      <c r="S301" s="70">
        <v>26.17</v>
      </c>
      <c r="T301" s="70">
        <v>14.32</v>
      </c>
      <c r="U301" s="70">
        <v>17</v>
      </c>
      <c r="V301" s="65">
        <v>27</v>
      </c>
      <c r="W301" s="70">
        <v>11.71</v>
      </c>
      <c r="X301" s="130">
        <f t="shared" si="57"/>
        <v>0.82999999999999829</v>
      </c>
      <c r="Y301" s="16">
        <f t="shared" si="58"/>
        <v>3.2038515424223939</v>
      </c>
      <c r="Z301" s="15">
        <f t="shared" si="61"/>
        <v>2.889999999999997</v>
      </c>
      <c r="AA301" s="16">
        <f t="shared" si="62"/>
        <v>158.3397756756757</v>
      </c>
      <c r="AB301" s="16">
        <f t="shared" si="63"/>
        <v>4.0634181402143277</v>
      </c>
      <c r="AC301" s="66" t="s">
        <v>49</v>
      </c>
      <c r="AD301" s="51" t="s">
        <v>320</v>
      </c>
      <c r="AE301" s="13">
        <v>65</v>
      </c>
      <c r="AF301" s="13">
        <v>7</v>
      </c>
      <c r="AG301" s="13">
        <v>15</v>
      </c>
      <c r="AH301" s="13">
        <v>101160</v>
      </c>
      <c r="AI301" s="13">
        <v>4.3</v>
      </c>
      <c r="AJ301" s="135">
        <f t="shared" si="59"/>
        <v>64.5</v>
      </c>
      <c r="AK301" s="136">
        <f t="shared" si="60"/>
        <v>451.5</v>
      </c>
      <c r="AL301" s="136" t="str" cm="1">
        <f t="array" ref="AL301">_xlfn.IFS(
AI301&lt;3,"Ligera",
AI301&lt;=6,"Moderada",
AI301&gt;6,"Vigorosa"
)</f>
        <v>Moderada</v>
      </c>
      <c r="AM301" s="45" t="s">
        <v>49</v>
      </c>
      <c r="AN301" s="46" t="s">
        <v>49</v>
      </c>
      <c r="AO301" s="46" t="s">
        <v>61</v>
      </c>
      <c r="AP301" s="289" t="s">
        <v>155</v>
      </c>
      <c r="AQ301" s="139">
        <v>0</v>
      </c>
    </row>
    <row r="302" spans="1:45" ht="66" customHeight="1" thickBot="1">
      <c r="A302" s="138" t="s">
        <v>317</v>
      </c>
      <c r="B302" s="12">
        <v>39</v>
      </c>
      <c r="C302" s="12">
        <v>83.59</v>
      </c>
      <c r="D302" s="12">
        <v>68.19</v>
      </c>
      <c r="E302" s="12" t="s">
        <v>45</v>
      </c>
      <c r="F302" s="12" t="s">
        <v>45</v>
      </c>
      <c r="G302" s="12" t="s">
        <v>46</v>
      </c>
      <c r="H302" s="12"/>
      <c r="I302" s="12" t="s">
        <v>45</v>
      </c>
      <c r="J302" s="12" t="s">
        <v>47</v>
      </c>
      <c r="K302" s="12" t="s">
        <v>48</v>
      </c>
      <c r="L302" s="12" t="s">
        <v>48</v>
      </c>
      <c r="M302" s="11" t="s">
        <v>50</v>
      </c>
      <c r="N302" s="11" t="s">
        <v>50</v>
      </c>
      <c r="O302" s="11" t="s">
        <v>50</v>
      </c>
      <c r="P302" s="11" t="s">
        <v>94</v>
      </c>
      <c r="Q302" s="50" t="s">
        <v>322</v>
      </c>
      <c r="R302" s="65">
        <v>22</v>
      </c>
      <c r="S302" s="70">
        <v>7.71</v>
      </c>
      <c r="T302" s="70">
        <v>5.35</v>
      </c>
      <c r="U302" s="70">
        <v>22</v>
      </c>
      <c r="V302" s="65">
        <v>6.66</v>
      </c>
      <c r="W302" s="70">
        <v>4.04</v>
      </c>
      <c r="X302" s="130">
        <f t="shared" si="57"/>
        <v>-1.0499999999999998</v>
      </c>
      <c r="Y302" s="16">
        <f t="shared" si="58"/>
        <v>1.0297859442180646</v>
      </c>
      <c r="Z302" s="286" t="s">
        <v>53</v>
      </c>
      <c r="AA302" s="287" t="s">
        <v>53</v>
      </c>
      <c r="AB302" s="16">
        <v>1.0297859442180646</v>
      </c>
      <c r="AC302" s="66" t="s">
        <v>49</v>
      </c>
      <c r="AD302" s="51" t="s">
        <v>318</v>
      </c>
      <c r="AE302" s="13">
        <v>65</v>
      </c>
      <c r="AF302" s="13">
        <v>0</v>
      </c>
      <c r="AG302" s="13">
        <v>0</v>
      </c>
      <c r="AH302" s="134">
        <v>0</v>
      </c>
      <c r="AI302" s="134">
        <v>0</v>
      </c>
      <c r="AJ302" s="135">
        <f t="shared" si="59"/>
        <v>0</v>
      </c>
      <c r="AK302" s="136">
        <f t="shared" si="60"/>
        <v>0</v>
      </c>
      <c r="AL302" s="136" t="str" cm="1">
        <f t="array" ref="AL302">_xlfn.IFS(
AI302&lt;3,"Ligera",
AI302&lt;=6,"Moderada",
AI302&gt;6,"Vigorosa"
)</f>
        <v>Ligera</v>
      </c>
      <c r="AM302" s="45" t="s">
        <v>49</v>
      </c>
      <c r="AN302" s="46" t="s">
        <v>49</v>
      </c>
      <c r="AO302" s="46" t="s">
        <v>49</v>
      </c>
      <c r="AP302" s="289" t="s">
        <v>49</v>
      </c>
      <c r="AQ302" s="139">
        <v>0</v>
      </c>
    </row>
    <row r="303" spans="1:45" ht="71.25" customHeight="1" thickBot="1">
      <c r="A303" s="138" t="s">
        <v>317</v>
      </c>
      <c r="B303" s="12">
        <v>39</v>
      </c>
      <c r="C303" s="12">
        <v>77.94</v>
      </c>
      <c r="D303" s="12">
        <v>52.95</v>
      </c>
      <c r="E303" s="12" t="s">
        <v>45</v>
      </c>
      <c r="F303" s="12" t="s">
        <v>45</v>
      </c>
      <c r="G303" s="12" t="s">
        <v>46</v>
      </c>
      <c r="H303" s="12"/>
      <c r="I303" s="12" t="s">
        <v>45</v>
      </c>
      <c r="J303" s="12" t="s">
        <v>47</v>
      </c>
      <c r="K303" s="12" t="s">
        <v>48</v>
      </c>
      <c r="L303" s="12" t="s">
        <v>48</v>
      </c>
      <c r="M303" s="11" t="s">
        <v>56</v>
      </c>
      <c r="N303" s="11" t="s">
        <v>162</v>
      </c>
      <c r="O303" s="11" t="s">
        <v>319</v>
      </c>
      <c r="P303" s="11" t="s">
        <v>94</v>
      </c>
      <c r="Q303" s="50" t="s">
        <v>322</v>
      </c>
      <c r="R303" s="65">
        <v>17</v>
      </c>
      <c r="S303" s="70">
        <v>9.15</v>
      </c>
      <c r="T303" s="70">
        <v>7.69</v>
      </c>
      <c r="U303" s="70">
        <v>17</v>
      </c>
      <c r="V303" s="65">
        <v>10.029999999999999</v>
      </c>
      <c r="W303" s="70">
        <v>7.33</v>
      </c>
      <c r="X303" s="130">
        <f t="shared" si="57"/>
        <v>0.87999999999999901</v>
      </c>
      <c r="Y303" s="16">
        <f t="shared" si="58"/>
        <v>1.8230114065016967</v>
      </c>
      <c r="Z303" s="15">
        <f t="shared" si="61"/>
        <v>1.9299999999999988</v>
      </c>
      <c r="AA303" s="16">
        <f t="shared" si="62"/>
        <v>32.497729729729734</v>
      </c>
      <c r="AB303" s="16">
        <f t="shared" si="63"/>
        <v>1.8408695482683912</v>
      </c>
      <c r="AC303" s="66" t="s">
        <v>49</v>
      </c>
      <c r="AD303" s="51" t="s">
        <v>320</v>
      </c>
      <c r="AE303" s="13">
        <v>65</v>
      </c>
      <c r="AF303" s="13">
        <v>7</v>
      </c>
      <c r="AG303" s="13">
        <v>15</v>
      </c>
      <c r="AH303" s="13">
        <v>101160</v>
      </c>
      <c r="AI303" s="13">
        <v>4.3</v>
      </c>
      <c r="AJ303" s="135">
        <f t="shared" si="59"/>
        <v>64.5</v>
      </c>
      <c r="AK303" s="136">
        <f t="shared" si="60"/>
        <v>451.5</v>
      </c>
      <c r="AL303" s="136" t="str" cm="1">
        <f t="array" ref="AL303">_xlfn.IFS(
AI303&lt;3,"Ligera",
AI303&lt;=6,"Moderada",
AI303&gt;6,"Vigorosa"
)</f>
        <v>Moderada</v>
      </c>
      <c r="AM303" s="45" t="s">
        <v>49</v>
      </c>
      <c r="AN303" s="46" t="s">
        <v>49</v>
      </c>
      <c r="AO303" s="46" t="s">
        <v>61</v>
      </c>
      <c r="AP303" s="289" t="s">
        <v>155</v>
      </c>
      <c r="AQ303" s="139">
        <v>0</v>
      </c>
    </row>
    <row r="304" spans="1:45" ht="78" customHeight="1" thickBot="1">
      <c r="A304" s="138" t="s">
        <v>317</v>
      </c>
      <c r="B304" s="12">
        <v>39</v>
      </c>
      <c r="C304" s="12">
        <v>83.59</v>
      </c>
      <c r="D304" s="12">
        <v>68.19</v>
      </c>
      <c r="E304" s="12" t="s">
        <v>45</v>
      </c>
      <c r="F304" s="12" t="s">
        <v>45</v>
      </c>
      <c r="G304" s="12" t="s">
        <v>46</v>
      </c>
      <c r="H304" s="12"/>
      <c r="I304" s="12" t="s">
        <v>45</v>
      </c>
      <c r="J304" s="12" t="s">
        <v>47</v>
      </c>
      <c r="K304" s="12" t="s">
        <v>48</v>
      </c>
      <c r="L304" s="12" t="s">
        <v>48</v>
      </c>
      <c r="M304" s="11" t="s">
        <v>50</v>
      </c>
      <c r="N304" s="11" t="s">
        <v>50</v>
      </c>
      <c r="O304" s="11" t="s">
        <v>50</v>
      </c>
      <c r="P304" s="11" t="s">
        <v>51</v>
      </c>
      <c r="Q304" s="50" t="s">
        <v>124</v>
      </c>
      <c r="R304" s="65">
        <v>22</v>
      </c>
      <c r="S304" s="70">
        <v>21.8</v>
      </c>
      <c r="T304" s="70">
        <v>10.93</v>
      </c>
      <c r="U304" s="70">
        <v>22</v>
      </c>
      <c r="V304" s="65">
        <v>21.97</v>
      </c>
      <c r="W304" s="70">
        <v>6.57</v>
      </c>
      <c r="X304" s="130">
        <f t="shared" si="57"/>
        <v>0.16999999999999815</v>
      </c>
      <c r="Y304" s="16">
        <f t="shared" si="58"/>
        <v>2.031789403904396</v>
      </c>
      <c r="Z304" s="286" t="s">
        <v>53</v>
      </c>
      <c r="AA304" s="287" t="s">
        <v>53</v>
      </c>
      <c r="AB304" s="16">
        <v>2.031789403904396</v>
      </c>
      <c r="AC304" s="66" t="s">
        <v>48</v>
      </c>
      <c r="AD304" s="51" t="s">
        <v>318</v>
      </c>
      <c r="AE304" s="13">
        <v>65</v>
      </c>
      <c r="AF304" s="13">
        <v>0</v>
      </c>
      <c r="AG304" s="13">
        <v>0</v>
      </c>
      <c r="AH304" s="134">
        <v>0</v>
      </c>
      <c r="AI304" s="134">
        <v>0</v>
      </c>
      <c r="AJ304" s="135">
        <f t="shared" si="59"/>
        <v>0</v>
      </c>
      <c r="AK304" s="136">
        <f t="shared" si="60"/>
        <v>0</v>
      </c>
      <c r="AL304" s="136" t="str" cm="1">
        <f t="array" ref="AL304">_xlfn.IFS(
AI304&lt;3,"Ligera",
AI304&lt;=6,"Moderada",
AI304&gt;6,"Vigorosa"
)</f>
        <v>Ligera</v>
      </c>
      <c r="AM304" s="45" t="s">
        <v>49</v>
      </c>
      <c r="AN304" s="46" t="s">
        <v>49</v>
      </c>
      <c r="AO304" s="46" t="s">
        <v>49</v>
      </c>
      <c r="AP304" s="289" t="s">
        <v>49</v>
      </c>
      <c r="AQ304" s="139">
        <v>0</v>
      </c>
    </row>
    <row r="305" spans="1:43" ht="78" customHeight="1" thickBot="1">
      <c r="A305" s="138" t="s">
        <v>317</v>
      </c>
      <c r="B305" s="12">
        <v>39</v>
      </c>
      <c r="C305" s="12">
        <v>77.94</v>
      </c>
      <c r="D305" s="12">
        <v>52.95</v>
      </c>
      <c r="E305" s="12" t="s">
        <v>45</v>
      </c>
      <c r="F305" s="12" t="s">
        <v>45</v>
      </c>
      <c r="G305" s="12" t="s">
        <v>46</v>
      </c>
      <c r="H305" s="12"/>
      <c r="I305" s="12" t="s">
        <v>45</v>
      </c>
      <c r="J305" s="12" t="s">
        <v>47</v>
      </c>
      <c r="K305" s="12" t="s">
        <v>48</v>
      </c>
      <c r="L305" s="12" t="s">
        <v>48</v>
      </c>
      <c r="M305" s="11" t="s">
        <v>56</v>
      </c>
      <c r="N305" s="11" t="s">
        <v>162</v>
      </c>
      <c r="O305" s="11" t="s">
        <v>319</v>
      </c>
      <c r="P305" s="11" t="s">
        <v>51</v>
      </c>
      <c r="Q305" s="50" t="s">
        <v>124</v>
      </c>
      <c r="R305" s="65">
        <v>17</v>
      </c>
      <c r="S305" s="70">
        <v>19.47</v>
      </c>
      <c r="T305" s="70">
        <v>9.7200000000000006</v>
      </c>
      <c r="U305" s="70">
        <v>17</v>
      </c>
      <c r="V305" s="65">
        <v>19.2</v>
      </c>
      <c r="W305" s="70">
        <v>8.93</v>
      </c>
      <c r="X305" s="130">
        <f t="shared" si="57"/>
        <v>-0.26999999999999957</v>
      </c>
      <c r="Y305" s="16">
        <f t="shared" si="58"/>
        <v>2.2677236578197295</v>
      </c>
      <c r="Z305" s="15">
        <f t="shared" si="61"/>
        <v>-0.43999999999999773</v>
      </c>
      <c r="AA305" s="16">
        <f t="shared" si="62"/>
        <v>58.98327837837838</v>
      </c>
      <c r="AB305" s="16">
        <f t="shared" si="63"/>
        <v>2.4800529668942466</v>
      </c>
      <c r="AC305" s="66" t="s">
        <v>48</v>
      </c>
      <c r="AD305" s="51" t="s">
        <v>320</v>
      </c>
      <c r="AE305" s="13">
        <v>65</v>
      </c>
      <c r="AF305" s="13">
        <v>7</v>
      </c>
      <c r="AG305" s="13">
        <v>15</v>
      </c>
      <c r="AH305" s="13">
        <v>101160</v>
      </c>
      <c r="AI305" s="13">
        <v>4.3</v>
      </c>
      <c r="AJ305" s="135">
        <f t="shared" si="59"/>
        <v>64.5</v>
      </c>
      <c r="AK305" s="136">
        <f t="shared" si="60"/>
        <v>451.5</v>
      </c>
      <c r="AL305" s="136" t="str" cm="1">
        <f t="array" ref="AL305">_xlfn.IFS(
AI305&lt;3,"Ligera",
AI305&lt;=6,"Moderada",
AI305&gt;6,"Vigorosa"
)</f>
        <v>Moderada</v>
      </c>
      <c r="AM305" s="45" t="s">
        <v>49</v>
      </c>
      <c r="AN305" s="46" t="s">
        <v>49</v>
      </c>
      <c r="AO305" s="46" t="s">
        <v>61</v>
      </c>
      <c r="AP305" s="289" t="s">
        <v>155</v>
      </c>
      <c r="AQ305" s="139">
        <v>0</v>
      </c>
    </row>
    <row r="306" spans="1:43" ht="71.25" customHeight="1" thickBot="1">
      <c r="A306" s="138" t="s">
        <v>317</v>
      </c>
      <c r="B306" s="12">
        <v>39</v>
      </c>
      <c r="C306" s="12">
        <v>83.59</v>
      </c>
      <c r="D306" s="12">
        <v>68.19</v>
      </c>
      <c r="E306" s="12" t="s">
        <v>45</v>
      </c>
      <c r="F306" s="12" t="s">
        <v>45</v>
      </c>
      <c r="G306" s="12" t="s">
        <v>46</v>
      </c>
      <c r="H306" s="12"/>
      <c r="I306" s="12" t="s">
        <v>45</v>
      </c>
      <c r="J306" s="12" t="s">
        <v>47</v>
      </c>
      <c r="K306" s="12" t="s">
        <v>48</v>
      </c>
      <c r="L306" s="12" t="s">
        <v>48</v>
      </c>
      <c r="M306" s="11" t="s">
        <v>50</v>
      </c>
      <c r="N306" s="11" t="s">
        <v>50</v>
      </c>
      <c r="O306" s="11" t="s">
        <v>50</v>
      </c>
      <c r="P306" s="11" t="s">
        <v>86</v>
      </c>
      <c r="Q306" s="50" t="s">
        <v>86</v>
      </c>
      <c r="R306" s="65">
        <v>22</v>
      </c>
      <c r="S306" s="70">
        <v>1.85</v>
      </c>
      <c r="T306" s="70">
        <v>0.37</v>
      </c>
      <c r="U306" s="70">
        <v>22</v>
      </c>
      <c r="V306" s="65">
        <v>1.5</v>
      </c>
      <c r="W306" s="70">
        <v>0.51</v>
      </c>
      <c r="X306" s="130">
        <f t="shared" si="57"/>
        <v>-0.35000000000000009</v>
      </c>
      <c r="Y306" s="16">
        <f t="shared" si="58"/>
        <v>9.7304582719324267E-2</v>
      </c>
      <c r="Z306" s="286" t="s">
        <v>53</v>
      </c>
      <c r="AA306" s="287" t="s">
        <v>53</v>
      </c>
      <c r="AB306" s="16">
        <v>9.7304582719324267E-2</v>
      </c>
      <c r="AC306" s="66" t="s">
        <v>48</v>
      </c>
      <c r="AD306" s="51" t="s">
        <v>318</v>
      </c>
      <c r="AE306" s="13">
        <v>65</v>
      </c>
      <c r="AF306" s="13">
        <v>0</v>
      </c>
      <c r="AG306" s="13">
        <v>0</v>
      </c>
      <c r="AH306" s="134">
        <v>0</v>
      </c>
      <c r="AI306" s="134">
        <v>0</v>
      </c>
      <c r="AJ306" s="135">
        <f t="shared" si="59"/>
        <v>0</v>
      </c>
      <c r="AK306" s="136">
        <f t="shared" si="60"/>
        <v>0</v>
      </c>
      <c r="AL306" s="136" t="str" cm="1">
        <f t="array" ref="AL306">_xlfn.IFS(
AI306&lt;3,"Ligera",
AI306&lt;=6,"Moderada",
AI306&gt;6,"Vigorosa"
)</f>
        <v>Ligera</v>
      </c>
      <c r="AM306" s="45" t="s">
        <v>49</v>
      </c>
      <c r="AN306" s="46" t="s">
        <v>49</v>
      </c>
      <c r="AO306" s="46" t="s">
        <v>49</v>
      </c>
      <c r="AP306" s="289" t="s">
        <v>49</v>
      </c>
      <c r="AQ306" s="139">
        <v>0</v>
      </c>
    </row>
    <row r="307" spans="1:43" ht="73.5" customHeight="1" thickBot="1">
      <c r="A307" s="138" t="s">
        <v>317</v>
      </c>
      <c r="B307" s="12">
        <v>39</v>
      </c>
      <c r="C307" s="12">
        <v>77.94</v>
      </c>
      <c r="D307" s="12">
        <v>52.95</v>
      </c>
      <c r="E307" s="12" t="s">
        <v>45</v>
      </c>
      <c r="F307" s="12" t="s">
        <v>45</v>
      </c>
      <c r="G307" s="12" t="s">
        <v>46</v>
      </c>
      <c r="H307" s="12"/>
      <c r="I307" s="12" t="s">
        <v>45</v>
      </c>
      <c r="J307" s="12" t="s">
        <v>47</v>
      </c>
      <c r="K307" s="12" t="s">
        <v>48</v>
      </c>
      <c r="L307" s="12" t="s">
        <v>48</v>
      </c>
      <c r="M307" s="11" t="s">
        <v>56</v>
      </c>
      <c r="N307" s="11" t="s">
        <v>162</v>
      </c>
      <c r="O307" s="11" t="s">
        <v>319</v>
      </c>
      <c r="P307" s="11" t="s">
        <v>86</v>
      </c>
      <c r="Q307" s="50" t="s">
        <v>86</v>
      </c>
      <c r="R307" s="65">
        <v>17</v>
      </c>
      <c r="S307" s="70">
        <v>1.4</v>
      </c>
      <c r="T307" s="70">
        <v>0.51</v>
      </c>
      <c r="U307" s="70">
        <v>17</v>
      </c>
      <c r="V307" s="65">
        <v>1</v>
      </c>
      <c r="W307" s="70">
        <v>0.35</v>
      </c>
      <c r="X307" s="130">
        <f t="shared" si="57"/>
        <v>-0.39999999999999991</v>
      </c>
      <c r="Y307" s="16">
        <f t="shared" si="58"/>
        <v>0.10957135735647877</v>
      </c>
      <c r="Z307" s="15">
        <f t="shared" si="61"/>
        <v>-4.9999999999999822E-2</v>
      </c>
      <c r="AA307" s="16">
        <f t="shared" si="62"/>
        <v>0.20059729729729728</v>
      </c>
      <c r="AB307" s="16">
        <f t="shared" si="63"/>
        <v>0.14463021809271756</v>
      </c>
      <c r="AC307" s="66" t="s">
        <v>48</v>
      </c>
      <c r="AD307" s="51" t="s">
        <v>320</v>
      </c>
      <c r="AE307" s="13">
        <v>65</v>
      </c>
      <c r="AF307" s="13">
        <v>7</v>
      </c>
      <c r="AG307" s="13">
        <v>15</v>
      </c>
      <c r="AH307" s="13">
        <v>101160</v>
      </c>
      <c r="AI307" s="13">
        <v>4.3</v>
      </c>
      <c r="AJ307" s="135">
        <f t="shared" si="59"/>
        <v>64.5</v>
      </c>
      <c r="AK307" s="136">
        <f t="shared" si="60"/>
        <v>451.5</v>
      </c>
      <c r="AL307" s="136" t="str" cm="1">
        <f t="array" ref="AL307">_xlfn.IFS(
AI307&lt;3,"Ligera",
AI307&lt;=6,"Moderada",
AI307&gt;6,"Vigorosa"
)</f>
        <v>Moderada</v>
      </c>
      <c r="AM307" s="45" t="s">
        <v>49</v>
      </c>
      <c r="AN307" s="46" t="s">
        <v>49</v>
      </c>
      <c r="AO307" s="46" t="s">
        <v>61</v>
      </c>
      <c r="AP307" s="289" t="s">
        <v>155</v>
      </c>
      <c r="AQ307" s="139">
        <v>0</v>
      </c>
    </row>
    <row r="308" spans="1:43" ht="78" customHeight="1" thickBot="1">
      <c r="A308" s="124" t="s">
        <v>323</v>
      </c>
      <c r="B308" s="125">
        <v>35</v>
      </c>
      <c r="C308" s="125">
        <v>84.4</v>
      </c>
      <c r="D308" s="125">
        <v>0</v>
      </c>
      <c r="E308" s="125" t="s">
        <v>45</v>
      </c>
      <c r="F308" s="125" t="s">
        <v>45</v>
      </c>
      <c r="G308" s="125" t="s">
        <v>324</v>
      </c>
      <c r="H308" s="125"/>
      <c r="I308" s="125" t="s">
        <v>45</v>
      </c>
      <c r="J308" s="125" t="s">
        <v>47</v>
      </c>
      <c r="K308" s="125" t="s">
        <v>49</v>
      </c>
      <c r="L308" s="125" t="s">
        <v>49</v>
      </c>
      <c r="M308" s="126" t="s">
        <v>50</v>
      </c>
      <c r="N308" s="126" t="s">
        <v>50</v>
      </c>
      <c r="O308" s="126" t="s">
        <v>50</v>
      </c>
      <c r="P308" s="126" t="s">
        <v>51</v>
      </c>
      <c r="Q308" s="159" t="s">
        <v>91</v>
      </c>
      <c r="R308" s="128">
        <v>9</v>
      </c>
      <c r="S308" s="152">
        <v>5.56</v>
      </c>
      <c r="T308" s="166">
        <v>1.81</v>
      </c>
      <c r="U308" s="128">
        <v>9</v>
      </c>
      <c r="V308" s="128">
        <v>4.78</v>
      </c>
      <c r="W308" s="152">
        <v>1.86</v>
      </c>
      <c r="X308" s="130">
        <f t="shared" si="57"/>
        <v>-0.77999999999999936</v>
      </c>
      <c r="Y308" s="16">
        <f t="shared" si="58"/>
        <v>0.6118369426934307</v>
      </c>
      <c r="Z308" s="286" t="s">
        <v>53</v>
      </c>
      <c r="AA308" s="287" t="s">
        <v>53</v>
      </c>
      <c r="AB308" s="16">
        <v>0.6118369426934307</v>
      </c>
      <c r="AC308" s="66" t="s">
        <v>49</v>
      </c>
      <c r="AD308" s="133" t="s">
        <v>325</v>
      </c>
      <c r="AE308" s="134">
        <v>12</v>
      </c>
      <c r="AF308" s="134">
        <v>0</v>
      </c>
      <c r="AG308" s="134">
        <v>0</v>
      </c>
      <c r="AH308" s="134">
        <v>0</v>
      </c>
      <c r="AI308" s="134">
        <v>0</v>
      </c>
      <c r="AJ308" s="135">
        <f t="shared" si="59"/>
        <v>0</v>
      </c>
      <c r="AK308" s="136">
        <f t="shared" si="60"/>
        <v>0</v>
      </c>
      <c r="AL308" s="136" t="str" cm="1">
        <f t="array" ref="AL308">_xlfn.IFS(
AI308&lt;3,"Ligera",
AI308&lt;=6,"Moderada",
AI308&gt;6,"Vigorosa"
)</f>
        <v>Ligera</v>
      </c>
      <c r="AM308" s="136" t="s">
        <v>49</v>
      </c>
      <c r="AN308" s="135" t="s">
        <v>49</v>
      </c>
      <c r="AO308" s="135" t="s">
        <v>49</v>
      </c>
      <c r="AP308" s="288" t="s">
        <v>49</v>
      </c>
      <c r="AQ308" s="137">
        <v>0</v>
      </c>
    </row>
    <row r="309" spans="1:43" ht="78" customHeight="1" thickBot="1">
      <c r="A309" s="138" t="s">
        <v>323</v>
      </c>
      <c r="B309" s="12">
        <v>35</v>
      </c>
      <c r="C309" s="12">
        <v>88.9</v>
      </c>
      <c r="D309" s="12">
        <v>0</v>
      </c>
      <c r="E309" s="12" t="s">
        <v>45</v>
      </c>
      <c r="F309" s="12" t="s">
        <v>45</v>
      </c>
      <c r="G309" s="12" t="s">
        <v>324</v>
      </c>
      <c r="H309" s="12"/>
      <c r="I309" s="12" t="s">
        <v>45</v>
      </c>
      <c r="J309" s="12" t="s">
        <v>47</v>
      </c>
      <c r="K309" s="12" t="s">
        <v>49</v>
      </c>
      <c r="L309" s="12" t="s">
        <v>49</v>
      </c>
      <c r="M309" s="11" t="s">
        <v>56</v>
      </c>
      <c r="N309" s="11" t="s">
        <v>57</v>
      </c>
      <c r="O309" s="11" t="s">
        <v>147</v>
      </c>
      <c r="P309" s="11" t="s">
        <v>51</v>
      </c>
      <c r="Q309" s="50" t="s">
        <v>91</v>
      </c>
      <c r="R309" s="65">
        <v>11</v>
      </c>
      <c r="S309" s="70">
        <v>5.18</v>
      </c>
      <c r="T309" s="71">
        <v>2.48</v>
      </c>
      <c r="U309" s="65">
        <v>11</v>
      </c>
      <c r="V309" s="65">
        <v>6.18</v>
      </c>
      <c r="W309" s="70">
        <v>2.71</v>
      </c>
      <c r="X309" s="130">
        <f t="shared" si="57"/>
        <v>1</v>
      </c>
      <c r="Y309" s="16">
        <f t="shared" si="58"/>
        <v>0.78472346026540407</v>
      </c>
      <c r="Z309" s="15">
        <f t="shared" si="61"/>
        <v>1.7799999999999994</v>
      </c>
      <c r="AA309" s="16">
        <f t="shared" si="62"/>
        <v>5.6176555555555554</v>
      </c>
      <c r="AB309" s="16">
        <f t="shared" si="63"/>
        <v>1.0653074252126675</v>
      </c>
      <c r="AC309" s="66" t="s">
        <v>49</v>
      </c>
      <c r="AD309" s="51" t="s">
        <v>326</v>
      </c>
      <c r="AE309" s="13">
        <v>12</v>
      </c>
      <c r="AF309" s="13">
        <v>3</v>
      </c>
      <c r="AG309" s="13">
        <v>47.5</v>
      </c>
      <c r="AH309" s="13" t="s">
        <v>316</v>
      </c>
      <c r="AI309" s="13">
        <v>3.9</v>
      </c>
      <c r="AJ309" s="135">
        <v>186.25</v>
      </c>
      <c r="AK309" s="136">
        <f t="shared" si="60"/>
        <v>558.75</v>
      </c>
      <c r="AL309" s="136" t="str" cm="1">
        <f t="array" ref="AL309">_xlfn.IFS(
AI309&lt;3,"Ligera",
AI309&lt;=6,"Moderada",
AI309&gt;6,"Vigorosa"
)</f>
        <v>Moderada</v>
      </c>
      <c r="AM309" s="45" t="s">
        <v>48</v>
      </c>
      <c r="AN309" s="46" t="s">
        <v>60</v>
      </c>
      <c r="AO309" s="46" t="s">
        <v>61</v>
      </c>
      <c r="AP309" s="289" t="s">
        <v>62</v>
      </c>
      <c r="AQ309" s="139">
        <v>0</v>
      </c>
    </row>
    <row r="310" spans="1:43" ht="78" customHeight="1" thickBot="1">
      <c r="A310" s="138" t="s">
        <v>323</v>
      </c>
      <c r="B310" s="12">
        <v>35</v>
      </c>
      <c r="C310" s="12">
        <v>84.4</v>
      </c>
      <c r="D310" s="12">
        <v>0</v>
      </c>
      <c r="E310" s="12" t="s">
        <v>45</v>
      </c>
      <c r="F310" s="12" t="s">
        <v>45</v>
      </c>
      <c r="G310" s="12" t="s">
        <v>324</v>
      </c>
      <c r="H310" s="12"/>
      <c r="I310" s="12" t="s">
        <v>45</v>
      </c>
      <c r="J310" s="12" t="s">
        <v>47</v>
      </c>
      <c r="K310" s="12" t="s">
        <v>49</v>
      </c>
      <c r="L310" s="12" t="s">
        <v>49</v>
      </c>
      <c r="M310" s="11" t="s">
        <v>50</v>
      </c>
      <c r="N310" s="11" t="s">
        <v>50</v>
      </c>
      <c r="O310" s="11" t="s">
        <v>50</v>
      </c>
      <c r="P310" s="11" t="s">
        <v>51</v>
      </c>
      <c r="Q310" s="50" t="s">
        <v>92</v>
      </c>
      <c r="R310" s="65">
        <v>9</v>
      </c>
      <c r="S310" s="70">
        <v>17.8</v>
      </c>
      <c r="T310" s="71">
        <v>4.5199999999999996</v>
      </c>
      <c r="U310" s="65">
        <v>9</v>
      </c>
      <c r="V310" s="65">
        <v>17.3</v>
      </c>
      <c r="W310" s="70">
        <v>4.0599999999999996</v>
      </c>
      <c r="X310" s="130">
        <f t="shared" si="57"/>
        <v>-0.5</v>
      </c>
      <c r="Y310" s="16">
        <f t="shared" si="58"/>
        <v>1.4361522667646813</v>
      </c>
      <c r="Z310" s="286" t="s">
        <v>53</v>
      </c>
      <c r="AA310" s="287" t="s">
        <v>53</v>
      </c>
      <c r="AB310" s="16">
        <v>1.4361522667646813</v>
      </c>
      <c r="AC310" s="66" t="s">
        <v>49</v>
      </c>
      <c r="AD310" s="51" t="s">
        <v>325</v>
      </c>
      <c r="AE310" s="13">
        <v>12</v>
      </c>
      <c r="AF310" s="13">
        <v>0</v>
      </c>
      <c r="AG310" s="13">
        <v>0</v>
      </c>
      <c r="AH310" s="134">
        <v>0</v>
      </c>
      <c r="AI310" s="134">
        <v>0</v>
      </c>
      <c r="AJ310" s="135">
        <f t="shared" si="59"/>
        <v>0</v>
      </c>
      <c r="AK310" s="136">
        <f t="shared" si="60"/>
        <v>0</v>
      </c>
      <c r="AL310" s="136" t="str" cm="1">
        <f t="array" ref="AL310">_xlfn.IFS(
AI310&lt;3,"Ligera",
AI310&lt;=6,"Moderada",
AI310&gt;6,"Vigorosa"
)</f>
        <v>Ligera</v>
      </c>
      <c r="AM310" s="45" t="s">
        <v>49</v>
      </c>
      <c r="AN310" s="46" t="s">
        <v>49</v>
      </c>
      <c r="AO310" s="46" t="s">
        <v>49</v>
      </c>
      <c r="AP310" s="289" t="s">
        <v>49</v>
      </c>
      <c r="AQ310" s="139">
        <v>0</v>
      </c>
    </row>
    <row r="311" spans="1:43" ht="78" customHeight="1" thickBot="1">
      <c r="A311" s="138" t="s">
        <v>323</v>
      </c>
      <c r="B311" s="12">
        <v>35</v>
      </c>
      <c r="C311" s="12">
        <v>88.9</v>
      </c>
      <c r="D311" s="12">
        <v>0</v>
      </c>
      <c r="E311" s="12" t="s">
        <v>45</v>
      </c>
      <c r="F311" s="12" t="s">
        <v>45</v>
      </c>
      <c r="G311" s="12" t="s">
        <v>324</v>
      </c>
      <c r="H311" s="12"/>
      <c r="I311" s="12" t="s">
        <v>45</v>
      </c>
      <c r="J311" s="12" t="s">
        <v>47</v>
      </c>
      <c r="K311" s="12" t="s">
        <v>49</v>
      </c>
      <c r="L311" s="12" t="s">
        <v>49</v>
      </c>
      <c r="M311" s="11" t="s">
        <v>56</v>
      </c>
      <c r="N311" s="11" t="s">
        <v>57</v>
      </c>
      <c r="O311" s="11" t="s">
        <v>147</v>
      </c>
      <c r="P311" s="11" t="s">
        <v>51</v>
      </c>
      <c r="Q311" s="50" t="s">
        <v>92</v>
      </c>
      <c r="R311" s="65">
        <v>11</v>
      </c>
      <c r="S311" s="70">
        <v>16.7</v>
      </c>
      <c r="T311" s="71">
        <v>4.6900000000000004</v>
      </c>
      <c r="U311" s="65">
        <v>11</v>
      </c>
      <c r="V311" s="65">
        <v>16.600000000000001</v>
      </c>
      <c r="W311" s="70">
        <v>5.0199999999999996</v>
      </c>
      <c r="X311" s="130">
        <f t="shared" si="57"/>
        <v>-9.9999999999997868E-2</v>
      </c>
      <c r="Y311" s="16">
        <f t="shared" si="58"/>
        <v>1.4663715267780721</v>
      </c>
      <c r="Z311" s="15">
        <f t="shared" si="61"/>
        <v>0.40000000000000213</v>
      </c>
      <c r="AA311" s="16">
        <f t="shared" si="62"/>
        <v>21.326266666666662</v>
      </c>
      <c r="AB311" s="16">
        <f t="shared" si="63"/>
        <v>2.0756533189183348</v>
      </c>
      <c r="AC311" s="66" t="s">
        <v>49</v>
      </c>
      <c r="AD311" s="51" t="s">
        <v>326</v>
      </c>
      <c r="AE311" s="13">
        <v>12</v>
      </c>
      <c r="AF311" s="13">
        <v>3</v>
      </c>
      <c r="AG311" s="13">
        <v>47.5</v>
      </c>
      <c r="AH311" s="13" t="s">
        <v>316</v>
      </c>
      <c r="AI311" s="13">
        <v>3.9</v>
      </c>
      <c r="AJ311" s="135">
        <v>186.25</v>
      </c>
      <c r="AK311" s="136">
        <f t="shared" si="60"/>
        <v>558.75</v>
      </c>
      <c r="AL311" s="136" t="str" cm="1">
        <f t="array" ref="AL311">_xlfn.IFS(
AI311&lt;3,"Ligera",
AI311&lt;=6,"Moderada",
AI311&gt;6,"Vigorosa"
)</f>
        <v>Moderada</v>
      </c>
      <c r="AM311" s="45" t="s">
        <v>48</v>
      </c>
      <c r="AN311" s="46" t="s">
        <v>60</v>
      </c>
      <c r="AO311" s="46" t="s">
        <v>61</v>
      </c>
      <c r="AP311" s="289" t="s">
        <v>62</v>
      </c>
      <c r="AQ311" s="139">
        <v>0</v>
      </c>
    </row>
    <row r="312" spans="1:43" ht="78" customHeight="1" thickBot="1">
      <c r="A312" s="138" t="s">
        <v>323</v>
      </c>
      <c r="B312" s="12">
        <v>35</v>
      </c>
      <c r="C312" s="12">
        <v>84.4</v>
      </c>
      <c r="D312" s="12">
        <v>0</v>
      </c>
      <c r="E312" s="12" t="s">
        <v>45</v>
      </c>
      <c r="F312" s="12" t="s">
        <v>45</v>
      </c>
      <c r="G312" s="12" t="s">
        <v>324</v>
      </c>
      <c r="H312" s="12"/>
      <c r="I312" s="12" t="s">
        <v>45</v>
      </c>
      <c r="J312" s="12" t="s">
        <v>47</v>
      </c>
      <c r="K312" s="12" t="s">
        <v>49</v>
      </c>
      <c r="L312" s="12" t="s">
        <v>49</v>
      </c>
      <c r="M312" s="11" t="s">
        <v>50</v>
      </c>
      <c r="N312" s="11" t="s">
        <v>50</v>
      </c>
      <c r="O312" s="11" t="s">
        <v>50</v>
      </c>
      <c r="P312" s="11" t="s">
        <v>51</v>
      </c>
      <c r="Q312" s="50" t="s">
        <v>85</v>
      </c>
      <c r="R312" s="65">
        <v>9</v>
      </c>
      <c r="S312" s="70">
        <v>0.47</v>
      </c>
      <c r="T312" s="71">
        <v>0.17</v>
      </c>
      <c r="U312" s="65">
        <v>9</v>
      </c>
      <c r="V312" s="65">
        <v>0.45</v>
      </c>
      <c r="W312" s="70">
        <v>0.21</v>
      </c>
      <c r="X312" s="130">
        <f t="shared" si="57"/>
        <v>-1.9999999999999962E-2</v>
      </c>
      <c r="Y312" s="16">
        <f t="shared" si="58"/>
        <v>6.4377359719426555E-2</v>
      </c>
      <c r="Z312" s="286" t="s">
        <v>53</v>
      </c>
      <c r="AA312" s="287" t="s">
        <v>53</v>
      </c>
      <c r="AB312" s="16">
        <v>6.4377359719426555E-2</v>
      </c>
      <c r="AC312" s="66" t="s">
        <v>49</v>
      </c>
      <c r="AD312" s="51" t="s">
        <v>325</v>
      </c>
      <c r="AE312" s="13">
        <v>12</v>
      </c>
      <c r="AF312" s="13">
        <v>0</v>
      </c>
      <c r="AG312" s="13">
        <v>0</v>
      </c>
      <c r="AH312" s="134">
        <v>0</v>
      </c>
      <c r="AI312" s="134">
        <v>0</v>
      </c>
      <c r="AJ312" s="135">
        <f t="shared" si="59"/>
        <v>0</v>
      </c>
      <c r="AK312" s="136">
        <f t="shared" si="60"/>
        <v>0</v>
      </c>
      <c r="AL312" s="136" t="str" cm="1">
        <f t="array" ref="AL312">_xlfn.IFS(
AI312&lt;3,"Ligera",
AI312&lt;=6,"Moderada",
AI312&gt;6,"Vigorosa"
)</f>
        <v>Ligera</v>
      </c>
      <c r="AM312" s="45" t="s">
        <v>49</v>
      </c>
      <c r="AN312" s="46" t="s">
        <v>49</v>
      </c>
      <c r="AO312" s="46" t="s">
        <v>49</v>
      </c>
      <c r="AP312" s="289" t="s">
        <v>49</v>
      </c>
      <c r="AQ312" s="139">
        <v>0</v>
      </c>
    </row>
    <row r="313" spans="1:43" ht="71.25" customHeight="1" thickBot="1">
      <c r="A313" s="138" t="s">
        <v>323</v>
      </c>
      <c r="B313" s="12">
        <v>35</v>
      </c>
      <c r="C313" s="12">
        <v>88.9</v>
      </c>
      <c r="D313" s="12">
        <v>0</v>
      </c>
      <c r="E313" s="12" t="s">
        <v>45</v>
      </c>
      <c r="F313" s="12" t="s">
        <v>45</v>
      </c>
      <c r="G313" s="12" t="s">
        <v>324</v>
      </c>
      <c r="H313" s="12"/>
      <c r="I313" s="12" t="s">
        <v>45</v>
      </c>
      <c r="J313" s="12" t="s">
        <v>47</v>
      </c>
      <c r="K313" s="12" t="s">
        <v>49</v>
      </c>
      <c r="L313" s="12" t="s">
        <v>49</v>
      </c>
      <c r="M313" s="11" t="s">
        <v>56</v>
      </c>
      <c r="N313" s="11" t="s">
        <v>57</v>
      </c>
      <c r="O313" s="11" t="s">
        <v>147</v>
      </c>
      <c r="P313" s="11" t="s">
        <v>51</v>
      </c>
      <c r="Q313" s="50" t="s">
        <v>85</v>
      </c>
      <c r="R313" s="65">
        <v>11</v>
      </c>
      <c r="S313" s="70">
        <v>0.52</v>
      </c>
      <c r="T313" s="71">
        <v>0.16</v>
      </c>
      <c r="U313" s="65">
        <v>11</v>
      </c>
      <c r="V313" s="65">
        <v>0.62</v>
      </c>
      <c r="W313" s="70">
        <v>0.17</v>
      </c>
      <c r="X313" s="130">
        <f t="shared" si="57"/>
        <v>9.9999999999999978E-2</v>
      </c>
      <c r="Y313" s="16">
        <f t="shared" si="58"/>
        <v>4.9817850032073667E-2</v>
      </c>
      <c r="Z313" s="15">
        <f t="shared" si="61"/>
        <v>0.11999999999999994</v>
      </c>
      <c r="AA313" s="16">
        <f t="shared" si="62"/>
        <v>3.5655555555555551E-2</v>
      </c>
      <c r="AB313" s="16">
        <f t="shared" si="63"/>
        <v>8.4871329296034179E-2</v>
      </c>
      <c r="AC313" s="66" t="s">
        <v>49</v>
      </c>
      <c r="AD313" s="51" t="s">
        <v>326</v>
      </c>
      <c r="AE313" s="13">
        <v>12</v>
      </c>
      <c r="AF313" s="13">
        <v>3</v>
      </c>
      <c r="AG313" s="13">
        <v>47.5</v>
      </c>
      <c r="AH313" s="13" t="s">
        <v>316</v>
      </c>
      <c r="AI313" s="13">
        <v>3.9</v>
      </c>
      <c r="AJ313" s="135">
        <v>186.25</v>
      </c>
      <c r="AK313" s="136">
        <f t="shared" si="60"/>
        <v>558.75</v>
      </c>
      <c r="AL313" s="136" t="str" cm="1">
        <f t="array" ref="AL313">_xlfn.IFS(
AI313&lt;3,"Ligera",
AI313&lt;=6,"Moderada",
AI313&gt;6,"Vigorosa"
)</f>
        <v>Moderada</v>
      </c>
      <c r="AM313" s="45" t="s">
        <v>48</v>
      </c>
      <c r="AN313" s="46" t="s">
        <v>60</v>
      </c>
      <c r="AO313" s="46" t="s">
        <v>61</v>
      </c>
      <c r="AP313" s="289" t="s">
        <v>62</v>
      </c>
      <c r="AQ313" s="139">
        <v>0</v>
      </c>
    </row>
    <row r="314" spans="1:43" ht="71.25" customHeight="1" thickBot="1">
      <c r="A314" s="138" t="s">
        <v>323</v>
      </c>
      <c r="B314" s="12">
        <v>35</v>
      </c>
      <c r="C314" s="12">
        <v>84.4</v>
      </c>
      <c r="D314" s="12">
        <v>0</v>
      </c>
      <c r="E314" s="12" t="s">
        <v>45</v>
      </c>
      <c r="F314" s="12" t="s">
        <v>45</v>
      </c>
      <c r="G314" s="12" t="s">
        <v>324</v>
      </c>
      <c r="H314" s="12"/>
      <c r="I314" s="12" t="s">
        <v>45</v>
      </c>
      <c r="J314" s="12" t="s">
        <v>47</v>
      </c>
      <c r="K314" s="12" t="s">
        <v>49</v>
      </c>
      <c r="L314" s="12" t="s">
        <v>49</v>
      </c>
      <c r="M314" s="11" t="s">
        <v>50</v>
      </c>
      <c r="N314" s="11" t="s">
        <v>50</v>
      </c>
      <c r="O314" s="11" t="s">
        <v>50</v>
      </c>
      <c r="P314" s="11" t="s">
        <v>51</v>
      </c>
      <c r="Q314" s="50" t="s">
        <v>149</v>
      </c>
      <c r="R314" s="65">
        <v>9</v>
      </c>
      <c r="S314" s="70">
        <v>22</v>
      </c>
      <c r="T314" s="71">
        <v>9.9</v>
      </c>
      <c r="U314" s="65">
        <v>9</v>
      </c>
      <c r="V314" s="47">
        <v>21.9</v>
      </c>
      <c r="W314" s="48">
        <v>10</v>
      </c>
      <c r="X314" s="130">
        <f t="shared" si="57"/>
        <v>-0.10000000000000142</v>
      </c>
      <c r="Y314" s="16">
        <f t="shared" si="58"/>
        <v>3.316792292428199</v>
      </c>
      <c r="Z314" s="286" t="s">
        <v>53</v>
      </c>
      <c r="AA314" s="287" t="s">
        <v>53</v>
      </c>
      <c r="AB314" s="16">
        <v>3.316792292428199</v>
      </c>
      <c r="AC314" s="66" t="s">
        <v>48</v>
      </c>
      <c r="AD314" s="51" t="s">
        <v>325</v>
      </c>
      <c r="AE314" s="13">
        <v>12</v>
      </c>
      <c r="AF314" s="13">
        <v>0</v>
      </c>
      <c r="AG314" s="13">
        <v>0</v>
      </c>
      <c r="AH314" s="134">
        <v>0</v>
      </c>
      <c r="AI314" s="134">
        <v>0</v>
      </c>
      <c r="AJ314" s="135">
        <f t="shared" si="59"/>
        <v>0</v>
      </c>
      <c r="AK314" s="136">
        <f t="shared" si="60"/>
        <v>0</v>
      </c>
      <c r="AL314" s="136" t="str" cm="1">
        <f t="array" ref="AL314">_xlfn.IFS(
AI314&lt;3,"Ligera",
AI314&lt;=6,"Moderada",
AI314&gt;6,"Vigorosa"
)</f>
        <v>Ligera</v>
      </c>
      <c r="AM314" s="45" t="s">
        <v>49</v>
      </c>
      <c r="AN314" s="46" t="s">
        <v>49</v>
      </c>
      <c r="AO314" s="46" t="s">
        <v>49</v>
      </c>
      <c r="AP314" s="289" t="s">
        <v>49</v>
      </c>
      <c r="AQ314" s="139">
        <v>0</v>
      </c>
    </row>
    <row r="315" spans="1:43" ht="78" customHeight="1" thickBot="1">
      <c r="A315" s="140" t="s">
        <v>323</v>
      </c>
      <c r="B315" s="141">
        <v>35</v>
      </c>
      <c r="C315" s="141">
        <v>88.9</v>
      </c>
      <c r="D315" s="141">
        <v>0</v>
      </c>
      <c r="E315" s="141" t="s">
        <v>45</v>
      </c>
      <c r="F315" s="141" t="s">
        <v>45</v>
      </c>
      <c r="G315" s="141" t="s">
        <v>324</v>
      </c>
      <c r="H315" s="141"/>
      <c r="I315" s="141" t="s">
        <v>45</v>
      </c>
      <c r="J315" s="141" t="s">
        <v>47</v>
      </c>
      <c r="K315" s="141" t="s">
        <v>49</v>
      </c>
      <c r="L315" s="141" t="s">
        <v>49</v>
      </c>
      <c r="M315" s="142" t="s">
        <v>56</v>
      </c>
      <c r="N315" s="142" t="s">
        <v>57</v>
      </c>
      <c r="O315" s="142" t="s">
        <v>147</v>
      </c>
      <c r="P315" s="142" t="s">
        <v>51</v>
      </c>
      <c r="Q315" s="158" t="s">
        <v>149</v>
      </c>
      <c r="R315" s="144">
        <v>11</v>
      </c>
      <c r="S315" s="162">
        <v>21.6</v>
      </c>
      <c r="T315" s="164">
        <v>5.6</v>
      </c>
      <c r="U315" s="144">
        <v>11</v>
      </c>
      <c r="V315" s="169">
        <v>14.3</v>
      </c>
      <c r="W315" s="171">
        <v>3.57</v>
      </c>
      <c r="X315" s="130">
        <f t="shared" si="57"/>
        <v>-7.3000000000000007</v>
      </c>
      <c r="Y315" s="16">
        <f t="shared" si="58"/>
        <v>1.4805680727956476</v>
      </c>
      <c r="Z315" s="15">
        <f t="shared" si="61"/>
        <v>-7.1999999999999993</v>
      </c>
      <c r="AA315" s="16">
        <f t="shared" si="62"/>
        <v>51.524944444444444</v>
      </c>
      <c r="AB315" s="16">
        <f t="shared" si="63"/>
        <v>3.2263105377112029</v>
      </c>
      <c r="AC315" s="66" t="s">
        <v>48</v>
      </c>
      <c r="AD315" s="151" t="s">
        <v>326</v>
      </c>
      <c r="AE315" s="146">
        <v>12</v>
      </c>
      <c r="AF315" s="146">
        <v>3</v>
      </c>
      <c r="AG315" s="146">
        <v>47.5</v>
      </c>
      <c r="AH315" s="13" t="s">
        <v>316</v>
      </c>
      <c r="AI315" s="13">
        <v>3.9</v>
      </c>
      <c r="AJ315" s="135">
        <v>186.25</v>
      </c>
      <c r="AK315" s="136">
        <f t="shared" si="60"/>
        <v>558.75</v>
      </c>
      <c r="AL315" s="136" t="str" cm="1">
        <f t="array" ref="AL315">_xlfn.IFS(
AI315&lt;3,"Ligera",
AI315&lt;=6,"Moderada",
AI315&gt;6,"Vigorosa"
)</f>
        <v>Moderada</v>
      </c>
      <c r="AM315" s="147" t="s">
        <v>48</v>
      </c>
      <c r="AN315" s="148" t="s">
        <v>60</v>
      </c>
      <c r="AO315" s="148" t="s">
        <v>61</v>
      </c>
      <c r="AP315" s="290" t="s">
        <v>62</v>
      </c>
      <c r="AQ315" s="149">
        <v>0</v>
      </c>
    </row>
    <row r="316" spans="1:43" ht="71.25" customHeight="1" thickBot="1">
      <c r="A316" s="124" t="s">
        <v>327</v>
      </c>
      <c r="B316" s="125">
        <v>60</v>
      </c>
      <c r="C316" s="125">
        <v>78.73</v>
      </c>
      <c r="D316" s="125">
        <v>37</v>
      </c>
      <c r="E316" s="125" t="s">
        <v>45</v>
      </c>
      <c r="F316" s="125" t="s">
        <v>45</v>
      </c>
      <c r="G316" s="125" t="s">
        <v>328</v>
      </c>
      <c r="H316" s="125"/>
      <c r="I316" s="125" t="s">
        <v>98</v>
      </c>
      <c r="J316" s="125" t="s">
        <v>47</v>
      </c>
      <c r="K316" s="125" t="s">
        <v>49</v>
      </c>
      <c r="L316" s="125" t="s">
        <v>49</v>
      </c>
      <c r="M316" s="126" t="s">
        <v>50</v>
      </c>
      <c r="N316" s="126" t="s">
        <v>50</v>
      </c>
      <c r="O316" s="126" t="s">
        <v>50</v>
      </c>
      <c r="P316" s="126" t="s">
        <v>51</v>
      </c>
      <c r="Q316" s="159" t="s">
        <v>92</v>
      </c>
      <c r="R316" s="167">
        <v>30</v>
      </c>
      <c r="S316" s="168">
        <v>13.4</v>
      </c>
      <c r="T316" s="168">
        <v>5.51</v>
      </c>
      <c r="U316" s="168">
        <v>27</v>
      </c>
      <c r="V316" s="167">
        <v>16.2</v>
      </c>
      <c r="W316" s="168">
        <v>6.04</v>
      </c>
      <c r="X316" s="130">
        <f t="shared" si="57"/>
        <v>2.7999999999999989</v>
      </c>
      <c r="Y316" s="16">
        <f t="shared" si="58"/>
        <v>1.114904081574335</v>
      </c>
      <c r="Z316" s="286" t="s">
        <v>53</v>
      </c>
      <c r="AA316" s="287" t="s">
        <v>53</v>
      </c>
      <c r="AB316" s="16">
        <v>1.114904081574335</v>
      </c>
      <c r="AC316" s="66" t="s">
        <v>49</v>
      </c>
      <c r="AD316" s="133" t="s">
        <v>329</v>
      </c>
      <c r="AE316" s="134">
        <v>12</v>
      </c>
      <c r="AF316" s="134">
        <v>0</v>
      </c>
      <c r="AG316" s="134">
        <v>0</v>
      </c>
      <c r="AH316" s="134">
        <v>0</v>
      </c>
      <c r="AI316" s="134">
        <v>0</v>
      </c>
      <c r="AJ316" s="135">
        <f t="shared" si="59"/>
        <v>0</v>
      </c>
      <c r="AK316" s="136">
        <f t="shared" si="60"/>
        <v>0</v>
      </c>
      <c r="AL316" s="136" t="str" cm="1">
        <f t="array" ref="AL316">_xlfn.IFS(
AI316&lt;3,"Ligera",
AI316&lt;=6,"Moderada",
AI316&gt;6,"Vigorosa"
)</f>
        <v>Ligera</v>
      </c>
      <c r="AM316" s="136" t="s">
        <v>49</v>
      </c>
      <c r="AN316" s="135" t="s">
        <v>49</v>
      </c>
      <c r="AO316" s="135" t="s">
        <v>49</v>
      </c>
      <c r="AP316" s="288" t="s">
        <v>49</v>
      </c>
      <c r="AQ316" s="137">
        <v>0</v>
      </c>
    </row>
    <row r="317" spans="1:43" ht="78" customHeight="1" thickBot="1">
      <c r="A317" s="138" t="s">
        <v>327</v>
      </c>
      <c r="B317" s="12">
        <v>60</v>
      </c>
      <c r="C317" s="12">
        <v>78.83</v>
      </c>
      <c r="D317" s="12">
        <v>33</v>
      </c>
      <c r="E317" s="12" t="s">
        <v>45</v>
      </c>
      <c r="F317" s="12" t="s">
        <v>45</v>
      </c>
      <c r="G317" s="12" t="s">
        <v>328</v>
      </c>
      <c r="H317" s="12"/>
      <c r="I317" s="12" t="s">
        <v>98</v>
      </c>
      <c r="J317" s="12" t="s">
        <v>47</v>
      </c>
      <c r="K317" s="12" t="s">
        <v>49</v>
      </c>
      <c r="L317" s="12" t="s">
        <v>49</v>
      </c>
      <c r="M317" s="11" t="s">
        <v>56</v>
      </c>
      <c r="N317" s="11" t="s">
        <v>152</v>
      </c>
      <c r="O317" s="11" t="s">
        <v>153</v>
      </c>
      <c r="P317" s="11" t="s">
        <v>51</v>
      </c>
      <c r="Q317" s="50" t="s">
        <v>92</v>
      </c>
      <c r="R317" s="47">
        <v>30</v>
      </c>
      <c r="S317" s="48">
        <v>14.51</v>
      </c>
      <c r="T317" s="48">
        <v>6.42</v>
      </c>
      <c r="U317" s="48">
        <v>28</v>
      </c>
      <c r="V317" s="47">
        <v>20.8</v>
      </c>
      <c r="W317" s="52">
        <v>7.59</v>
      </c>
      <c r="X317" s="130">
        <f t="shared" si="57"/>
        <v>6.2900000000000009</v>
      </c>
      <c r="Y317" s="16">
        <f t="shared" si="58"/>
        <v>1.3375977934875853</v>
      </c>
      <c r="Z317" s="15">
        <f t="shared" si="61"/>
        <v>3.490000000000002</v>
      </c>
      <c r="AA317" s="16">
        <f t="shared" si="62"/>
        <v>47.24415660377359</v>
      </c>
      <c r="AB317" s="16">
        <f t="shared" si="63"/>
        <v>1.853934973291989</v>
      </c>
      <c r="AC317" s="66" t="s">
        <v>49</v>
      </c>
      <c r="AD317" s="51" t="s">
        <v>330</v>
      </c>
      <c r="AE317" s="13">
        <v>12</v>
      </c>
      <c r="AF317" s="13">
        <v>2</v>
      </c>
      <c r="AG317" s="13">
        <v>50</v>
      </c>
      <c r="AH317" s="13">
        <v>2240060</v>
      </c>
      <c r="AI317" s="13">
        <v>5.5</v>
      </c>
      <c r="AJ317" s="135">
        <f t="shared" si="59"/>
        <v>275</v>
      </c>
      <c r="AK317" s="136">
        <f t="shared" si="60"/>
        <v>550</v>
      </c>
      <c r="AL317" s="136" t="str" cm="1">
        <f t="array" ref="AL317">_xlfn.IFS(
AI317&lt;3,"Ligera",
AI317&lt;=6,"Moderada",
AI317&gt;6,"Vigorosa"
)</f>
        <v>Moderada</v>
      </c>
      <c r="AM317" s="45" t="s">
        <v>48</v>
      </c>
      <c r="AN317" s="46" t="s">
        <v>60</v>
      </c>
      <c r="AO317" s="46" t="s">
        <v>61</v>
      </c>
      <c r="AP317" s="289" t="s">
        <v>128</v>
      </c>
      <c r="AQ317" s="139">
        <v>0</v>
      </c>
    </row>
    <row r="318" spans="1:43" ht="71.25" customHeight="1" thickBot="1">
      <c r="A318" s="138" t="s">
        <v>327</v>
      </c>
      <c r="B318" s="12">
        <v>60</v>
      </c>
      <c r="C318" s="12">
        <v>78.73</v>
      </c>
      <c r="D318" s="12">
        <v>37</v>
      </c>
      <c r="E318" s="12" t="s">
        <v>45</v>
      </c>
      <c r="F318" s="12" t="s">
        <v>45</v>
      </c>
      <c r="G318" s="12" t="s">
        <v>328</v>
      </c>
      <c r="H318" s="12"/>
      <c r="I318" s="12" t="s">
        <v>98</v>
      </c>
      <c r="J318" s="12" t="s">
        <v>47</v>
      </c>
      <c r="K318" s="12" t="s">
        <v>49</v>
      </c>
      <c r="L318" s="12" t="s">
        <v>49</v>
      </c>
      <c r="M318" s="11" t="s">
        <v>50</v>
      </c>
      <c r="N318" s="11" t="s">
        <v>50</v>
      </c>
      <c r="O318" s="11" t="s">
        <v>50</v>
      </c>
      <c r="P318" s="11" t="s">
        <v>51</v>
      </c>
      <c r="Q318" s="50" t="s">
        <v>85</v>
      </c>
      <c r="R318" s="47">
        <v>30</v>
      </c>
      <c r="S318" s="48">
        <v>0.48</v>
      </c>
      <c r="T318" s="48">
        <v>0.23</v>
      </c>
      <c r="U318" s="48">
        <v>27</v>
      </c>
      <c r="V318" s="47">
        <v>0.53</v>
      </c>
      <c r="W318" s="48">
        <v>0.27</v>
      </c>
      <c r="X318" s="130">
        <f t="shared" si="57"/>
        <v>5.0000000000000044E-2</v>
      </c>
      <c r="Y318" s="16">
        <f t="shared" si="58"/>
        <v>4.8572206654209762E-2</v>
      </c>
      <c r="Z318" s="286" t="s">
        <v>53</v>
      </c>
      <c r="AA318" s="287" t="s">
        <v>53</v>
      </c>
      <c r="AB318" s="16">
        <v>4.8572206654209762E-2</v>
      </c>
      <c r="AC318" s="66" t="s">
        <v>49</v>
      </c>
      <c r="AD318" s="51" t="s">
        <v>329</v>
      </c>
      <c r="AE318" s="13">
        <v>12</v>
      </c>
      <c r="AF318" s="13">
        <v>0</v>
      </c>
      <c r="AG318" s="13">
        <v>0</v>
      </c>
      <c r="AH318" s="134">
        <v>0</v>
      </c>
      <c r="AI318" s="134">
        <v>0</v>
      </c>
      <c r="AJ318" s="135">
        <f t="shared" si="59"/>
        <v>0</v>
      </c>
      <c r="AK318" s="136">
        <f t="shared" si="60"/>
        <v>0</v>
      </c>
      <c r="AL318" s="136" t="str" cm="1">
        <f t="array" ref="AL318">_xlfn.IFS(
AI318&lt;3,"Ligera",
AI318&lt;=6,"Moderada",
AI318&gt;6,"Vigorosa"
)</f>
        <v>Ligera</v>
      </c>
      <c r="AM318" s="45" t="s">
        <v>49</v>
      </c>
      <c r="AN318" s="46" t="s">
        <v>49</v>
      </c>
      <c r="AO318" s="46" t="s">
        <v>49</v>
      </c>
      <c r="AP318" s="289" t="s">
        <v>49</v>
      </c>
      <c r="AQ318" s="139">
        <v>0</v>
      </c>
    </row>
    <row r="319" spans="1:43" ht="78" customHeight="1" thickBot="1">
      <c r="A319" s="138" t="s">
        <v>327</v>
      </c>
      <c r="B319" s="12">
        <v>60</v>
      </c>
      <c r="C319" s="12">
        <v>78.83</v>
      </c>
      <c r="D319" s="12">
        <v>33</v>
      </c>
      <c r="E319" s="12" t="s">
        <v>45</v>
      </c>
      <c r="F319" s="12" t="s">
        <v>45</v>
      </c>
      <c r="G319" s="12" t="s">
        <v>328</v>
      </c>
      <c r="H319" s="12"/>
      <c r="I319" s="12" t="s">
        <v>98</v>
      </c>
      <c r="J319" s="12" t="s">
        <v>47</v>
      </c>
      <c r="K319" s="12" t="s">
        <v>49</v>
      </c>
      <c r="L319" s="12" t="s">
        <v>49</v>
      </c>
      <c r="M319" s="11" t="s">
        <v>56</v>
      </c>
      <c r="N319" s="11" t="s">
        <v>152</v>
      </c>
      <c r="O319" s="11" t="s">
        <v>153</v>
      </c>
      <c r="P319" s="11" t="s">
        <v>51</v>
      </c>
      <c r="Q319" s="50" t="s">
        <v>85</v>
      </c>
      <c r="R319" s="47">
        <v>30</v>
      </c>
      <c r="S319" s="48">
        <v>0.47</v>
      </c>
      <c r="T319" s="48">
        <v>0.25</v>
      </c>
      <c r="U319" s="48">
        <v>28</v>
      </c>
      <c r="V319" s="47">
        <v>0.53</v>
      </c>
      <c r="W319" s="52">
        <v>0.33</v>
      </c>
      <c r="X319" s="130">
        <f t="shared" si="57"/>
        <v>6.0000000000000053E-2</v>
      </c>
      <c r="Y319" s="16">
        <f t="shared" si="58"/>
        <v>5.6347138347923216E-2</v>
      </c>
      <c r="Z319" s="15">
        <f t="shared" si="61"/>
        <v>1.0000000000000009E-2</v>
      </c>
      <c r="AA319" s="16">
        <f t="shared" si="62"/>
        <v>9.1239622641509435E-2</v>
      </c>
      <c r="AB319" s="16">
        <f t="shared" si="63"/>
        <v>8.1472714662648549E-2</v>
      </c>
      <c r="AC319" s="66" t="s">
        <v>49</v>
      </c>
      <c r="AD319" s="51" t="s">
        <v>330</v>
      </c>
      <c r="AE319" s="13">
        <v>12</v>
      </c>
      <c r="AF319" s="13">
        <v>2</v>
      </c>
      <c r="AG319" s="13">
        <v>50</v>
      </c>
      <c r="AH319" s="13">
        <v>2240060</v>
      </c>
      <c r="AI319" s="13">
        <v>5.5</v>
      </c>
      <c r="AJ319" s="135">
        <f t="shared" si="59"/>
        <v>275</v>
      </c>
      <c r="AK319" s="136">
        <f t="shared" si="60"/>
        <v>550</v>
      </c>
      <c r="AL319" s="136" t="str" cm="1">
        <f t="array" ref="AL319">_xlfn.IFS(
AI319&lt;3,"Ligera",
AI319&lt;=6,"Moderada",
AI319&gt;6,"Vigorosa"
)</f>
        <v>Moderada</v>
      </c>
      <c r="AM319" s="45" t="s">
        <v>48</v>
      </c>
      <c r="AN319" s="46" t="s">
        <v>60</v>
      </c>
      <c r="AO319" s="46" t="s">
        <v>61</v>
      </c>
      <c r="AP319" s="289" t="s">
        <v>128</v>
      </c>
      <c r="AQ319" s="139">
        <v>0</v>
      </c>
    </row>
    <row r="320" spans="1:43" ht="81.75" customHeight="1" thickBot="1">
      <c r="A320" s="124" t="s">
        <v>332</v>
      </c>
      <c r="B320" s="125">
        <v>59</v>
      </c>
      <c r="C320" s="125">
        <v>78.400000000000006</v>
      </c>
      <c r="D320" s="125">
        <v>56</v>
      </c>
      <c r="E320" s="125" t="s">
        <v>45</v>
      </c>
      <c r="F320" s="125" t="s">
        <v>45</v>
      </c>
      <c r="G320" s="125" t="s">
        <v>328</v>
      </c>
      <c r="H320" s="125"/>
      <c r="I320" s="125" t="s">
        <v>45</v>
      </c>
      <c r="J320" s="125" t="s">
        <v>47</v>
      </c>
      <c r="K320" s="125" t="s">
        <v>49</v>
      </c>
      <c r="L320" s="125" t="s">
        <v>49</v>
      </c>
      <c r="M320" s="126" t="s">
        <v>50</v>
      </c>
      <c r="N320" s="126" t="s">
        <v>50</v>
      </c>
      <c r="O320" s="126" t="s">
        <v>50</v>
      </c>
      <c r="P320" s="126" t="s">
        <v>94</v>
      </c>
      <c r="Q320" s="159" t="s">
        <v>119</v>
      </c>
      <c r="R320" s="167">
        <v>25</v>
      </c>
      <c r="S320" s="168">
        <v>17.100000000000001</v>
      </c>
      <c r="T320" s="182">
        <v>7</v>
      </c>
      <c r="U320" s="168">
        <v>25</v>
      </c>
      <c r="V320" s="168" t="s">
        <v>47</v>
      </c>
      <c r="W320" s="168" t="s">
        <v>47</v>
      </c>
      <c r="X320" s="130"/>
      <c r="Y320" s="16"/>
      <c r="Z320" s="286"/>
      <c r="AA320" s="287"/>
      <c r="AB320" s="287"/>
      <c r="AC320" s="66" t="s">
        <v>49</v>
      </c>
      <c r="AD320" s="133" t="s">
        <v>333</v>
      </c>
      <c r="AE320" s="134">
        <v>4</v>
      </c>
      <c r="AF320" s="134">
        <v>0</v>
      </c>
      <c r="AG320" s="134">
        <v>0</v>
      </c>
      <c r="AH320" s="134">
        <v>0</v>
      </c>
      <c r="AI320" s="134">
        <v>0</v>
      </c>
      <c r="AJ320" s="135">
        <f t="shared" si="59"/>
        <v>0</v>
      </c>
      <c r="AK320" s="136">
        <f t="shared" si="60"/>
        <v>0</v>
      </c>
      <c r="AL320" s="136" t="str" cm="1">
        <f t="array" ref="AL320">_xlfn.IFS(
AI320&lt;3,"Ligera",
AI320&lt;=6,"Moderada",
AI320&gt;6,"Vigorosa"
)</f>
        <v>Ligera</v>
      </c>
      <c r="AM320" s="136" t="s">
        <v>49</v>
      </c>
      <c r="AN320" s="135" t="s">
        <v>49</v>
      </c>
      <c r="AO320" s="135" t="s">
        <v>49</v>
      </c>
      <c r="AP320" s="288" t="s">
        <v>49</v>
      </c>
      <c r="AQ320" s="137">
        <v>0</v>
      </c>
    </row>
    <row r="321" spans="1:43" ht="67.5" customHeight="1" thickBot="1">
      <c r="A321" s="138" t="s">
        <v>332</v>
      </c>
      <c r="B321" s="12">
        <v>59</v>
      </c>
      <c r="C321" s="12">
        <v>75.400000000000006</v>
      </c>
      <c r="D321" s="12">
        <v>64</v>
      </c>
      <c r="E321" s="12" t="s">
        <v>45</v>
      </c>
      <c r="F321" s="12" t="s">
        <v>45</v>
      </c>
      <c r="G321" s="12" t="s">
        <v>328</v>
      </c>
      <c r="H321" s="12"/>
      <c r="I321" s="12" t="s">
        <v>45</v>
      </c>
      <c r="J321" s="12" t="s">
        <v>47</v>
      </c>
      <c r="K321" s="12" t="s">
        <v>49</v>
      </c>
      <c r="L321" s="12" t="s">
        <v>49</v>
      </c>
      <c r="M321" s="11" t="s">
        <v>56</v>
      </c>
      <c r="N321" s="11" t="s">
        <v>162</v>
      </c>
      <c r="O321" s="11" t="s">
        <v>163</v>
      </c>
      <c r="P321" s="11" t="s">
        <v>94</v>
      </c>
      <c r="Q321" s="50" t="s">
        <v>119</v>
      </c>
      <c r="R321" s="47">
        <v>25</v>
      </c>
      <c r="S321" s="48">
        <v>21.3</v>
      </c>
      <c r="T321" s="63">
        <v>7</v>
      </c>
      <c r="U321" s="48">
        <v>25</v>
      </c>
      <c r="V321" s="47" t="s">
        <v>47</v>
      </c>
      <c r="W321" s="48" t="s">
        <v>47</v>
      </c>
      <c r="X321" s="130"/>
      <c r="Y321" s="16"/>
      <c r="Z321" s="15"/>
      <c r="AA321" s="16"/>
      <c r="AB321" s="16"/>
      <c r="AC321" s="66" t="s">
        <v>49</v>
      </c>
      <c r="AD321" s="51" t="s">
        <v>334</v>
      </c>
      <c r="AE321" s="13">
        <v>4</v>
      </c>
      <c r="AF321" s="13">
        <v>3</v>
      </c>
      <c r="AG321" s="13">
        <v>37.5</v>
      </c>
      <c r="AH321" s="13">
        <v>1715360</v>
      </c>
      <c r="AI321" s="13">
        <v>3.8</v>
      </c>
      <c r="AJ321" s="135">
        <f t="shared" si="59"/>
        <v>142.5</v>
      </c>
      <c r="AK321" s="136">
        <f t="shared" si="60"/>
        <v>427.5</v>
      </c>
      <c r="AL321" s="136" t="str" cm="1">
        <f t="array" ref="AL321">_xlfn.IFS(
AI321&lt;3,"Ligera",
AI321&lt;=6,"Moderada",
AI321&gt;6,"Vigorosa"
)</f>
        <v>Moderada</v>
      </c>
      <c r="AM321" s="45" t="s">
        <v>48</v>
      </c>
      <c r="AN321" s="46" t="s">
        <v>60</v>
      </c>
      <c r="AO321" s="46" t="s">
        <v>61</v>
      </c>
      <c r="AP321" s="289" t="s">
        <v>128</v>
      </c>
      <c r="AQ321" s="139">
        <v>0</v>
      </c>
    </row>
    <row r="322" spans="1:43" ht="67.5" customHeight="1" thickBot="1">
      <c r="A322" s="138" t="s">
        <v>332</v>
      </c>
      <c r="B322" s="12">
        <v>59</v>
      </c>
      <c r="C322" s="12">
        <v>78.400000000000006</v>
      </c>
      <c r="D322" s="12">
        <v>56</v>
      </c>
      <c r="E322" s="12" t="s">
        <v>45</v>
      </c>
      <c r="F322" s="12" t="s">
        <v>45</v>
      </c>
      <c r="G322" s="12" t="s">
        <v>328</v>
      </c>
      <c r="H322" s="12"/>
      <c r="I322" s="12" t="s">
        <v>45</v>
      </c>
      <c r="J322" s="12" t="s">
        <v>47</v>
      </c>
      <c r="K322" s="12" t="s">
        <v>49</v>
      </c>
      <c r="L322" s="12" t="s">
        <v>49</v>
      </c>
      <c r="M322" s="11" t="s">
        <v>50</v>
      </c>
      <c r="N322" s="11" t="s">
        <v>50</v>
      </c>
      <c r="O322" s="11" t="s">
        <v>50</v>
      </c>
      <c r="P322" s="11" t="s">
        <v>86</v>
      </c>
      <c r="Q322" s="50" t="s">
        <v>86</v>
      </c>
      <c r="R322" s="47">
        <v>25</v>
      </c>
      <c r="S322" s="48">
        <v>1.5</v>
      </c>
      <c r="T322" s="63">
        <v>1.9</v>
      </c>
      <c r="U322" s="48">
        <v>25</v>
      </c>
      <c r="V322" s="48" t="s">
        <v>47</v>
      </c>
      <c r="W322" s="48" t="s">
        <v>47</v>
      </c>
      <c r="X322" s="130"/>
      <c r="Y322" s="16"/>
      <c r="Z322" s="286"/>
      <c r="AA322" s="287"/>
      <c r="AB322" s="287"/>
      <c r="AC322" s="66" t="s">
        <v>48</v>
      </c>
      <c r="AD322" s="51" t="s">
        <v>333</v>
      </c>
      <c r="AE322" s="13">
        <v>4</v>
      </c>
      <c r="AF322" s="13">
        <v>0</v>
      </c>
      <c r="AG322" s="13">
        <v>0</v>
      </c>
      <c r="AH322" s="134">
        <v>0</v>
      </c>
      <c r="AI322" s="134">
        <v>0</v>
      </c>
      <c r="AJ322" s="135">
        <f t="shared" si="59"/>
        <v>0</v>
      </c>
      <c r="AK322" s="136">
        <f t="shared" si="60"/>
        <v>0</v>
      </c>
      <c r="AL322" s="136" t="str" cm="1">
        <f t="array" ref="AL322">_xlfn.IFS(
AI322&lt;3,"Ligera",
AI322&lt;=6,"Moderada",
AI322&gt;6,"Vigorosa"
)</f>
        <v>Ligera</v>
      </c>
      <c r="AM322" s="45" t="s">
        <v>49</v>
      </c>
      <c r="AN322" s="46" t="s">
        <v>49</v>
      </c>
      <c r="AO322" s="46" t="s">
        <v>49</v>
      </c>
      <c r="AP322" s="289" t="s">
        <v>49</v>
      </c>
      <c r="AQ322" s="139">
        <v>0</v>
      </c>
    </row>
    <row r="323" spans="1:43" ht="67.5" customHeight="1" thickBot="1">
      <c r="A323" s="138" t="s">
        <v>332</v>
      </c>
      <c r="B323" s="12">
        <v>59</v>
      </c>
      <c r="C323" s="12">
        <v>75.400000000000006</v>
      </c>
      <c r="D323" s="12">
        <v>64</v>
      </c>
      <c r="E323" s="12" t="s">
        <v>45</v>
      </c>
      <c r="F323" s="12" t="s">
        <v>45</v>
      </c>
      <c r="G323" s="12" t="s">
        <v>328</v>
      </c>
      <c r="H323" s="12"/>
      <c r="I323" s="12" t="s">
        <v>45</v>
      </c>
      <c r="J323" s="12" t="s">
        <v>47</v>
      </c>
      <c r="K323" s="12" t="s">
        <v>49</v>
      </c>
      <c r="L323" s="12" t="s">
        <v>49</v>
      </c>
      <c r="M323" s="11" t="s">
        <v>56</v>
      </c>
      <c r="N323" s="11" t="s">
        <v>162</v>
      </c>
      <c r="O323" s="11" t="s">
        <v>163</v>
      </c>
      <c r="P323" s="11" t="s">
        <v>86</v>
      </c>
      <c r="Q323" s="50" t="s">
        <v>86</v>
      </c>
      <c r="R323" s="47">
        <v>25</v>
      </c>
      <c r="S323" s="48">
        <v>1.2</v>
      </c>
      <c r="T323" s="63">
        <v>1.5</v>
      </c>
      <c r="U323" s="48">
        <v>25</v>
      </c>
      <c r="V323" s="47" t="s">
        <v>47</v>
      </c>
      <c r="W323" s="48" t="s">
        <v>47</v>
      </c>
      <c r="X323" s="130"/>
      <c r="Y323" s="16"/>
      <c r="Z323" s="15"/>
      <c r="AA323" s="16"/>
      <c r="AB323" s="16"/>
      <c r="AC323" s="66" t="s">
        <v>48</v>
      </c>
      <c r="AD323" s="51" t="s">
        <v>334</v>
      </c>
      <c r="AE323" s="13">
        <v>4</v>
      </c>
      <c r="AF323" s="13">
        <v>3</v>
      </c>
      <c r="AG323" s="13">
        <v>37.5</v>
      </c>
      <c r="AH323" s="13">
        <v>1715360</v>
      </c>
      <c r="AI323" s="13">
        <v>3.8</v>
      </c>
      <c r="AJ323" s="135">
        <f t="shared" si="59"/>
        <v>142.5</v>
      </c>
      <c r="AK323" s="136">
        <f t="shared" si="60"/>
        <v>427.5</v>
      </c>
      <c r="AL323" s="136" t="str" cm="1">
        <f t="array" ref="AL323">_xlfn.IFS(
AI323&lt;3,"Ligera",
AI323&lt;=6,"Moderada",
AI323&gt;6,"Vigorosa"
)</f>
        <v>Moderada</v>
      </c>
      <c r="AM323" s="45" t="s">
        <v>48</v>
      </c>
      <c r="AN323" s="46" t="s">
        <v>60</v>
      </c>
      <c r="AO323" s="46" t="s">
        <v>61</v>
      </c>
      <c r="AP323" s="289" t="s">
        <v>128</v>
      </c>
      <c r="AQ323" s="139">
        <v>0</v>
      </c>
    </row>
    <row r="324" spans="1:43" ht="81.75" customHeight="1" thickBot="1">
      <c r="A324" s="138" t="s">
        <v>332</v>
      </c>
      <c r="B324" s="12">
        <v>59</v>
      </c>
      <c r="C324" s="12">
        <v>78.400000000000006</v>
      </c>
      <c r="D324" s="12">
        <v>56</v>
      </c>
      <c r="E324" s="12" t="s">
        <v>45</v>
      </c>
      <c r="F324" s="12" t="s">
        <v>45</v>
      </c>
      <c r="G324" s="12" t="s">
        <v>328</v>
      </c>
      <c r="H324" s="12"/>
      <c r="I324" s="12" t="s">
        <v>45</v>
      </c>
      <c r="J324" s="12" t="s">
        <v>47</v>
      </c>
      <c r="K324" s="12" t="s">
        <v>49</v>
      </c>
      <c r="L324" s="12" t="s">
        <v>49</v>
      </c>
      <c r="M324" s="11" t="s">
        <v>50</v>
      </c>
      <c r="N324" s="11" t="s">
        <v>50</v>
      </c>
      <c r="O324" s="11" t="s">
        <v>50</v>
      </c>
      <c r="P324" s="11" t="s">
        <v>51</v>
      </c>
      <c r="Q324" s="50" t="s">
        <v>85</v>
      </c>
      <c r="R324" s="47">
        <v>25</v>
      </c>
      <c r="S324" s="48">
        <v>0.15</v>
      </c>
      <c r="T324" s="63">
        <v>0.15</v>
      </c>
      <c r="U324" s="48">
        <v>25</v>
      </c>
      <c r="V324" s="48">
        <v>0.12</v>
      </c>
      <c r="W324" s="48">
        <v>0.13</v>
      </c>
      <c r="X324" s="130">
        <f t="shared" si="57"/>
        <v>-0.03</v>
      </c>
      <c r="Y324" s="16">
        <f t="shared" si="58"/>
        <v>2.8213471959331771E-2</v>
      </c>
      <c r="Z324" s="286" t="s">
        <v>53</v>
      </c>
      <c r="AA324" s="287" t="s">
        <v>53</v>
      </c>
      <c r="AB324" s="287">
        <v>2.8213471959331771E-2</v>
      </c>
      <c r="AC324" s="66" t="s">
        <v>49</v>
      </c>
      <c r="AD324" s="51" t="s">
        <v>333</v>
      </c>
      <c r="AE324" s="13">
        <v>4</v>
      </c>
      <c r="AF324" s="13">
        <v>0</v>
      </c>
      <c r="AG324" s="13">
        <v>0</v>
      </c>
      <c r="AH324" s="134">
        <v>0</v>
      </c>
      <c r="AI324" s="134">
        <v>0</v>
      </c>
      <c r="AJ324" s="135">
        <f t="shared" si="59"/>
        <v>0</v>
      </c>
      <c r="AK324" s="136">
        <f t="shared" si="60"/>
        <v>0</v>
      </c>
      <c r="AL324" s="136" t="str" cm="1">
        <f t="array" ref="AL324">_xlfn.IFS(
AI324&lt;3,"Ligera",
AI324&lt;=6,"Moderada",
AI324&gt;6,"Vigorosa"
)</f>
        <v>Ligera</v>
      </c>
      <c r="AM324" s="45" t="s">
        <v>49</v>
      </c>
      <c r="AN324" s="46" t="s">
        <v>49</v>
      </c>
      <c r="AO324" s="46" t="s">
        <v>49</v>
      </c>
      <c r="AP324" s="289" t="s">
        <v>49</v>
      </c>
      <c r="AQ324" s="139">
        <v>0</v>
      </c>
    </row>
    <row r="325" spans="1:43" ht="67.5" customHeight="1" thickBot="1">
      <c r="A325" s="138" t="s">
        <v>332</v>
      </c>
      <c r="B325" s="12">
        <v>59</v>
      </c>
      <c r="C325" s="12">
        <v>75.400000000000006</v>
      </c>
      <c r="D325" s="12">
        <v>64</v>
      </c>
      <c r="E325" s="12" t="s">
        <v>45</v>
      </c>
      <c r="F325" s="12" t="s">
        <v>45</v>
      </c>
      <c r="G325" s="12" t="s">
        <v>328</v>
      </c>
      <c r="H325" s="12"/>
      <c r="I325" s="12" t="s">
        <v>45</v>
      </c>
      <c r="J325" s="12" t="s">
        <v>47</v>
      </c>
      <c r="K325" s="12" t="s">
        <v>49</v>
      </c>
      <c r="L325" s="12" t="s">
        <v>49</v>
      </c>
      <c r="M325" s="11" t="s">
        <v>56</v>
      </c>
      <c r="N325" s="11" t="s">
        <v>162</v>
      </c>
      <c r="O325" s="11" t="s">
        <v>163</v>
      </c>
      <c r="P325" s="11" t="s">
        <v>51</v>
      </c>
      <c r="Q325" s="50" t="s">
        <v>85</v>
      </c>
      <c r="R325" s="47">
        <v>25</v>
      </c>
      <c r="S325" s="48">
        <v>0.13700000000000001</v>
      </c>
      <c r="T325" s="63">
        <v>0.15</v>
      </c>
      <c r="U325" s="48">
        <v>25</v>
      </c>
      <c r="V325" s="47">
        <v>0.2</v>
      </c>
      <c r="W325" s="48">
        <v>0.17</v>
      </c>
      <c r="X325" s="130">
        <f t="shared" si="57"/>
        <v>6.3E-2</v>
      </c>
      <c r="Y325" s="16">
        <f t="shared" si="58"/>
        <v>3.2186953878862161E-2</v>
      </c>
      <c r="Z325" s="15">
        <f t="shared" si="61"/>
        <v>9.2999999999999999E-2</v>
      </c>
      <c r="AA325" s="16">
        <f t="shared" si="62"/>
        <v>2.2900000000000004E-2</v>
      </c>
      <c r="AB325" s="16">
        <f t="shared" si="63"/>
        <v>4.2801869118065397E-2</v>
      </c>
      <c r="AC325" s="66" t="s">
        <v>49</v>
      </c>
      <c r="AD325" s="51" t="s">
        <v>334</v>
      </c>
      <c r="AE325" s="13">
        <v>4</v>
      </c>
      <c r="AF325" s="13">
        <v>3</v>
      </c>
      <c r="AG325" s="13">
        <v>37.5</v>
      </c>
      <c r="AH325" s="13">
        <v>1715360</v>
      </c>
      <c r="AI325" s="13">
        <v>3.8</v>
      </c>
      <c r="AJ325" s="135">
        <f t="shared" si="59"/>
        <v>142.5</v>
      </c>
      <c r="AK325" s="136">
        <f t="shared" si="60"/>
        <v>427.5</v>
      </c>
      <c r="AL325" s="136" t="str" cm="1">
        <f t="array" ref="AL325">_xlfn.IFS(
AI325&lt;3,"Ligera",
AI325&lt;=6,"Moderada",
AI325&gt;6,"Vigorosa"
)</f>
        <v>Moderada</v>
      </c>
      <c r="AM325" s="45" t="s">
        <v>48</v>
      </c>
      <c r="AN325" s="46" t="s">
        <v>60</v>
      </c>
      <c r="AO325" s="46" t="s">
        <v>61</v>
      </c>
      <c r="AP325" s="289" t="s">
        <v>128</v>
      </c>
      <c r="AQ325" s="139">
        <v>0</v>
      </c>
    </row>
    <row r="326" spans="1:43" ht="81.75" customHeight="1" thickBot="1">
      <c r="A326" s="138" t="s">
        <v>332</v>
      </c>
      <c r="B326" s="12">
        <v>59</v>
      </c>
      <c r="C326" s="12">
        <v>78.400000000000006</v>
      </c>
      <c r="D326" s="12">
        <v>56</v>
      </c>
      <c r="E326" s="12" t="s">
        <v>45</v>
      </c>
      <c r="F326" s="12" t="s">
        <v>45</v>
      </c>
      <c r="G326" s="12" t="s">
        <v>328</v>
      </c>
      <c r="H326" s="12"/>
      <c r="I326" s="12" t="s">
        <v>45</v>
      </c>
      <c r="J326" s="12" t="s">
        <v>47</v>
      </c>
      <c r="K326" s="12" t="s">
        <v>49</v>
      </c>
      <c r="L326" s="12" t="s">
        <v>49</v>
      </c>
      <c r="M326" s="11" t="s">
        <v>50</v>
      </c>
      <c r="N326" s="11" t="s">
        <v>50</v>
      </c>
      <c r="O326" s="11" t="s">
        <v>50</v>
      </c>
      <c r="P326" s="11" t="s">
        <v>51</v>
      </c>
      <c r="Q326" s="50" t="s">
        <v>124</v>
      </c>
      <c r="R326" s="47">
        <v>25</v>
      </c>
      <c r="S326" s="48">
        <v>142.6</v>
      </c>
      <c r="T326" s="63">
        <v>101.8</v>
      </c>
      <c r="U326" s="48">
        <v>25</v>
      </c>
      <c r="V326" s="48">
        <v>143.1</v>
      </c>
      <c r="W326" s="48">
        <v>101.3</v>
      </c>
      <c r="X326" s="130">
        <f t="shared" si="57"/>
        <v>0.5</v>
      </c>
      <c r="Y326" s="16">
        <f t="shared" si="58"/>
        <v>20.310184637270041</v>
      </c>
      <c r="Z326" s="286" t="s">
        <v>53</v>
      </c>
      <c r="AA326" s="286" t="s">
        <v>53</v>
      </c>
      <c r="AB326" s="287">
        <v>20.310184637270041</v>
      </c>
      <c r="AC326" s="66" t="s">
        <v>48</v>
      </c>
      <c r="AD326" s="51" t="s">
        <v>333</v>
      </c>
      <c r="AE326" s="13">
        <v>4</v>
      </c>
      <c r="AF326" s="13">
        <v>0</v>
      </c>
      <c r="AG326" s="13">
        <v>0</v>
      </c>
      <c r="AH326" s="134">
        <v>0</v>
      </c>
      <c r="AI326" s="134">
        <v>0</v>
      </c>
      <c r="AJ326" s="135">
        <f t="shared" si="59"/>
        <v>0</v>
      </c>
      <c r="AK326" s="136">
        <f t="shared" si="60"/>
        <v>0</v>
      </c>
      <c r="AL326" s="136" t="str" cm="1">
        <f t="array" ref="AL326">_xlfn.IFS(
AI326&lt;3,"Ligera",
AI326&lt;=6,"Moderada",
AI326&gt;6,"Vigorosa"
)</f>
        <v>Ligera</v>
      </c>
      <c r="AM326" s="45" t="s">
        <v>49</v>
      </c>
      <c r="AN326" s="46" t="s">
        <v>49</v>
      </c>
      <c r="AO326" s="46" t="s">
        <v>49</v>
      </c>
      <c r="AP326" s="289" t="s">
        <v>49</v>
      </c>
      <c r="AQ326" s="139">
        <v>0</v>
      </c>
    </row>
    <row r="327" spans="1:43" ht="67.5" customHeight="1" thickBot="1">
      <c r="A327" s="138" t="s">
        <v>332</v>
      </c>
      <c r="B327" s="12">
        <v>59</v>
      </c>
      <c r="C327" s="12">
        <v>75.400000000000006</v>
      </c>
      <c r="D327" s="12">
        <v>64</v>
      </c>
      <c r="E327" s="12" t="s">
        <v>45</v>
      </c>
      <c r="F327" s="12" t="s">
        <v>45</v>
      </c>
      <c r="G327" s="12" t="s">
        <v>328</v>
      </c>
      <c r="H327" s="12"/>
      <c r="I327" s="12" t="s">
        <v>45</v>
      </c>
      <c r="J327" s="12" t="s">
        <v>47</v>
      </c>
      <c r="K327" s="12" t="s">
        <v>49</v>
      </c>
      <c r="L327" s="12" t="s">
        <v>49</v>
      </c>
      <c r="M327" s="11" t="s">
        <v>56</v>
      </c>
      <c r="N327" s="11" t="s">
        <v>162</v>
      </c>
      <c r="O327" s="11" t="s">
        <v>163</v>
      </c>
      <c r="P327" s="11" t="s">
        <v>51</v>
      </c>
      <c r="Q327" s="50" t="s">
        <v>124</v>
      </c>
      <c r="R327" s="47">
        <v>25</v>
      </c>
      <c r="S327" s="48">
        <v>131.30000000000001</v>
      </c>
      <c r="T327" s="63">
        <v>85.4</v>
      </c>
      <c r="U327" s="48">
        <v>25</v>
      </c>
      <c r="V327" s="47">
        <v>98.5</v>
      </c>
      <c r="W327" s="48">
        <v>60.8</v>
      </c>
      <c r="X327" s="130">
        <f t="shared" si="57"/>
        <v>-32.800000000000011</v>
      </c>
      <c r="Y327" s="16">
        <f t="shared" si="58"/>
        <v>15.22823693012425</v>
      </c>
      <c r="Z327" s="15">
        <f t="shared" si="61"/>
        <v>-33.300000000000011</v>
      </c>
      <c r="AA327" s="16">
        <f t="shared" si="62"/>
        <v>6979.165</v>
      </c>
      <c r="AB327" s="16">
        <f t="shared" si="63"/>
        <v>23.62907530988041</v>
      </c>
      <c r="AC327" s="66" t="s">
        <v>48</v>
      </c>
      <c r="AD327" s="51" t="s">
        <v>334</v>
      </c>
      <c r="AE327" s="13">
        <v>4</v>
      </c>
      <c r="AF327" s="13">
        <v>3</v>
      </c>
      <c r="AG327" s="13">
        <v>37.5</v>
      </c>
      <c r="AH327" s="13">
        <v>1715360</v>
      </c>
      <c r="AI327" s="13">
        <v>3.8</v>
      </c>
      <c r="AJ327" s="135">
        <f t="shared" si="59"/>
        <v>142.5</v>
      </c>
      <c r="AK327" s="136">
        <f t="shared" si="60"/>
        <v>427.5</v>
      </c>
      <c r="AL327" s="136" t="str" cm="1">
        <f t="array" ref="AL327">_xlfn.IFS(
AI327&lt;3,"Ligera",
AI327&lt;=6,"Moderada",
AI327&gt;6,"Vigorosa"
)</f>
        <v>Moderada</v>
      </c>
      <c r="AM327" s="45" t="s">
        <v>48</v>
      </c>
      <c r="AN327" s="46" t="s">
        <v>60</v>
      </c>
      <c r="AO327" s="46" t="s">
        <v>61</v>
      </c>
      <c r="AP327" s="289" t="s">
        <v>128</v>
      </c>
      <c r="AQ327" s="139">
        <v>0</v>
      </c>
    </row>
    <row r="328" spans="1:43" ht="81.75" customHeight="1" thickBot="1">
      <c r="A328" s="138" t="s">
        <v>332</v>
      </c>
      <c r="B328" s="12">
        <v>59</v>
      </c>
      <c r="C328" s="12">
        <v>78.400000000000006</v>
      </c>
      <c r="D328" s="12">
        <v>56</v>
      </c>
      <c r="E328" s="12" t="s">
        <v>45</v>
      </c>
      <c r="F328" s="12" t="s">
        <v>45</v>
      </c>
      <c r="G328" s="12" t="s">
        <v>328</v>
      </c>
      <c r="H328" s="12"/>
      <c r="I328" s="12" t="s">
        <v>45</v>
      </c>
      <c r="J328" s="12" t="s">
        <v>47</v>
      </c>
      <c r="K328" s="12" t="s">
        <v>49</v>
      </c>
      <c r="L328" s="12" t="s">
        <v>49</v>
      </c>
      <c r="M328" s="11" t="s">
        <v>50</v>
      </c>
      <c r="N328" s="11" t="s">
        <v>50</v>
      </c>
      <c r="O328" s="11" t="s">
        <v>50</v>
      </c>
      <c r="P328" s="11" t="s">
        <v>51</v>
      </c>
      <c r="Q328" s="50" t="s">
        <v>82</v>
      </c>
      <c r="R328" s="47">
        <v>25</v>
      </c>
      <c r="S328" s="48">
        <v>23.6</v>
      </c>
      <c r="T328" s="63">
        <v>26.4</v>
      </c>
      <c r="U328" s="48">
        <v>25</v>
      </c>
      <c r="V328" s="48">
        <v>23.5</v>
      </c>
      <c r="W328" s="48">
        <v>26.4</v>
      </c>
      <c r="X328" s="130">
        <f t="shared" si="57"/>
        <v>-0.10000000000000142</v>
      </c>
      <c r="Y328" s="16">
        <f t="shared" si="58"/>
        <v>5.2799999999999994</v>
      </c>
      <c r="Z328" s="286" t="s">
        <v>53</v>
      </c>
      <c r="AA328" s="286" t="s">
        <v>53</v>
      </c>
      <c r="AB328" s="287">
        <v>5.2799999999999994</v>
      </c>
      <c r="AC328" s="66" t="s">
        <v>49</v>
      </c>
      <c r="AD328" s="51" t="s">
        <v>333</v>
      </c>
      <c r="AE328" s="13">
        <v>4</v>
      </c>
      <c r="AF328" s="13">
        <v>0</v>
      </c>
      <c r="AG328" s="13">
        <v>0</v>
      </c>
      <c r="AH328" s="134">
        <v>0</v>
      </c>
      <c r="AI328" s="134">
        <v>0</v>
      </c>
      <c r="AJ328" s="135">
        <f t="shared" si="59"/>
        <v>0</v>
      </c>
      <c r="AK328" s="136">
        <f t="shared" si="60"/>
        <v>0</v>
      </c>
      <c r="AL328" s="136" t="str" cm="1">
        <f t="array" ref="AL328">_xlfn.IFS(
AI328&lt;3,"Ligera",
AI328&lt;=6,"Moderada",
AI328&gt;6,"Vigorosa"
)</f>
        <v>Ligera</v>
      </c>
      <c r="AM328" s="45" t="s">
        <v>49</v>
      </c>
      <c r="AN328" s="46" t="s">
        <v>49</v>
      </c>
      <c r="AO328" s="46" t="s">
        <v>49</v>
      </c>
      <c r="AP328" s="289" t="s">
        <v>49</v>
      </c>
      <c r="AQ328" s="139">
        <v>0</v>
      </c>
    </row>
    <row r="329" spans="1:43" ht="67.5" customHeight="1" thickBot="1">
      <c r="A329" s="138" t="s">
        <v>332</v>
      </c>
      <c r="B329" s="12">
        <v>59</v>
      </c>
      <c r="C329" s="12">
        <v>75.400000000000006</v>
      </c>
      <c r="D329" s="12">
        <v>64</v>
      </c>
      <c r="E329" s="12" t="s">
        <v>45</v>
      </c>
      <c r="F329" s="12" t="s">
        <v>45</v>
      </c>
      <c r="G329" s="12" t="s">
        <v>328</v>
      </c>
      <c r="H329" s="12"/>
      <c r="I329" s="12" t="s">
        <v>45</v>
      </c>
      <c r="J329" s="12" t="s">
        <v>47</v>
      </c>
      <c r="K329" s="12" t="s">
        <v>49</v>
      </c>
      <c r="L329" s="12" t="s">
        <v>49</v>
      </c>
      <c r="M329" s="11" t="s">
        <v>56</v>
      </c>
      <c r="N329" s="11" t="s">
        <v>162</v>
      </c>
      <c r="O329" s="11" t="s">
        <v>163</v>
      </c>
      <c r="P329" s="11" t="s">
        <v>51</v>
      </c>
      <c r="Q329" s="50" t="s">
        <v>82</v>
      </c>
      <c r="R329" s="47">
        <v>25</v>
      </c>
      <c r="S329" s="48">
        <v>25.9</v>
      </c>
      <c r="T329" s="63">
        <v>26.4</v>
      </c>
      <c r="U329" s="48">
        <v>25</v>
      </c>
      <c r="V329" s="47">
        <v>39.799999999999997</v>
      </c>
      <c r="W329" s="48">
        <v>36.799999999999997</v>
      </c>
      <c r="X329" s="130">
        <f t="shared" si="57"/>
        <v>13.899999999999999</v>
      </c>
      <c r="Y329" s="16">
        <f t="shared" si="58"/>
        <v>6.5716968889321112</v>
      </c>
      <c r="Z329" s="15">
        <f t="shared" si="61"/>
        <v>14</v>
      </c>
      <c r="AA329" s="16">
        <f t="shared" si="62"/>
        <v>1025.5999999999997</v>
      </c>
      <c r="AB329" s="16">
        <f t="shared" si="63"/>
        <v>9.0580351070196219</v>
      </c>
      <c r="AC329" s="66" t="s">
        <v>49</v>
      </c>
      <c r="AD329" s="51" t="s">
        <v>334</v>
      </c>
      <c r="AE329" s="13">
        <v>4</v>
      </c>
      <c r="AF329" s="13">
        <v>3</v>
      </c>
      <c r="AG329" s="13">
        <v>37.5</v>
      </c>
      <c r="AH329" s="13">
        <v>1715360</v>
      </c>
      <c r="AI329" s="13">
        <v>3.8</v>
      </c>
      <c r="AJ329" s="135">
        <f t="shared" si="59"/>
        <v>142.5</v>
      </c>
      <c r="AK329" s="136">
        <f t="shared" si="60"/>
        <v>427.5</v>
      </c>
      <c r="AL329" s="136" t="str" cm="1">
        <f t="array" ref="AL329">_xlfn.IFS(
AI329&lt;3,"Ligera",
AI329&lt;=6,"Moderada",
AI329&gt;6,"Vigorosa"
)</f>
        <v>Moderada</v>
      </c>
      <c r="AM329" s="45" t="s">
        <v>48</v>
      </c>
      <c r="AN329" s="46" t="s">
        <v>60</v>
      </c>
      <c r="AO329" s="46" t="s">
        <v>61</v>
      </c>
      <c r="AP329" s="289" t="s">
        <v>128</v>
      </c>
      <c r="AQ329" s="139">
        <v>0</v>
      </c>
    </row>
    <row r="330" spans="1:43" ht="81.75" customHeight="1" thickBot="1">
      <c r="A330" s="138" t="s">
        <v>332</v>
      </c>
      <c r="B330" s="12">
        <v>59</v>
      </c>
      <c r="C330" s="12">
        <v>78.400000000000006</v>
      </c>
      <c r="D330" s="12">
        <v>56</v>
      </c>
      <c r="E330" s="12" t="s">
        <v>45</v>
      </c>
      <c r="F330" s="12" t="s">
        <v>45</v>
      </c>
      <c r="G330" s="12" t="s">
        <v>328</v>
      </c>
      <c r="H330" s="12"/>
      <c r="I330" s="12" t="s">
        <v>45</v>
      </c>
      <c r="J330" s="12" t="s">
        <v>47</v>
      </c>
      <c r="K330" s="12" t="s">
        <v>49</v>
      </c>
      <c r="L330" s="12" t="s">
        <v>49</v>
      </c>
      <c r="M330" s="11" t="s">
        <v>50</v>
      </c>
      <c r="N330" s="11" t="s">
        <v>50</v>
      </c>
      <c r="O330" s="11" t="s">
        <v>50</v>
      </c>
      <c r="P330" s="11" t="s">
        <v>86</v>
      </c>
      <c r="Q330" s="50" t="s">
        <v>87</v>
      </c>
      <c r="R330" s="47">
        <v>25</v>
      </c>
      <c r="S330" s="48">
        <v>20.7</v>
      </c>
      <c r="T330" s="63">
        <v>14</v>
      </c>
      <c r="U330" s="48">
        <v>25</v>
      </c>
      <c r="V330" s="48">
        <v>20.2</v>
      </c>
      <c r="W330" s="48">
        <v>15.1</v>
      </c>
      <c r="X330" s="130">
        <f t="shared" si="57"/>
        <v>-0.5</v>
      </c>
      <c r="Y330" s="16">
        <f t="shared" si="58"/>
        <v>2.9162304435692321</v>
      </c>
      <c r="Z330" s="286" t="s">
        <v>53</v>
      </c>
      <c r="AA330" s="286" t="s">
        <v>53</v>
      </c>
      <c r="AB330" s="287">
        <v>2.9162304435692321</v>
      </c>
      <c r="AC330" s="66" t="s">
        <v>49</v>
      </c>
      <c r="AD330" s="51" t="s">
        <v>333</v>
      </c>
      <c r="AE330" s="13">
        <v>4</v>
      </c>
      <c r="AF330" s="13">
        <v>0</v>
      </c>
      <c r="AG330" s="13">
        <v>0</v>
      </c>
      <c r="AH330" s="134">
        <v>0</v>
      </c>
      <c r="AI330" s="134">
        <v>0</v>
      </c>
      <c r="AJ330" s="135">
        <f t="shared" si="59"/>
        <v>0</v>
      </c>
      <c r="AK330" s="136">
        <f t="shared" si="60"/>
        <v>0</v>
      </c>
      <c r="AL330" s="136" t="str" cm="1">
        <f t="array" ref="AL330">_xlfn.IFS(
AI330&lt;3,"Ligera",
AI330&lt;=6,"Moderada",
AI330&gt;6,"Vigorosa"
)</f>
        <v>Ligera</v>
      </c>
      <c r="AM330" s="45" t="s">
        <v>49</v>
      </c>
      <c r="AN330" s="46" t="s">
        <v>49</v>
      </c>
      <c r="AO330" s="46" t="s">
        <v>49</v>
      </c>
      <c r="AP330" s="289" t="s">
        <v>49</v>
      </c>
      <c r="AQ330" s="139">
        <v>0</v>
      </c>
    </row>
    <row r="331" spans="1:43" ht="67.5" customHeight="1" thickBot="1">
      <c r="A331" s="138" t="s">
        <v>332</v>
      </c>
      <c r="B331" s="12">
        <v>59</v>
      </c>
      <c r="C331" s="12">
        <v>75.400000000000006</v>
      </c>
      <c r="D331" s="12">
        <v>64</v>
      </c>
      <c r="E331" s="12" t="s">
        <v>45</v>
      </c>
      <c r="F331" s="12" t="s">
        <v>45</v>
      </c>
      <c r="G331" s="12" t="s">
        <v>328</v>
      </c>
      <c r="H331" s="12"/>
      <c r="I331" s="12" t="s">
        <v>45</v>
      </c>
      <c r="J331" s="12" t="s">
        <v>47</v>
      </c>
      <c r="K331" s="12" t="s">
        <v>49</v>
      </c>
      <c r="L331" s="12" t="s">
        <v>49</v>
      </c>
      <c r="M331" s="11" t="s">
        <v>56</v>
      </c>
      <c r="N331" s="11" t="s">
        <v>162</v>
      </c>
      <c r="O331" s="11" t="s">
        <v>163</v>
      </c>
      <c r="P331" s="11" t="s">
        <v>86</v>
      </c>
      <c r="Q331" s="50" t="s">
        <v>87</v>
      </c>
      <c r="R331" s="47">
        <v>25</v>
      </c>
      <c r="S331" s="48">
        <v>23.5</v>
      </c>
      <c r="T331" s="63">
        <v>13.9</v>
      </c>
      <c r="U331" s="48">
        <v>25</v>
      </c>
      <c r="V331" s="47">
        <v>29.1</v>
      </c>
      <c r="W331" s="48">
        <v>13.4</v>
      </c>
      <c r="X331" s="130">
        <f t="shared" si="57"/>
        <v>5.6000000000000014</v>
      </c>
      <c r="Y331" s="16">
        <f t="shared" si="58"/>
        <v>2.7313732809705815</v>
      </c>
      <c r="Z331" s="15">
        <f t="shared" si="61"/>
        <v>6.1000000000000014</v>
      </c>
      <c r="AA331" s="16">
        <f t="shared" si="62"/>
        <v>203.785</v>
      </c>
      <c r="AB331" s="16">
        <f t="shared" si="63"/>
        <v>4.0376725969300686</v>
      </c>
      <c r="AC331" s="66" t="s">
        <v>49</v>
      </c>
      <c r="AD331" s="51" t="s">
        <v>334</v>
      </c>
      <c r="AE331" s="13">
        <v>4</v>
      </c>
      <c r="AF331" s="13">
        <v>3</v>
      </c>
      <c r="AG331" s="13">
        <v>37.5</v>
      </c>
      <c r="AH331" s="13">
        <v>1715360</v>
      </c>
      <c r="AI331" s="13">
        <v>3.8</v>
      </c>
      <c r="AJ331" s="135">
        <f t="shared" si="59"/>
        <v>142.5</v>
      </c>
      <c r="AK331" s="136">
        <f t="shared" si="60"/>
        <v>427.5</v>
      </c>
      <c r="AL331" s="136" t="str" cm="1">
        <f t="array" ref="AL331">_xlfn.IFS(
AI331&lt;3,"Ligera",
AI331&lt;=6,"Moderada",
AI331&gt;6,"Vigorosa"
)</f>
        <v>Moderada</v>
      </c>
      <c r="AM331" s="45" t="s">
        <v>48</v>
      </c>
      <c r="AN331" s="46" t="s">
        <v>60</v>
      </c>
      <c r="AO331" s="46" t="s">
        <v>61</v>
      </c>
      <c r="AP331" s="289" t="s">
        <v>128</v>
      </c>
      <c r="AQ331" s="139">
        <v>0</v>
      </c>
    </row>
    <row r="332" spans="1:43" ht="81.75" customHeight="1" thickBot="1">
      <c r="A332" s="124" t="s">
        <v>336</v>
      </c>
      <c r="B332" s="125">
        <v>11</v>
      </c>
      <c r="C332" s="125">
        <v>86.4</v>
      </c>
      <c r="D332" s="125">
        <v>20</v>
      </c>
      <c r="E332" s="125" t="s">
        <v>45</v>
      </c>
      <c r="F332" s="125" t="s">
        <v>45</v>
      </c>
      <c r="G332" s="125" t="s">
        <v>337</v>
      </c>
      <c r="H332" s="125"/>
      <c r="I332" s="125" t="s">
        <v>145</v>
      </c>
      <c r="J332" s="125" t="s">
        <v>47</v>
      </c>
      <c r="K332" s="125" t="s">
        <v>49</v>
      </c>
      <c r="L332" s="125" t="s">
        <v>49</v>
      </c>
      <c r="M332" s="126" t="s">
        <v>50</v>
      </c>
      <c r="N332" s="126" t="s">
        <v>50</v>
      </c>
      <c r="O332" s="126" t="s">
        <v>50</v>
      </c>
      <c r="P332" s="126" t="s">
        <v>94</v>
      </c>
      <c r="Q332" s="159" t="s">
        <v>119</v>
      </c>
      <c r="R332" s="167">
        <v>5</v>
      </c>
      <c r="S332" s="168">
        <v>24.4</v>
      </c>
      <c r="T332" s="168">
        <v>5.13</v>
      </c>
      <c r="U332" s="168">
        <v>5</v>
      </c>
      <c r="V332" s="167">
        <v>24.8</v>
      </c>
      <c r="W332" s="179">
        <v>7.73</v>
      </c>
      <c r="X332" s="130">
        <f t="shared" si="57"/>
        <v>0.40000000000000213</v>
      </c>
      <c r="Y332" s="16">
        <f t="shared" si="58"/>
        <v>3.0467983195479151</v>
      </c>
      <c r="Z332" s="286" t="s">
        <v>53</v>
      </c>
      <c r="AA332" s="286" t="s">
        <v>53</v>
      </c>
      <c r="AB332" s="287">
        <v>3.0467983195479151</v>
      </c>
      <c r="AC332" s="66" t="s">
        <v>49</v>
      </c>
      <c r="AD332" s="133" t="s">
        <v>338</v>
      </c>
      <c r="AE332" s="134">
        <v>6</v>
      </c>
      <c r="AF332" s="134">
        <v>0</v>
      </c>
      <c r="AG332" s="134">
        <v>0</v>
      </c>
      <c r="AH332" s="134">
        <v>0</v>
      </c>
      <c r="AI332" s="134">
        <v>0</v>
      </c>
      <c r="AJ332" s="135">
        <f t="shared" si="59"/>
        <v>0</v>
      </c>
      <c r="AK332" s="136">
        <f t="shared" si="60"/>
        <v>0</v>
      </c>
      <c r="AL332" s="136" t="str" cm="1">
        <f t="array" ref="AL332">_xlfn.IFS(
AI332&lt;3,"Ligera",
AI332&lt;=6,"Moderada",
AI332&gt;6,"Vigorosa"
)</f>
        <v>Ligera</v>
      </c>
      <c r="AM332" s="136" t="s">
        <v>49</v>
      </c>
      <c r="AN332" s="135" t="s">
        <v>49</v>
      </c>
      <c r="AO332" s="135" t="s">
        <v>49</v>
      </c>
      <c r="AP332" s="288" t="s">
        <v>49</v>
      </c>
      <c r="AQ332" s="137">
        <v>0</v>
      </c>
    </row>
    <row r="333" spans="1:43" ht="97.5" customHeight="1" thickBot="1">
      <c r="A333" s="138" t="s">
        <v>336</v>
      </c>
      <c r="B333" s="12">
        <v>11</v>
      </c>
      <c r="C333" s="12">
        <v>85.83</v>
      </c>
      <c r="D333" s="12">
        <v>50</v>
      </c>
      <c r="E333" s="12" t="s">
        <v>45</v>
      </c>
      <c r="F333" s="12" t="s">
        <v>45</v>
      </c>
      <c r="G333" s="12" t="s">
        <v>337</v>
      </c>
      <c r="H333" s="12"/>
      <c r="I333" s="12" t="s">
        <v>145</v>
      </c>
      <c r="J333" s="12" t="s">
        <v>47</v>
      </c>
      <c r="K333" s="12" t="s">
        <v>49</v>
      </c>
      <c r="L333" s="12" t="s">
        <v>49</v>
      </c>
      <c r="M333" s="11" t="s">
        <v>56</v>
      </c>
      <c r="N333" s="11" t="s">
        <v>57</v>
      </c>
      <c r="O333" s="11" t="s">
        <v>126</v>
      </c>
      <c r="P333" s="11" t="s">
        <v>94</v>
      </c>
      <c r="Q333" s="50" t="s">
        <v>119</v>
      </c>
      <c r="R333" s="47">
        <v>6</v>
      </c>
      <c r="S333" s="48">
        <v>29.17</v>
      </c>
      <c r="T333" s="48">
        <v>1.17</v>
      </c>
      <c r="U333" s="48">
        <v>6</v>
      </c>
      <c r="V333" s="47">
        <v>29</v>
      </c>
      <c r="W333" s="48">
        <v>1.1000000000000001</v>
      </c>
      <c r="X333" s="130">
        <f t="shared" si="57"/>
        <v>-0.17000000000000171</v>
      </c>
      <c r="Y333" s="16">
        <f t="shared" si="58"/>
        <v>0.46402226958053072</v>
      </c>
      <c r="Z333" s="15">
        <f t="shared" si="61"/>
        <v>-0.57000000000000384</v>
      </c>
      <c r="AA333" s="16">
        <f t="shared" si="62"/>
        <v>27.229066666666668</v>
      </c>
      <c r="AB333" s="16">
        <f t="shared" si="63"/>
        <v>3.159745418718273</v>
      </c>
      <c r="AC333" s="66" t="s">
        <v>49</v>
      </c>
      <c r="AD333" s="51" t="s">
        <v>339</v>
      </c>
      <c r="AE333" s="13">
        <v>6</v>
      </c>
      <c r="AF333" s="13">
        <v>3</v>
      </c>
      <c r="AG333" s="13">
        <v>37.5</v>
      </c>
      <c r="AH333" s="134">
        <v>205460</v>
      </c>
      <c r="AI333" s="134">
        <v>4.3</v>
      </c>
      <c r="AJ333" s="135">
        <f t="shared" si="59"/>
        <v>161.25</v>
      </c>
      <c r="AK333" s="136">
        <f t="shared" si="60"/>
        <v>483.75</v>
      </c>
      <c r="AL333" s="136" t="str" cm="1">
        <f t="array" ref="AL333">_xlfn.IFS(
AI333&lt;3,"Ligera",
AI333&lt;=6,"Moderada",
AI333&gt;6,"Vigorosa"
)</f>
        <v>Moderada</v>
      </c>
      <c r="AM333" s="45" t="s">
        <v>48</v>
      </c>
      <c r="AN333" s="46" t="s">
        <v>60</v>
      </c>
      <c r="AO333" s="46" t="s">
        <v>61</v>
      </c>
      <c r="AP333" s="289" t="s">
        <v>62</v>
      </c>
      <c r="AQ333" s="139">
        <v>0</v>
      </c>
    </row>
    <row r="334" spans="1:43" ht="81.75" customHeight="1" thickBot="1">
      <c r="A334" s="138" t="s">
        <v>336</v>
      </c>
      <c r="B334" s="12">
        <v>11</v>
      </c>
      <c r="C334" s="12">
        <v>86.4</v>
      </c>
      <c r="D334" s="12">
        <v>20</v>
      </c>
      <c r="E334" s="12" t="s">
        <v>45</v>
      </c>
      <c r="F334" s="12" t="s">
        <v>45</v>
      </c>
      <c r="G334" s="12" t="s">
        <v>337</v>
      </c>
      <c r="H334" s="12"/>
      <c r="I334" s="12" t="s">
        <v>145</v>
      </c>
      <c r="J334" s="12" t="s">
        <v>47</v>
      </c>
      <c r="K334" s="12" t="s">
        <v>49</v>
      </c>
      <c r="L334" s="12" t="s">
        <v>49</v>
      </c>
      <c r="M334" s="11" t="s">
        <v>50</v>
      </c>
      <c r="N334" s="11" t="s">
        <v>50</v>
      </c>
      <c r="O334" s="11" t="s">
        <v>50</v>
      </c>
      <c r="P334" s="11" t="s">
        <v>51</v>
      </c>
      <c r="Q334" s="50" t="s">
        <v>91</v>
      </c>
      <c r="R334" s="47">
        <v>5</v>
      </c>
      <c r="S334" s="48">
        <v>3.6</v>
      </c>
      <c r="T334" s="48">
        <v>3.13</v>
      </c>
      <c r="U334" s="48">
        <v>5</v>
      </c>
      <c r="V334" s="47">
        <v>3.4</v>
      </c>
      <c r="W334" s="52">
        <v>3.29</v>
      </c>
      <c r="X334" s="130">
        <f t="shared" si="57"/>
        <v>-0.20000000000000018</v>
      </c>
      <c r="Y334" s="16">
        <f t="shared" si="58"/>
        <v>1.4368924803199437</v>
      </c>
      <c r="Z334" s="286" t="s">
        <v>53</v>
      </c>
      <c r="AA334" s="286" t="s">
        <v>53</v>
      </c>
      <c r="AB334" s="287">
        <v>1.4368924803199437</v>
      </c>
      <c r="AC334" s="66" t="s">
        <v>49</v>
      </c>
      <c r="AD334" s="51" t="s">
        <v>338</v>
      </c>
      <c r="AE334" s="13">
        <v>6</v>
      </c>
      <c r="AF334" s="13">
        <v>0</v>
      </c>
      <c r="AG334" s="13">
        <v>0</v>
      </c>
      <c r="AH334" s="134">
        <v>0</v>
      </c>
      <c r="AI334" s="134">
        <v>0</v>
      </c>
      <c r="AJ334" s="135">
        <f t="shared" si="59"/>
        <v>0</v>
      </c>
      <c r="AK334" s="136">
        <f t="shared" si="60"/>
        <v>0</v>
      </c>
      <c r="AL334" s="136" t="str" cm="1">
        <f t="array" ref="AL334">_xlfn.IFS(
AI334&lt;3,"Ligera",
AI334&lt;=6,"Moderada",
AI334&gt;6,"Vigorosa"
)</f>
        <v>Ligera</v>
      </c>
      <c r="AM334" s="45" t="s">
        <v>49</v>
      </c>
      <c r="AN334" s="46" t="s">
        <v>49</v>
      </c>
      <c r="AO334" s="46" t="s">
        <v>49</v>
      </c>
      <c r="AP334" s="289" t="s">
        <v>49</v>
      </c>
      <c r="AQ334" s="139">
        <v>0</v>
      </c>
    </row>
    <row r="335" spans="1:43" ht="97.5" customHeight="1" thickBot="1">
      <c r="A335" s="138" t="s">
        <v>336</v>
      </c>
      <c r="B335" s="12">
        <v>11</v>
      </c>
      <c r="C335" s="12">
        <v>85.83</v>
      </c>
      <c r="D335" s="12">
        <v>50</v>
      </c>
      <c r="E335" s="12" t="s">
        <v>45</v>
      </c>
      <c r="F335" s="12" t="s">
        <v>45</v>
      </c>
      <c r="G335" s="12" t="s">
        <v>337</v>
      </c>
      <c r="H335" s="12"/>
      <c r="I335" s="12" t="s">
        <v>145</v>
      </c>
      <c r="J335" s="12" t="s">
        <v>47</v>
      </c>
      <c r="K335" s="12" t="s">
        <v>49</v>
      </c>
      <c r="L335" s="12" t="s">
        <v>49</v>
      </c>
      <c r="M335" s="11" t="s">
        <v>56</v>
      </c>
      <c r="N335" s="11" t="s">
        <v>57</v>
      </c>
      <c r="O335" s="11" t="s">
        <v>126</v>
      </c>
      <c r="P335" s="11" t="s">
        <v>51</v>
      </c>
      <c r="Q335" s="50" t="s">
        <v>91</v>
      </c>
      <c r="R335" s="47">
        <v>6</v>
      </c>
      <c r="S335" s="48">
        <v>5.83</v>
      </c>
      <c r="T335" s="48">
        <v>1.94</v>
      </c>
      <c r="U335" s="48">
        <v>6</v>
      </c>
      <c r="V335" s="47">
        <v>7.33</v>
      </c>
      <c r="W335" s="48">
        <v>2.25</v>
      </c>
      <c r="X335" s="130">
        <f t="shared" si="57"/>
        <v>1.5</v>
      </c>
      <c r="Y335" s="16">
        <f t="shared" si="58"/>
        <v>0.86227412501284462</v>
      </c>
      <c r="Z335" s="15">
        <f t="shared" si="61"/>
        <v>1.7000000000000002</v>
      </c>
      <c r="AA335" s="16">
        <f t="shared" si="62"/>
        <v>7.6232111111111118</v>
      </c>
      <c r="AB335" s="16">
        <f t="shared" si="63"/>
        <v>1.6718784068847257</v>
      </c>
      <c r="AC335" s="66" t="s">
        <v>49</v>
      </c>
      <c r="AD335" s="51" t="s">
        <v>339</v>
      </c>
      <c r="AE335" s="13">
        <v>6</v>
      </c>
      <c r="AF335" s="13">
        <v>3</v>
      </c>
      <c r="AG335" s="13">
        <v>37.5</v>
      </c>
      <c r="AH335" s="134">
        <v>205460</v>
      </c>
      <c r="AI335" s="134">
        <v>4.3</v>
      </c>
      <c r="AJ335" s="135">
        <f t="shared" si="59"/>
        <v>161.25</v>
      </c>
      <c r="AK335" s="136">
        <f t="shared" si="60"/>
        <v>483.75</v>
      </c>
      <c r="AL335" s="136" t="str" cm="1">
        <f t="array" ref="AL335">_xlfn.IFS(
AI335&lt;3,"Ligera",
AI335&lt;=6,"Moderada",
AI335&gt;6,"Vigorosa"
)</f>
        <v>Moderada</v>
      </c>
      <c r="AM335" s="45" t="s">
        <v>48</v>
      </c>
      <c r="AN335" s="46" t="s">
        <v>60</v>
      </c>
      <c r="AO335" s="46" t="s">
        <v>61</v>
      </c>
      <c r="AP335" s="289" t="s">
        <v>62</v>
      </c>
      <c r="AQ335" s="139">
        <v>0</v>
      </c>
    </row>
    <row r="336" spans="1:43" ht="81.75" customHeight="1" thickBot="1">
      <c r="A336" s="124" t="s">
        <v>342</v>
      </c>
      <c r="B336" s="125">
        <v>71</v>
      </c>
      <c r="C336" s="125" t="s">
        <v>47</v>
      </c>
      <c r="D336" s="125">
        <v>10</v>
      </c>
      <c r="E336" s="125" t="s">
        <v>45</v>
      </c>
      <c r="F336" s="125" t="s">
        <v>45</v>
      </c>
      <c r="G336" s="125" t="s">
        <v>343</v>
      </c>
      <c r="H336" s="125"/>
      <c r="I336" s="125" t="s">
        <v>45</v>
      </c>
      <c r="J336" s="125" t="s">
        <v>47</v>
      </c>
      <c r="K336" s="125" t="s">
        <v>49</v>
      </c>
      <c r="L336" s="125" t="s">
        <v>49</v>
      </c>
      <c r="M336" s="126" t="s">
        <v>50</v>
      </c>
      <c r="N336" s="126" t="s">
        <v>50</v>
      </c>
      <c r="O336" s="126" t="s">
        <v>50</v>
      </c>
      <c r="P336" s="11" t="s">
        <v>86</v>
      </c>
      <c r="Q336" s="159" t="s">
        <v>87</v>
      </c>
      <c r="R336" s="167">
        <v>29</v>
      </c>
      <c r="S336" s="168">
        <v>47.86</v>
      </c>
      <c r="T336" s="168">
        <v>2.72</v>
      </c>
      <c r="U336" s="168">
        <v>29</v>
      </c>
      <c r="V336" s="167">
        <v>46.21</v>
      </c>
      <c r="W336" s="179">
        <v>3.16</v>
      </c>
      <c r="X336" s="130">
        <f t="shared" si="57"/>
        <v>-1.6499999999999986</v>
      </c>
      <c r="Y336" s="16">
        <f t="shared" si="58"/>
        <v>0.55051073465057643</v>
      </c>
      <c r="Z336" s="286" t="s">
        <v>53</v>
      </c>
      <c r="AA336" s="286" t="s">
        <v>53</v>
      </c>
      <c r="AB336" s="287">
        <v>0.55051073465057643</v>
      </c>
      <c r="AC336" s="66" t="s">
        <v>49</v>
      </c>
      <c r="AD336" s="133" t="s">
        <v>344</v>
      </c>
      <c r="AE336" s="134">
        <v>16</v>
      </c>
      <c r="AF336" s="134">
        <v>0</v>
      </c>
      <c r="AG336" s="134">
        <v>0</v>
      </c>
      <c r="AH336" s="134">
        <v>0</v>
      </c>
      <c r="AI336" s="134">
        <v>0</v>
      </c>
      <c r="AJ336" s="135">
        <f t="shared" si="59"/>
        <v>0</v>
      </c>
      <c r="AK336" s="136">
        <f t="shared" si="60"/>
        <v>0</v>
      </c>
      <c r="AL336" s="136" t="str" cm="1">
        <f t="array" ref="AL336">_xlfn.IFS(
AI336&lt;3,"Ligera",
AI336&lt;=6,"Moderada",
AI336&gt;6,"Vigorosa"
)</f>
        <v>Ligera</v>
      </c>
      <c r="AM336" s="136" t="s">
        <v>49</v>
      </c>
      <c r="AN336" s="135" t="s">
        <v>49</v>
      </c>
      <c r="AO336" s="135" t="s">
        <v>49</v>
      </c>
      <c r="AP336" s="288" t="s">
        <v>49</v>
      </c>
      <c r="AQ336" s="137">
        <v>0</v>
      </c>
    </row>
    <row r="337" spans="1:43" ht="97.5" customHeight="1" thickBot="1">
      <c r="A337" s="138" t="s">
        <v>342</v>
      </c>
      <c r="B337" s="12">
        <v>71</v>
      </c>
      <c r="C337" s="12" t="s">
        <v>47</v>
      </c>
      <c r="D337" s="12">
        <v>5</v>
      </c>
      <c r="E337" s="12" t="s">
        <v>45</v>
      </c>
      <c r="F337" s="12" t="s">
        <v>45</v>
      </c>
      <c r="G337" s="12" t="s">
        <v>343</v>
      </c>
      <c r="H337" s="12"/>
      <c r="I337" s="12" t="s">
        <v>45</v>
      </c>
      <c r="J337" s="12" t="s">
        <v>47</v>
      </c>
      <c r="K337" s="12" t="s">
        <v>49</v>
      </c>
      <c r="L337" s="12" t="s">
        <v>49</v>
      </c>
      <c r="M337" s="11" t="s">
        <v>56</v>
      </c>
      <c r="N337" s="11" t="s">
        <v>76</v>
      </c>
      <c r="O337" s="11" t="s">
        <v>103</v>
      </c>
      <c r="P337" s="11" t="s">
        <v>86</v>
      </c>
      <c r="Q337" s="50" t="s">
        <v>87</v>
      </c>
      <c r="R337" s="47">
        <v>42</v>
      </c>
      <c r="S337" s="48">
        <v>48.98</v>
      </c>
      <c r="T337" s="48">
        <v>2.7</v>
      </c>
      <c r="U337" s="48">
        <v>42</v>
      </c>
      <c r="V337" s="47">
        <v>49.79</v>
      </c>
      <c r="W337" s="48">
        <v>2.7</v>
      </c>
      <c r="X337" s="130">
        <f t="shared" si="57"/>
        <v>0.81000000000000227</v>
      </c>
      <c r="Y337" s="16">
        <f t="shared" si="58"/>
        <v>0.41661904489764817</v>
      </c>
      <c r="Z337" s="15">
        <f t="shared" si="61"/>
        <v>2.4600000000000009</v>
      </c>
      <c r="AA337" s="16">
        <f t="shared" si="62"/>
        <v>8.3838666666666679</v>
      </c>
      <c r="AB337" s="16">
        <f t="shared" si="63"/>
        <v>0.6990813426137088</v>
      </c>
      <c r="AC337" s="66" t="s">
        <v>49</v>
      </c>
      <c r="AD337" s="51" t="s">
        <v>345</v>
      </c>
      <c r="AE337" s="13">
        <v>16</v>
      </c>
      <c r="AF337" s="13">
        <v>3</v>
      </c>
      <c r="AG337" s="13">
        <v>45</v>
      </c>
      <c r="AH337" s="13" t="s">
        <v>346</v>
      </c>
      <c r="AI337" s="13">
        <v>3.43</v>
      </c>
      <c r="AJ337" s="135">
        <v>156</v>
      </c>
      <c r="AK337" s="136">
        <f t="shared" si="60"/>
        <v>468</v>
      </c>
      <c r="AL337" s="136" t="str" cm="1">
        <f t="array" ref="AL337">_xlfn.IFS(
AI337&lt;3,"Ligera",
AI337&lt;=6,"Moderada",
AI337&gt;6,"Vigorosa"
)</f>
        <v>Moderada</v>
      </c>
      <c r="AM337" s="45" t="s">
        <v>49</v>
      </c>
      <c r="AN337" s="46" t="s">
        <v>49</v>
      </c>
      <c r="AO337" s="46" t="s">
        <v>61</v>
      </c>
      <c r="AP337" s="289" t="s">
        <v>173</v>
      </c>
      <c r="AQ337" s="139">
        <v>0</v>
      </c>
    </row>
    <row r="338" spans="1:43" ht="81.75" customHeight="1" thickBot="1">
      <c r="A338" s="138" t="s">
        <v>342</v>
      </c>
      <c r="B338" s="12">
        <v>71</v>
      </c>
      <c r="C338" s="12" t="s">
        <v>47</v>
      </c>
      <c r="D338" s="12">
        <v>10</v>
      </c>
      <c r="E338" s="12" t="s">
        <v>45</v>
      </c>
      <c r="F338" s="12" t="s">
        <v>45</v>
      </c>
      <c r="G338" s="12" t="s">
        <v>343</v>
      </c>
      <c r="H338" s="12"/>
      <c r="I338" s="12" t="s">
        <v>45</v>
      </c>
      <c r="J338" s="12" t="s">
        <v>47</v>
      </c>
      <c r="K338" s="12" t="s">
        <v>49</v>
      </c>
      <c r="L338" s="12" t="s">
        <v>49</v>
      </c>
      <c r="M338" s="11" t="s">
        <v>50</v>
      </c>
      <c r="N338" s="11" t="s">
        <v>50</v>
      </c>
      <c r="O338" s="11" t="s">
        <v>50</v>
      </c>
      <c r="P338" s="11" t="s">
        <v>51</v>
      </c>
      <c r="Q338" s="50" t="s">
        <v>166</v>
      </c>
      <c r="R338" s="47">
        <v>29</v>
      </c>
      <c r="S338" s="48">
        <v>49.38</v>
      </c>
      <c r="T338" s="48">
        <v>6.7</v>
      </c>
      <c r="U338" s="48">
        <v>29</v>
      </c>
      <c r="V338" s="47">
        <v>49.59</v>
      </c>
      <c r="W338" s="52">
        <v>11.67</v>
      </c>
      <c r="X338" s="130">
        <f t="shared" si="57"/>
        <v>0.21000000000000085</v>
      </c>
      <c r="Y338" s="16">
        <f t="shared" si="58"/>
        <v>1.8835943263364583</v>
      </c>
      <c r="Z338" s="286" t="s">
        <v>53</v>
      </c>
      <c r="AA338" s="286" t="s">
        <v>53</v>
      </c>
      <c r="AB338" s="287">
        <v>1.8835943263364583</v>
      </c>
      <c r="AC338" s="66" t="s">
        <v>49</v>
      </c>
      <c r="AD338" s="51" t="s">
        <v>344</v>
      </c>
      <c r="AE338" s="13">
        <v>16</v>
      </c>
      <c r="AF338" s="13">
        <v>0</v>
      </c>
      <c r="AG338" s="13">
        <v>0</v>
      </c>
      <c r="AH338" s="134">
        <v>0</v>
      </c>
      <c r="AI338" s="134">
        <v>0</v>
      </c>
      <c r="AJ338" s="135">
        <f t="shared" si="59"/>
        <v>0</v>
      </c>
      <c r="AK338" s="136">
        <f t="shared" si="60"/>
        <v>0</v>
      </c>
      <c r="AL338" s="136" t="str" cm="1">
        <f t="array" ref="AL338">_xlfn.IFS(
AI338&lt;3,"Ligera",
AI338&lt;=6,"Moderada",
AI338&gt;6,"Vigorosa"
)</f>
        <v>Ligera</v>
      </c>
      <c r="AM338" s="45" t="s">
        <v>49</v>
      </c>
      <c r="AN338" s="46" t="s">
        <v>49</v>
      </c>
      <c r="AO338" s="46" t="s">
        <v>49</v>
      </c>
      <c r="AP338" s="289" t="s">
        <v>49</v>
      </c>
      <c r="AQ338" s="139">
        <v>0</v>
      </c>
    </row>
    <row r="339" spans="1:43" ht="97.5" customHeight="1" thickBot="1">
      <c r="A339" s="140" t="s">
        <v>342</v>
      </c>
      <c r="B339" s="141">
        <v>71</v>
      </c>
      <c r="C339" s="141" t="s">
        <v>47</v>
      </c>
      <c r="D339" s="141">
        <v>5</v>
      </c>
      <c r="E339" s="141" t="s">
        <v>45</v>
      </c>
      <c r="F339" s="141" t="s">
        <v>45</v>
      </c>
      <c r="G339" s="141" t="s">
        <v>343</v>
      </c>
      <c r="H339" s="141"/>
      <c r="I339" s="141" t="s">
        <v>45</v>
      </c>
      <c r="J339" s="141" t="s">
        <v>47</v>
      </c>
      <c r="K339" s="141" t="s">
        <v>49</v>
      </c>
      <c r="L339" s="141" t="s">
        <v>49</v>
      </c>
      <c r="M339" s="142" t="s">
        <v>56</v>
      </c>
      <c r="N339" s="142" t="s">
        <v>76</v>
      </c>
      <c r="O339" s="142" t="s">
        <v>103</v>
      </c>
      <c r="P339" s="142" t="s">
        <v>51</v>
      </c>
      <c r="Q339" s="158" t="s">
        <v>166</v>
      </c>
      <c r="R339" s="169">
        <v>42</v>
      </c>
      <c r="S339" s="170">
        <v>51.64</v>
      </c>
      <c r="T339" s="170">
        <v>5.44</v>
      </c>
      <c r="U339" s="170">
        <v>42</v>
      </c>
      <c r="V339" s="169">
        <v>60.26</v>
      </c>
      <c r="W339" s="170">
        <v>7.64</v>
      </c>
      <c r="X339" s="130">
        <f t="shared" si="57"/>
        <v>8.6199999999999974</v>
      </c>
      <c r="Y339" s="16">
        <f t="shared" si="58"/>
        <v>1.0510946674776731</v>
      </c>
      <c r="Z339" s="15">
        <f t="shared" si="61"/>
        <v>8.4099999999999966</v>
      </c>
      <c r="AA339" s="16">
        <f t="shared" si="62"/>
        <v>89.948446376811589</v>
      </c>
      <c r="AB339" s="16">
        <f t="shared" si="63"/>
        <v>2.2898253733322136</v>
      </c>
      <c r="AC339" s="66" t="s">
        <v>49</v>
      </c>
      <c r="AD339" s="151" t="s">
        <v>345</v>
      </c>
      <c r="AE339" s="146">
        <v>16</v>
      </c>
      <c r="AF339" s="146">
        <v>3</v>
      </c>
      <c r="AG339" s="146">
        <v>45</v>
      </c>
      <c r="AH339" s="13" t="s">
        <v>346</v>
      </c>
      <c r="AI339" s="13">
        <v>3.43</v>
      </c>
      <c r="AJ339" s="135">
        <v>156</v>
      </c>
      <c r="AK339" s="136">
        <f t="shared" si="60"/>
        <v>468</v>
      </c>
      <c r="AL339" s="136" t="str" cm="1">
        <f t="array" ref="AL339">_xlfn.IFS(
AI339&lt;3,"Ligera",
AI339&lt;=6,"Moderada",
AI339&gt;6,"Vigorosa"
)</f>
        <v>Moderada</v>
      </c>
      <c r="AM339" s="147" t="s">
        <v>49</v>
      </c>
      <c r="AN339" s="148" t="s">
        <v>49</v>
      </c>
      <c r="AO339" s="148" t="s">
        <v>61</v>
      </c>
      <c r="AP339" s="290" t="s">
        <v>155</v>
      </c>
      <c r="AQ339" s="149">
        <v>0</v>
      </c>
    </row>
    <row r="340" spans="1:43" ht="68.25" customHeight="1" thickBot="1">
      <c r="A340" s="138" t="s">
        <v>347</v>
      </c>
      <c r="B340" s="12">
        <v>61</v>
      </c>
      <c r="C340" s="12">
        <v>79.25</v>
      </c>
      <c r="D340" s="12">
        <v>49.2</v>
      </c>
      <c r="E340" s="12" t="s">
        <v>45</v>
      </c>
      <c r="F340" s="12" t="s">
        <v>45</v>
      </c>
      <c r="G340" s="12" t="s">
        <v>328</v>
      </c>
      <c r="H340" s="12"/>
      <c r="I340" s="12" t="s">
        <v>45</v>
      </c>
      <c r="J340" s="12" t="s">
        <v>47</v>
      </c>
      <c r="K340" s="12" t="s">
        <v>49</v>
      </c>
      <c r="L340" s="12" t="s">
        <v>49</v>
      </c>
      <c r="M340" s="11" t="s">
        <v>50</v>
      </c>
      <c r="N340" s="11" t="s">
        <v>50</v>
      </c>
      <c r="O340" s="11" t="s">
        <v>50</v>
      </c>
      <c r="P340" s="11" t="s">
        <v>51</v>
      </c>
      <c r="Q340" s="50" t="s">
        <v>92</v>
      </c>
      <c r="R340" s="47">
        <v>30</v>
      </c>
      <c r="S340" s="48">
        <v>9.6199999999999992</v>
      </c>
      <c r="T340" s="52">
        <v>4.51</v>
      </c>
      <c r="U340" s="48">
        <v>30</v>
      </c>
      <c r="V340" s="47">
        <v>9.26</v>
      </c>
      <c r="W340" s="48">
        <v>5.08</v>
      </c>
      <c r="X340" s="130">
        <f t="shared" si="57"/>
        <v>-0.35999999999999943</v>
      </c>
      <c r="Y340" s="16">
        <f t="shared" si="58"/>
        <v>0.88007007296767759</v>
      </c>
      <c r="Z340" s="286" t="s">
        <v>53</v>
      </c>
      <c r="AA340" s="286" t="s">
        <v>53</v>
      </c>
      <c r="AB340" s="287">
        <v>0.88007007296767759</v>
      </c>
      <c r="AC340" s="66" t="s">
        <v>49</v>
      </c>
      <c r="AD340" s="51" t="s">
        <v>348</v>
      </c>
      <c r="AE340" s="13">
        <v>12</v>
      </c>
      <c r="AF340" s="13">
        <v>0</v>
      </c>
      <c r="AG340" s="13">
        <v>0</v>
      </c>
      <c r="AH340" s="134">
        <v>0</v>
      </c>
      <c r="AI340" s="134">
        <v>0</v>
      </c>
      <c r="AJ340" s="135">
        <f t="shared" si="59"/>
        <v>0</v>
      </c>
      <c r="AK340" s="136">
        <f t="shared" si="60"/>
        <v>0</v>
      </c>
      <c r="AL340" s="136" t="str" cm="1">
        <f t="array" ref="AL340">_xlfn.IFS(
AI340&lt;3,"Ligera",
AI340&lt;=6,"Moderada",
AI340&gt;6,"Vigorosa"
)</f>
        <v>Ligera</v>
      </c>
      <c r="AM340" s="45" t="s">
        <v>49</v>
      </c>
      <c r="AN340" s="46" t="s">
        <v>49</v>
      </c>
      <c r="AO340" s="46" t="s">
        <v>49</v>
      </c>
      <c r="AP340" s="289" t="s">
        <v>49</v>
      </c>
      <c r="AQ340" s="139">
        <v>0</v>
      </c>
    </row>
    <row r="341" spans="1:43" ht="78" customHeight="1" thickBot="1">
      <c r="A341" s="138" t="s">
        <v>347</v>
      </c>
      <c r="B341" s="12">
        <v>61</v>
      </c>
      <c r="C341" s="12">
        <v>79.25</v>
      </c>
      <c r="D341" s="12">
        <v>49.2</v>
      </c>
      <c r="E341" s="12" t="s">
        <v>45</v>
      </c>
      <c r="F341" s="12" t="s">
        <v>45</v>
      </c>
      <c r="G341" s="12" t="s">
        <v>328</v>
      </c>
      <c r="H341" s="12"/>
      <c r="I341" s="12" t="s">
        <v>45</v>
      </c>
      <c r="J341" s="12" t="s">
        <v>47</v>
      </c>
      <c r="K341" s="12" t="s">
        <v>49</v>
      </c>
      <c r="L341" s="12" t="s">
        <v>49</v>
      </c>
      <c r="M341" s="11" t="s">
        <v>56</v>
      </c>
      <c r="N341" s="11" t="s">
        <v>57</v>
      </c>
      <c r="O341" s="11" t="s">
        <v>147</v>
      </c>
      <c r="P341" s="11" t="s">
        <v>51</v>
      </c>
      <c r="Q341" s="50" t="s">
        <v>92</v>
      </c>
      <c r="R341" s="47">
        <v>31</v>
      </c>
      <c r="S341" s="48">
        <v>12.45</v>
      </c>
      <c r="T341" s="52">
        <v>7.94</v>
      </c>
      <c r="U341" s="48">
        <v>31</v>
      </c>
      <c r="V341" s="47">
        <v>13.9</v>
      </c>
      <c r="W341" s="48">
        <v>7.96</v>
      </c>
      <c r="X341" s="130">
        <f t="shared" si="57"/>
        <v>1.4500000000000011</v>
      </c>
      <c r="Y341" s="16">
        <f t="shared" si="58"/>
        <v>1.4278655398881228</v>
      </c>
      <c r="Z341" s="15">
        <f t="shared" si="61"/>
        <v>1.8100000000000005</v>
      </c>
      <c r="AA341" s="16">
        <f t="shared" si="62"/>
        <v>44.902264406779665</v>
      </c>
      <c r="AB341" s="16">
        <f t="shared" si="63"/>
        <v>1.7161591677483874</v>
      </c>
      <c r="AC341" s="66" t="s">
        <v>49</v>
      </c>
      <c r="AD341" s="51" t="s">
        <v>349</v>
      </c>
      <c r="AE341" s="13">
        <v>12</v>
      </c>
      <c r="AF341" s="13">
        <v>3</v>
      </c>
      <c r="AG341" s="13">
        <v>40</v>
      </c>
      <c r="AH341" s="134" t="s">
        <v>350</v>
      </c>
      <c r="AI341" s="134">
        <v>2.75</v>
      </c>
      <c r="AJ341" s="135">
        <v>115</v>
      </c>
      <c r="AK341" s="136">
        <f t="shared" si="60"/>
        <v>345</v>
      </c>
      <c r="AL341" s="136" t="str" cm="1">
        <f t="array" ref="AL341">_xlfn.IFS(
AI341&lt;3,"Ligera",
AI341&lt;=6,"Moderada",
AI341&gt;6,"Vigorosa"
)</f>
        <v>Ligera</v>
      </c>
      <c r="AM341" s="45" t="s">
        <v>49</v>
      </c>
      <c r="AN341" s="46" t="s">
        <v>49</v>
      </c>
      <c r="AO341" s="46" t="s">
        <v>61</v>
      </c>
      <c r="AP341" s="289" t="s">
        <v>155</v>
      </c>
      <c r="AQ341" s="139">
        <v>0</v>
      </c>
    </row>
    <row r="342" spans="1:43" ht="68.25" customHeight="1" thickBot="1">
      <c r="A342" s="138" t="s">
        <v>347</v>
      </c>
      <c r="B342" s="12">
        <v>61</v>
      </c>
      <c r="C342" s="12">
        <v>79.25</v>
      </c>
      <c r="D342" s="12">
        <v>49.2</v>
      </c>
      <c r="E342" s="12" t="s">
        <v>45</v>
      </c>
      <c r="F342" s="12" t="s">
        <v>45</v>
      </c>
      <c r="G342" s="12" t="s">
        <v>328</v>
      </c>
      <c r="H342" s="12"/>
      <c r="I342" s="12" t="s">
        <v>45</v>
      </c>
      <c r="J342" s="12" t="s">
        <v>47</v>
      </c>
      <c r="K342" s="12" t="s">
        <v>49</v>
      </c>
      <c r="L342" s="12" t="s">
        <v>49</v>
      </c>
      <c r="M342" s="11" t="s">
        <v>50</v>
      </c>
      <c r="N342" s="11" t="s">
        <v>50</v>
      </c>
      <c r="O342" s="11" t="s">
        <v>50</v>
      </c>
      <c r="P342" s="11" t="s">
        <v>86</v>
      </c>
      <c r="Q342" s="50" t="s">
        <v>87</v>
      </c>
      <c r="R342" s="47">
        <v>30</v>
      </c>
      <c r="S342" s="48">
        <v>11.33</v>
      </c>
      <c r="T342" s="52">
        <v>3.82</v>
      </c>
      <c r="U342" s="48">
        <v>30</v>
      </c>
      <c r="V342" s="47">
        <v>11</v>
      </c>
      <c r="W342" s="48">
        <v>4.7300000000000004</v>
      </c>
      <c r="X342" s="130">
        <f t="shared" ref="X342:X404" si="64">V342-S342</f>
        <v>-0.33000000000000007</v>
      </c>
      <c r="Y342" s="16">
        <f t="shared" si="58"/>
        <v>0.79365609680767923</v>
      </c>
      <c r="Z342" s="286" t="s">
        <v>53</v>
      </c>
      <c r="AA342" s="286" t="s">
        <v>53</v>
      </c>
      <c r="AB342" s="287">
        <v>0.79365609680767923</v>
      </c>
      <c r="AC342" s="66" t="s">
        <v>49</v>
      </c>
      <c r="AD342" s="51" t="s">
        <v>348</v>
      </c>
      <c r="AE342" s="13">
        <v>12</v>
      </c>
      <c r="AF342" s="13">
        <v>0</v>
      </c>
      <c r="AG342" s="13">
        <v>0</v>
      </c>
      <c r="AH342" s="134">
        <v>0</v>
      </c>
      <c r="AI342" s="134">
        <v>0</v>
      </c>
      <c r="AJ342" s="135">
        <f t="shared" ref="AJ342:AJ404" si="65">AI342*AG342</f>
        <v>0</v>
      </c>
      <c r="AK342" s="136">
        <f t="shared" ref="AK342:AK404" si="66">AJ342*AF342</f>
        <v>0</v>
      </c>
      <c r="AL342" s="136" t="str" cm="1">
        <f t="array" ref="AL342">_xlfn.IFS(
AI342&lt;3,"Ligera",
AI342&lt;=6,"Moderada",
AI342&gt;6,"Vigorosa"
)</f>
        <v>Ligera</v>
      </c>
      <c r="AM342" s="45" t="s">
        <v>49</v>
      </c>
      <c r="AN342" s="46" t="s">
        <v>49</v>
      </c>
      <c r="AO342" s="46" t="s">
        <v>49</v>
      </c>
      <c r="AP342" s="289" t="s">
        <v>49</v>
      </c>
      <c r="AQ342" s="139">
        <v>0</v>
      </c>
    </row>
    <row r="343" spans="1:43" ht="78" customHeight="1" thickBot="1">
      <c r="A343" s="138" t="s">
        <v>347</v>
      </c>
      <c r="B343" s="12">
        <v>61</v>
      </c>
      <c r="C343" s="12">
        <v>79.25</v>
      </c>
      <c r="D343" s="12">
        <v>49.2</v>
      </c>
      <c r="E343" s="12" t="s">
        <v>45</v>
      </c>
      <c r="F343" s="12" t="s">
        <v>45</v>
      </c>
      <c r="G343" s="12" t="s">
        <v>328</v>
      </c>
      <c r="H343" s="12"/>
      <c r="I343" s="12" t="s">
        <v>45</v>
      </c>
      <c r="J343" s="12" t="s">
        <v>47</v>
      </c>
      <c r="K343" s="12" t="s">
        <v>49</v>
      </c>
      <c r="L343" s="12" t="s">
        <v>49</v>
      </c>
      <c r="M343" s="11" t="s">
        <v>56</v>
      </c>
      <c r="N343" s="11" t="s">
        <v>57</v>
      </c>
      <c r="O343" s="11" t="s">
        <v>147</v>
      </c>
      <c r="P343" s="11" t="s">
        <v>86</v>
      </c>
      <c r="Q343" s="50" t="s">
        <v>87</v>
      </c>
      <c r="R343" s="47">
        <v>31</v>
      </c>
      <c r="S343" s="48">
        <v>13.81</v>
      </c>
      <c r="T343" s="52">
        <v>3.79</v>
      </c>
      <c r="U343" s="48">
        <v>31</v>
      </c>
      <c r="V343" s="47">
        <v>14.06</v>
      </c>
      <c r="W343" s="48">
        <v>4.8</v>
      </c>
      <c r="X343" s="130">
        <f t="shared" si="64"/>
        <v>0.25</v>
      </c>
      <c r="Y343" s="16">
        <f t="shared" ref="Y343:Y404" si="67">SQRT((T343^2+W343^2-(2*0.5*T343*W343)))/SQRT(U343)</f>
        <v>0.78723894802678729</v>
      </c>
      <c r="Z343" s="15">
        <f t="shared" si="61"/>
        <v>0.58000000000000007</v>
      </c>
      <c r="AA343" s="16">
        <f t="shared" si="62"/>
        <v>22.71210338983051</v>
      </c>
      <c r="AB343" s="16">
        <f t="shared" si="63"/>
        <v>1.2205402940667283</v>
      </c>
      <c r="AC343" s="66" t="s">
        <v>49</v>
      </c>
      <c r="AD343" s="51" t="s">
        <v>349</v>
      </c>
      <c r="AE343" s="13">
        <v>12</v>
      </c>
      <c r="AF343" s="13">
        <v>3</v>
      </c>
      <c r="AG343" s="13">
        <v>40</v>
      </c>
      <c r="AH343" s="134" t="s">
        <v>350</v>
      </c>
      <c r="AI343" s="134">
        <v>2.75</v>
      </c>
      <c r="AJ343" s="135">
        <v>115</v>
      </c>
      <c r="AK343" s="136">
        <f t="shared" si="66"/>
        <v>345</v>
      </c>
      <c r="AL343" s="136" t="str" cm="1">
        <f t="array" ref="AL343">_xlfn.IFS(
AI343&lt;3,"Ligera",
AI343&lt;=6,"Moderada",
AI343&gt;6,"Vigorosa"
)</f>
        <v>Ligera</v>
      </c>
      <c r="AM343" s="45" t="s">
        <v>49</v>
      </c>
      <c r="AN343" s="46" t="s">
        <v>49</v>
      </c>
      <c r="AO343" s="46" t="s">
        <v>61</v>
      </c>
      <c r="AP343" s="289" t="s">
        <v>155</v>
      </c>
      <c r="AQ343" s="139">
        <v>0</v>
      </c>
    </row>
    <row r="344" spans="1:43" ht="68.25" customHeight="1" thickBot="1">
      <c r="A344" s="138" t="s">
        <v>347</v>
      </c>
      <c r="B344" s="12">
        <v>61</v>
      </c>
      <c r="C344" s="12">
        <v>79.25</v>
      </c>
      <c r="D344" s="12">
        <v>49.2</v>
      </c>
      <c r="E344" s="12" t="s">
        <v>45</v>
      </c>
      <c r="F344" s="12" t="s">
        <v>45</v>
      </c>
      <c r="G344" s="12" t="s">
        <v>328</v>
      </c>
      <c r="H344" s="12"/>
      <c r="I344" s="12" t="s">
        <v>45</v>
      </c>
      <c r="J344" s="12" t="s">
        <v>47</v>
      </c>
      <c r="K344" s="12" t="s">
        <v>49</v>
      </c>
      <c r="L344" s="12" t="s">
        <v>49</v>
      </c>
      <c r="M344" s="11" t="s">
        <v>50</v>
      </c>
      <c r="N344" s="11" t="s">
        <v>50</v>
      </c>
      <c r="O344" s="11" t="s">
        <v>50</v>
      </c>
      <c r="P344" s="11" t="s">
        <v>51</v>
      </c>
      <c r="Q344" s="50" t="s">
        <v>64</v>
      </c>
      <c r="R344" s="47">
        <v>30</v>
      </c>
      <c r="S344" s="48">
        <v>5.8</v>
      </c>
      <c r="T344" s="52">
        <v>4.54</v>
      </c>
      <c r="U344" s="48">
        <v>30</v>
      </c>
      <c r="V344" s="47">
        <v>3.87</v>
      </c>
      <c r="W344" s="48">
        <v>4.7</v>
      </c>
      <c r="X344" s="130">
        <f t="shared" si="64"/>
        <v>-1.9299999999999997</v>
      </c>
      <c r="Y344" s="16">
        <f t="shared" si="67"/>
        <v>0.84387202821280904</v>
      </c>
      <c r="Z344" s="286" t="s">
        <v>53</v>
      </c>
      <c r="AA344" s="286" t="s">
        <v>53</v>
      </c>
      <c r="AB344" s="287">
        <v>0.84387202821280904</v>
      </c>
      <c r="AC344" s="66" t="s">
        <v>49</v>
      </c>
      <c r="AD344" s="51" t="s">
        <v>348</v>
      </c>
      <c r="AE344" s="13">
        <v>12</v>
      </c>
      <c r="AF344" s="13">
        <v>0</v>
      </c>
      <c r="AG344" s="13">
        <v>0</v>
      </c>
      <c r="AH344" s="134">
        <v>0</v>
      </c>
      <c r="AI344" s="134">
        <v>0</v>
      </c>
      <c r="AJ344" s="135">
        <f t="shared" si="65"/>
        <v>0</v>
      </c>
      <c r="AK344" s="136">
        <f t="shared" si="66"/>
        <v>0</v>
      </c>
      <c r="AL344" s="136" t="str" cm="1">
        <f t="array" ref="AL344">_xlfn.IFS(
AI344&lt;3,"Ligera",
AI344&lt;=6,"Moderada",
AI344&gt;6,"Vigorosa"
)</f>
        <v>Ligera</v>
      </c>
      <c r="AM344" s="45" t="s">
        <v>49</v>
      </c>
      <c r="AN344" s="46" t="s">
        <v>49</v>
      </c>
      <c r="AO344" s="46" t="s">
        <v>49</v>
      </c>
      <c r="AP344" s="289" t="s">
        <v>49</v>
      </c>
      <c r="AQ344" s="139">
        <v>0</v>
      </c>
    </row>
    <row r="345" spans="1:43" ht="78" customHeight="1" thickBot="1">
      <c r="A345" s="140" t="s">
        <v>347</v>
      </c>
      <c r="B345" s="141">
        <v>61</v>
      </c>
      <c r="C345" s="141">
        <v>79.25</v>
      </c>
      <c r="D345" s="141">
        <v>49.2</v>
      </c>
      <c r="E345" s="141" t="s">
        <v>45</v>
      </c>
      <c r="F345" s="141" t="s">
        <v>45</v>
      </c>
      <c r="G345" s="141" t="s">
        <v>328</v>
      </c>
      <c r="H345" s="141"/>
      <c r="I345" s="141" t="s">
        <v>45</v>
      </c>
      <c r="J345" s="141" t="s">
        <v>47</v>
      </c>
      <c r="K345" s="141" t="s">
        <v>49</v>
      </c>
      <c r="L345" s="141" t="s">
        <v>49</v>
      </c>
      <c r="M345" s="142" t="s">
        <v>56</v>
      </c>
      <c r="N345" s="142" t="s">
        <v>57</v>
      </c>
      <c r="O345" s="142" t="s">
        <v>147</v>
      </c>
      <c r="P345" s="142" t="s">
        <v>51</v>
      </c>
      <c r="Q345" s="158" t="s">
        <v>64</v>
      </c>
      <c r="R345" s="169">
        <v>31</v>
      </c>
      <c r="S345" s="170">
        <v>7.03</v>
      </c>
      <c r="T345" s="171">
        <v>4.72</v>
      </c>
      <c r="U345" s="170">
        <v>31</v>
      </c>
      <c r="V345" s="169">
        <v>6.45</v>
      </c>
      <c r="W345" s="170">
        <v>4.26</v>
      </c>
      <c r="X345" s="130">
        <f t="shared" si="64"/>
        <v>-0.58000000000000007</v>
      </c>
      <c r="Y345" s="16">
        <f t="shared" si="67"/>
        <v>0.80959567766282114</v>
      </c>
      <c r="Z345" s="15">
        <f t="shared" ref="Z345:Z404" si="68">X345-X344</f>
        <v>1.3499999999999996</v>
      </c>
      <c r="AA345" s="16">
        <f t="shared" ref="AA345:AA404" si="69">((U345-1)*W345^2+(U344-1)*W344^2)/((U345-1)+(U344-1))</f>
        <v>20.085389830508475</v>
      </c>
      <c r="AB345" s="16">
        <f t="shared" ref="AB345:AB404" si="70">SQRT(AA345*((1/U345)+(1/U344)))</f>
        <v>1.1477930106663077</v>
      </c>
      <c r="AC345" s="66" t="s">
        <v>49</v>
      </c>
      <c r="AD345" s="151" t="s">
        <v>349</v>
      </c>
      <c r="AE345" s="146">
        <v>12</v>
      </c>
      <c r="AF345" s="146">
        <v>3</v>
      </c>
      <c r="AG345" s="146">
        <v>40</v>
      </c>
      <c r="AH345" s="134" t="s">
        <v>350</v>
      </c>
      <c r="AI345" s="134">
        <v>2.75</v>
      </c>
      <c r="AJ345" s="135">
        <v>115</v>
      </c>
      <c r="AK345" s="136">
        <f t="shared" si="66"/>
        <v>345</v>
      </c>
      <c r="AL345" s="136" t="str" cm="1">
        <f t="array" ref="AL345">_xlfn.IFS(
AI345&lt;3,"Ligera",
AI345&lt;=6,"Moderada",
AI345&gt;6,"Vigorosa"
)</f>
        <v>Ligera</v>
      </c>
      <c r="AM345" s="147" t="s">
        <v>49</v>
      </c>
      <c r="AN345" s="148" t="s">
        <v>49</v>
      </c>
      <c r="AO345" s="148" t="s">
        <v>61</v>
      </c>
      <c r="AP345" s="290" t="s">
        <v>155</v>
      </c>
      <c r="AQ345" s="149">
        <v>0</v>
      </c>
    </row>
    <row r="346" spans="1:43" ht="68.25" customHeight="1" thickBot="1">
      <c r="A346" s="124" t="s">
        <v>351</v>
      </c>
      <c r="B346" s="125">
        <v>159</v>
      </c>
      <c r="C346" s="125">
        <v>82</v>
      </c>
      <c r="D346" s="125">
        <v>32.71</v>
      </c>
      <c r="E346" s="125" t="s">
        <v>45</v>
      </c>
      <c r="F346" s="125" t="s">
        <v>45</v>
      </c>
      <c r="G346" s="125" t="s">
        <v>46</v>
      </c>
      <c r="H346" s="125"/>
      <c r="I346" s="125" t="s">
        <v>45</v>
      </c>
      <c r="J346" s="125" t="s">
        <v>47</v>
      </c>
      <c r="K346" s="125" t="s">
        <v>49</v>
      </c>
      <c r="L346" s="125" t="s">
        <v>49</v>
      </c>
      <c r="M346" s="126" t="s">
        <v>56</v>
      </c>
      <c r="N346" s="126" t="s">
        <v>76</v>
      </c>
      <c r="O346" s="126" t="s">
        <v>77</v>
      </c>
      <c r="P346" s="126" t="s">
        <v>86</v>
      </c>
      <c r="Q346" s="159" t="s">
        <v>158</v>
      </c>
      <c r="R346" s="167">
        <v>63</v>
      </c>
      <c r="S346" s="168">
        <v>22.67</v>
      </c>
      <c r="T346" s="179">
        <v>4.3600000000000003</v>
      </c>
      <c r="U346" s="168">
        <v>63</v>
      </c>
      <c r="V346" s="167">
        <v>23.63</v>
      </c>
      <c r="W346" s="168">
        <v>3.72</v>
      </c>
      <c r="X346" s="130">
        <f t="shared" si="64"/>
        <v>0.9599999999999973</v>
      </c>
      <c r="Y346" s="16">
        <f t="shared" si="67"/>
        <v>0.51375987226447184</v>
      </c>
      <c r="Z346" s="286" t="s">
        <v>53</v>
      </c>
      <c r="AA346" s="286" t="s">
        <v>53</v>
      </c>
      <c r="AB346" s="287">
        <v>0.51375987226447184</v>
      </c>
      <c r="AC346" s="66" t="s">
        <v>49</v>
      </c>
      <c r="AD346" s="133" t="s">
        <v>352</v>
      </c>
      <c r="AE346" s="134">
        <v>6</v>
      </c>
      <c r="AF346" s="134">
        <v>3</v>
      </c>
      <c r="AG346" s="134">
        <v>30</v>
      </c>
      <c r="AH346" s="13">
        <v>205160</v>
      </c>
      <c r="AI346" s="13">
        <v>3</v>
      </c>
      <c r="AJ346" s="135">
        <f t="shared" si="65"/>
        <v>90</v>
      </c>
      <c r="AK346" s="136">
        <f t="shared" si="66"/>
        <v>270</v>
      </c>
      <c r="AL346" s="136" t="str" cm="1">
        <f t="array" ref="AL346">_xlfn.IFS(
AI346&lt;3,"Ligera",
AI346&lt;=6,"Moderada",
AI346&gt;6,"Vigorosa"
)</f>
        <v>Moderada</v>
      </c>
      <c r="AM346" s="136" t="s">
        <v>48</v>
      </c>
      <c r="AN346" s="135" t="s">
        <v>60</v>
      </c>
      <c r="AO346" s="135" t="s">
        <v>61</v>
      </c>
      <c r="AP346" s="288" t="s">
        <v>155</v>
      </c>
      <c r="AQ346" s="137">
        <v>0</v>
      </c>
    </row>
    <row r="347" spans="1:43" ht="78" customHeight="1" thickBot="1">
      <c r="A347" s="138" t="s">
        <v>351</v>
      </c>
      <c r="B347" s="12">
        <v>159</v>
      </c>
      <c r="C347" s="12">
        <v>82</v>
      </c>
      <c r="D347" s="12">
        <v>32.71</v>
      </c>
      <c r="E347" s="12" t="s">
        <v>45</v>
      </c>
      <c r="F347" s="12" t="s">
        <v>45</v>
      </c>
      <c r="G347" s="12" t="s">
        <v>46</v>
      </c>
      <c r="H347" s="12"/>
      <c r="I347" s="12" t="s">
        <v>45</v>
      </c>
      <c r="J347" s="12" t="s">
        <v>47</v>
      </c>
      <c r="K347" s="12" t="s">
        <v>49</v>
      </c>
      <c r="L347" s="12" t="s">
        <v>49</v>
      </c>
      <c r="M347" s="11" t="s">
        <v>56</v>
      </c>
      <c r="N347" s="11" t="s">
        <v>57</v>
      </c>
      <c r="O347" s="11" t="s">
        <v>58</v>
      </c>
      <c r="P347" s="11" t="s">
        <v>86</v>
      </c>
      <c r="Q347" s="50" t="s">
        <v>158</v>
      </c>
      <c r="R347" s="47">
        <v>59</v>
      </c>
      <c r="S347" s="48">
        <v>22.25</v>
      </c>
      <c r="T347" s="52">
        <v>4.5</v>
      </c>
      <c r="U347" s="48">
        <v>59</v>
      </c>
      <c r="V347" s="47">
        <v>23.41</v>
      </c>
      <c r="W347" s="48">
        <v>3.6</v>
      </c>
      <c r="X347" s="130">
        <f t="shared" si="64"/>
        <v>1.1600000000000001</v>
      </c>
      <c r="Y347" s="16">
        <f t="shared" si="67"/>
        <v>0.53694048529214367</v>
      </c>
      <c r="Z347" s="15">
        <f t="shared" si="68"/>
        <v>0.20000000000000284</v>
      </c>
      <c r="AA347" s="16">
        <f t="shared" si="69"/>
        <v>13.41384</v>
      </c>
      <c r="AB347" s="16">
        <f t="shared" si="70"/>
        <v>0.66352943836507983</v>
      </c>
      <c r="AC347" s="66" t="s">
        <v>49</v>
      </c>
      <c r="AD347" s="51" t="s">
        <v>352</v>
      </c>
      <c r="AE347" s="13">
        <v>6</v>
      </c>
      <c r="AF347" s="13">
        <v>3</v>
      </c>
      <c r="AG347" s="13">
        <v>30</v>
      </c>
      <c r="AH347" s="13">
        <v>205160</v>
      </c>
      <c r="AI347" s="13">
        <v>3</v>
      </c>
      <c r="AJ347" s="135">
        <f t="shared" si="65"/>
        <v>90</v>
      </c>
      <c r="AK347" s="136">
        <f t="shared" si="66"/>
        <v>270</v>
      </c>
      <c r="AL347" s="136" t="str" cm="1">
        <f t="array" ref="AL347">_xlfn.IFS(
AI347&lt;3,"Ligera",
AI347&lt;=6,"Moderada",
AI347&gt;6,"Vigorosa"
)</f>
        <v>Moderada</v>
      </c>
      <c r="AM347" s="45" t="s">
        <v>48</v>
      </c>
      <c r="AN347" s="46" t="s">
        <v>60</v>
      </c>
      <c r="AO347" s="46" t="s">
        <v>61</v>
      </c>
      <c r="AP347" s="289" t="s">
        <v>155</v>
      </c>
      <c r="AQ347" s="139">
        <v>0</v>
      </c>
    </row>
    <row r="348" spans="1:43" ht="68.25" customHeight="1" thickBot="1">
      <c r="A348" s="138" t="s">
        <v>351</v>
      </c>
      <c r="B348" s="12">
        <v>159</v>
      </c>
      <c r="C348" s="12">
        <v>82</v>
      </c>
      <c r="D348" s="12">
        <v>32.71</v>
      </c>
      <c r="E348" s="12" t="s">
        <v>45</v>
      </c>
      <c r="F348" s="12" t="s">
        <v>45</v>
      </c>
      <c r="G348" s="12" t="s">
        <v>46</v>
      </c>
      <c r="H348" s="12"/>
      <c r="I348" s="12" t="s">
        <v>45</v>
      </c>
      <c r="J348" s="12" t="s">
        <v>47</v>
      </c>
      <c r="K348" s="12" t="s">
        <v>49</v>
      </c>
      <c r="L348" s="12" t="s">
        <v>49</v>
      </c>
      <c r="M348" s="11" t="s">
        <v>56</v>
      </c>
      <c r="N348" s="11" t="s">
        <v>76</v>
      </c>
      <c r="O348" s="11" t="s">
        <v>77</v>
      </c>
      <c r="P348" s="11" t="s">
        <v>86</v>
      </c>
      <c r="Q348" s="50" t="s">
        <v>156</v>
      </c>
      <c r="R348" s="47">
        <v>63</v>
      </c>
      <c r="S348" s="48">
        <v>12.43</v>
      </c>
      <c r="T348" s="52">
        <v>2.48</v>
      </c>
      <c r="U348" s="48">
        <v>63</v>
      </c>
      <c r="V348" s="47">
        <v>13.11</v>
      </c>
      <c r="W348" s="48">
        <v>2.15</v>
      </c>
      <c r="X348" s="130">
        <f t="shared" si="64"/>
        <v>0.67999999999999972</v>
      </c>
      <c r="Y348" s="16">
        <f t="shared" si="67"/>
        <v>0.29387666131132639</v>
      </c>
      <c r="Z348" s="286" t="s">
        <v>53</v>
      </c>
      <c r="AA348" s="286" t="s">
        <v>53</v>
      </c>
      <c r="AB348" s="287">
        <v>0.29387666131132639</v>
      </c>
      <c r="AC348" s="66" t="s">
        <v>49</v>
      </c>
      <c r="AD348" s="51" t="s">
        <v>352</v>
      </c>
      <c r="AE348" s="13">
        <v>6</v>
      </c>
      <c r="AF348" s="13">
        <v>3</v>
      </c>
      <c r="AG348" s="13">
        <v>30</v>
      </c>
      <c r="AH348" s="13">
        <v>205160</v>
      </c>
      <c r="AI348" s="13">
        <v>3</v>
      </c>
      <c r="AJ348" s="135">
        <f t="shared" si="65"/>
        <v>90</v>
      </c>
      <c r="AK348" s="136">
        <f t="shared" si="66"/>
        <v>270</v>
      </c>
      <c r="AL348" s="136" t="str" cm="1">
        <f t="array" ref="AL348">_xlfn.IFS(
AI348&lt;3,"Ligera",
AI348&lt;=6,"Moderada",
AI348&gt;6,"Vigorosa"
)</f>
        <v>Moderada</v>
      </c>
      <c r="AM348" s="45" t="s">
        <v>48</v>
      </c>
      <c r="AN348" s="46" t="s">
        <v>60</v>
      </c>
      <c r="AO348" s="46" t="s">
        <v>61</v>
      </c>
      <c r="AP348" s="289" t="s">
        <v>155</v>
      </c>
      <c r="AQ348" s="139">
        <v>0</v>
      </c>
    </row>
    <row r="349" spans="1:43" ht="78" customHeight="1" thickBot="1">
      <c r="A349" s="138" t="s">
        <v>351</v>
      </c>
      <c r="B349" s="12">
        <v>159</v>
      </c>
      <c r="C349" s="12">
        <v>82</v>
      </c>
      <c r="D349" s="12">
        <v>32.71</v>
      </c>
      <c r="E349" s="12" t="s">
        <v>45</v>
      </c>
      <c r="F349" s="12" t="s">
        <v>45</v>
      </c>
      <c r="G349" s="12" t="s">
        <v>46</v>
      </c>
      <c r="H349" s="12"/>
      <c r="I349" s="12" t="s">
        <v>45</v>
      </c>
      <c r="J349" s="12" t="s">
        <v>47</v>
      </c>
      <c r="K349" s="12" t="s">
        <v>49</v>
      </c>
      <c r="L349" s="12" t="s">
        <v>49</v>
      </c>
      <c r="M349" s="11" t="s">
        <v>56</v>
      </c>
      <c r="N349" s="11" t="s">
        <v>57</v>
      </c>
      <c r="O349" s="11" t="s">
        <v>58</v>
      </c>
      <c r="P349" s="11" t="s">
        <v>86</v>
      </c>
      <c r="Q349" s="50" t="s">
        <v>156</v>
      </c>
      <c r="R349" s="47">
        <v>59</v>
      </c>
      <c r="S349" s="48">
        <v>12.36</v>
      </c>
      <c r="T349" s="52">
        <v>2.36</v>
      </c>
      <c r="U349" s="48">
        <v>59</v>
      </c>
      <c r="V349" s="47">
        <v>13.03</v>
      </c>
      <c r="W349" s="48">
        <v>1.92</v>
      </c>
      <c r="X349" s="130">
        <f t="shared" si="64"/>
        <v>0.66999999999999993</v>
      </c>
      <c r="Y349" s="16">
        <f t="shared" si="67"/>
        <v>0.28298649425759426</v>
      </c>
      <c r="Z349" s="15">
        <f t="shared" si="68"/>
        <v>-9.9999999999997868E-3</v>
      </c>
      <c r="AA349" s="16">
        <f t="shared" si="69"/>
        <v>4.1700516666666667</v>
      </c>
      <c r="AB349" s="16">
        <f t="shared" si="70"/>
        <v>0.36995964388593239</v>
      </c>
      <c r="AC349" s="66" t="s">
        <v>49</v>
      </c>
      <c r="AD349" s="51" t="s">
        <v>352</v>
      </c>
      <c r="AE349" s="13">
        <v>6</v>
      </c>
      <c r="AF349" s="13">
        <v>3</v>
      </c>
      <c r="AG349" s="13">
        <v>30</v>
      </c>
      <c r="AH349" s="13">
        <v>205160</v>
      </c>
      <c r="AI349" s="13">
        <v>3</v>
      </c>
      <c r="AJ349" s="135">
        <f t="shared" si="65"/>
        <v>90</v>
      </c>
      <c r="AK349" s="136">
        <f t="shared" si="66"/>
        <v>270</v>
      </c>
      <c r="AL349" s="136" t="str" cm="1">
        <f t="array" ref="AL349">_xlfn.IFS(
AI349&lt;3,"Ligera",
AI349&lt;=6,"Moderada",
AI349&gt;6,"Vigorosa"
)</f>
        <v>Moderada</v>
      </c>
      <c r="AM349" s="45" t="s">
        <v>48</v>
      </c>
      <c r="AN349" s="46" t="s">
        <v>60</v>
      </c>
      <c r="AO349" s="46" t="s">
        <v>61</v>
      </c>
      <c r="AP349" s="289" t="s">
        <v>155</v>
      </c>
      <c r="AQ349" s="139">
        <v>0</v>
      </c>
    </row>
    <row r="350" spans="1:43" ht="68.25" customHeight="1" thickBot="1">
      <c r="A350" s="138" t="s">
        <v>351</v>
      </c>
      <c r="B350" s="12">
        <v>159</v>
      </c>
      <c r="C350" s="12">
        <v>82</v>
      </c>
      <c r="D350" s="12">
        <v>32.71</v>
      </c>
      <c r="E350" s="12" t="s">
        <v>45</v>
      </c>
      <c r="F350" s="12" t="s">
        <v>45</v>
      </c>
      <c r="G350" s="12" t="s">
        <v>46</v>
      </c>
      <c r="H350" s="12"/>
      <c r="I350" s="12" t="s">
        <v>45</v>
      </c>
      <c r="J350" s="12" t="s">
        <v>47</v>
      </c>
      <c r="K350" s="12" t="s">
        <v>49</v>
      </c>
      <c r="L350" s="12" t="s">
        <v>49</v>
      </c>
      <c r="M350" s="11" t="s">
        <v>56</v>
      </c>
      <c r="N350" s="11" t="s">
        <v>76</v>
      </c>
      <c r="O350" s="11" t="s">
        <v>77</v>
      </c>
      <c r="P350" s="11" t="s">
        <v>86</v>
      </c>
      <c r="Q350" s="50" t="s">
        <v>157</v>
      </c>
      <c r="R350" s="47">
        <v>63</v>
      </c>
      <c r="S350" s="48">
        <v>10.24</v>
      </c>
      <c r="T350" s="52">
        <v>2.16</v>
      </c>
      <c r="U350" s="47">
        <v>63</v>
      </c>
      <c r="V350" s="47">
        <v>10.54</v>
      </c>
      <c r="W350" s="48">
        <v>1.91</v>
      </c>
      <c r="X350" s="130">
        <f t="shared" si="64"/>
        <v>0.29999999999999893</v>
      </c>
      <c r="Y350" s="16">
        <f t="shared" si="67"/>
        <v>0.25783284852356919</v>
      </c>
      <c r="Z350" s="286" t="s">
        <v>53</v>
      </c>
      <c r="AA350" s="286" t="s">
        <v>53</v>
      </c>
      <c r="AB350" s="287">
        <v>0.25783284852356919</v>
      </c>
      <c r="AC350" s="66" t="s">
        <v>49</v>
      </c>
      <c r="AD350" s="51" t="s">
        <v>352</v>
      </c>
      <c r="AE350" s="13">
        <v>6</v>
      </c>
      <c r="AF350" s="13">
        <v>3</v>
      </c>
      <c r="AG350" s="13">
        <v>30</v>
      </c>
      <c r="AH350" s="13">
        <v>205160</v>
      </c>
      <c r="AI350" s="13">
        <v>3</v>
      </c>
      <c r="AJ350" s="135">
        <f t="shared" si="65"/>
        <v>90</v>
      </c>
      <c r="AK350" s="136">
        <f t="shared" si="66"/>
        <v>270</v>
      </c>
      <c r="AL350" s="136" t="str" cm="1">
        <f t="array" ref="AL350">_xlfn.IFS(
AI350&lt;3,"Ligera",
AI350&lt;=6,"Moderada",
AI350&gt;6,"Vigorosa"
)</f>
        <v>Moderada</v>
      </c>
      <c r="AM350" s="45" t="s">
        <v>48</v>
      </c>
      <c r="AN350" s="46" t="s">
        <v>60</v>
      </c>
      <c r="AO350" s="46" t="s">
        <v>61</v>
      </c>
      <c r="AP350" s="289" t="s">
        <v>155</v>
      </c>
      <c r="AQ350" s="139">
        <v>0</v>
      </c>
    </row>
    <row r="351" spans="1:43" ht="78" customHeight="1" thickBot="1">
      <c r="A351" s="138" t="s">
        <v>351</v>
      </c>
      <c r="B351" s="12">
        <v>159</v>
      </c>
      <c r="C351" s="12">
        <v>82</v>
      </c>
      <c r="D351" s="12">
        <v>32.71</v>
      </c>
      <c r="E351" s="12" t="s">
        <v>45</v>
      </c>
      <c r="F351" s="12" t="s">
        <v>45</v>
      </c>
      <c r="G351" s="12" t="s">
        <v>46</v>
      </c>
      <c r="H351" s="12"/>
      <c r="I351" s="12" t="s">
        <v>45</v>
      </c>
      <c r="J351" s="12" t="s">
        <v>47</v>
      </c>
      <c r="K351" s="12" t="s">
        <v>49</v>
      </c>
      <c r="L351" s="12" t="s">
        <v>49</v>
      </c>
      <c r="M351" s="11" t="s">
        <v>56</v>
      </c>
      <c r="N351" s="11" t="s">
        <v>57</v>
      </c>
      <c r="O351" s="11" t="s">
        <v>58</v>
      </c>
      <c r="P351" s="11" t="s">
        <v>86</v>
      </c>
      <c r="Q351" s="50" t="s">
        <v>157</v>
      </c>
      <c r="R351" s="47">
        <v>59</v>
      </c>
      <c r="S351" s="48">
        <v>9.9</v>
      </c>
      <c r="T351" s="52">
        <v>2.58</v>
      </c>
      <c r="U351" s="47">
        <v>59</v>
      </c>
      <c r="V351" s="47">
        <v>10.37</v>
      </c>
      <c r="W351" s="48">
        <v>2.0699999999999998</v>
      </c>
      <c r="X351" s="130">
        <f t="shared" si="64"/>
        <v>0.46999999999999886</v>
      </c>
      <c r="Y351" s="16">
        <f t="shared" si="67"/>
        <v>0.30810244829288169</v>
      </c>
      <c r="Z351" s="15">
        <f t="shared" si="68"/>
        <v>0.16999999999999993</v>
      </c>
      <c r="AA351" s="16">
        <f t="shared" si="69"/>
        <v>3.9558866666666663</v>
      </c>
      <c r="AB351" s="16">
        <f t="shared" si="70"/>
        <v>0.36033425927258728</v>
      </c>
      <c r="AC351" s="66" t="s">
        <v>49</v>
      </c>
      <c r="AD351" s="51" t="s">
        <v>352</v>
      </c>
      <c r="AE351" s="13">
        <v>6</v>
      </c>
      <c r="AF351" s="13">
        <v>3</v>
      </c>
      <c r="AG351" s="13">
        <v>30</v>
      </c>
      <c r="AH351" s="13">
        <v>205160</v>
      </c>
      <c r="AI351" s="13">
        <v>3</v>
      </c>
      <c r="AJ351" s="135">
        <f t="shared" si="65"/>
        <v>90</v>
      </c>
      <c r="AK351" s="136">
        <f t="shared" si="66"/>
        <v>270</v>
      </c>
      <c r="AL351" s="136" t="str" cm="1">
        <f t="array" ref="AL351">_xlfn.IFS(
AI351&lt;3,"Ligera",
AI351&lt;=6,"Moderada",
AI351&gt;6,"Vigorosa"
)</f>
        <v>Moderada</v>
      </c>
      <c r="AM351" s="45" t="s">
        <v>48</v>
      </c>
      <c r="AN351" s="46" t="s">
        <v>60</v>
      </c>
      <c r="AO351" s="46" t="s">
        <v>61</v>
      </c>
      <c r="AP351" s="289" t="s">
        <v>155</v>
      </c>
      <c r="AQ351" s="139">
        <v>0</v>
      </c>
    </row>
    <row r="352" spans="1:43" ht="68.25" customHeight="1" thickBot="1">
      <c r="A352" s="138" t="s">
        <v>351</v>
      </c>
      <c r="B352" s="12">
        <v>159</v>
      </c>
      <c r="C352" s="12">
        <v>82</v>
      </c>
      <c r="D352" s="12">
        <v>32.71</v>
      </c>
      <c r="E352" s="12" t="s">
        <v>45</v>
      </c>
      <c r="F352" s="12" t="s">
        <v>45</v>
      </c>
      <c r="G352" s="12" t="s">
        <v>46</v>
      </c>
      <c r="H352" s="12"/>
      <c r="I352" s="12" t="s">
        <v>45</v>
      </c>
      <c r="J352" s="12" t="s">
        <v>47</v>
      </c>
      <c r="K352" s="12" t="s">
        <v>49</v>
      </c>
      <c r="L352" s="12" t="s">
        <v>49</v>
      </c>
      <c r="M352" s="11" t="s">
        <v>56</v>
      </c>
      <c r="N352" s="11" t="s">
        <v>76</v>
      </c>
      <c r="O352" s="11" t="s">
        <v>77</v>
      </c>
      <c r="P352" s="11" t="s">
        <v>51</v>
      </c>
      <c r="Q352" s="50" t="s">
        <v>124</v>
      </c>
      <c r="R352" s="47">
        <v>63</v>
      </c>
      <c r="S352" s="48">
        <v>20.73</v>
      </c>
      <c r="T352" s="52">
        <v>12.76</v>
      </c>
      <c r="U352" s="47">
        <v>63</v>
      </c>
      <c r="V352" s="47">
        <v>17.97</v>
      </c>
      <c r="W352" s="48">
        <v>10.73</v>
      </c>
      <c r="X352" s="130">
        <f t="shared" si="64"/>
        <v>-2.7600000000000016</v>
      </c>
      <c r="Y352" s="16">
        <f t="shared" si="67"/>
        <v>1.4962158616863761</v>
      </c>
      <c r="Z352" s="286" t="s">
        <v>53</v>
      </c>
      <c r="AA352" s="286" t="s">
        <v>53</v>
      </c>
      <c r="AB352" s="287">
        <v>1.4962158616863761</v>
      </c>
      <c r="AC352" s="66" t="s">
        <v>48</v>
      </c>
      <c r="AD352" s="51" t="s">
        <v>352</v>
      </c>
      <c r="AE352" s="13">
        <v>6</v>
      </c>
      <c r="AF352" s="13">
        <v>3</v>
      </c>
      <c r="AG352" s="13">
        <v>30</v>
      </c>
      <c r="AH352" s="13">
        <v>205160</v>
      </c>
      <c r="AI352" s="13">
        <v>3</v>
      </c>
      <c r="AJ352" s="135">
        <f t="shared" si="65"/>
        <v>90</v>
      </c>
      <c r="AK352" s="136">
        <f t="shared" si="66"/>
        <v>270</v>
      </c>
      <c r="AL352" s="136" t="str" cm="1">
        <f t="array" ref="AL352">_xlfn.IFS(
AI352&lt;3,"Ligera",
AI352&lt;=6,"Moderada",
AI352&gt;6,"Vigorosa"
)</f>
        <v>Moderada</v>
      </c>
      <c r="AM352" s="45" t="s">
        <v>48</v>
      </c>
      <c r="AN352" s="46" t="s">
        <v>60</v>
      </c>
      <c r="AO352" s="46" t="s">
        <v>61</v>
      </c>
      <c r="AP352" s="289" t="s">
        <v>155</v>
      </c>
      <c r="AQ352" s="139">
        <v>0</v>
      </c>
    </row>
    <row r="353" spans="1:45" ht="78" customHeight="1" thickBot="1">
      <c r="A353" s="138" t="s">
        <v>351</v>
      </c>
      <c r="B353" s="12">
        <v>159</v>
      </c>
      <c r="C353" s="12">
        <v>82</v>
      </c>
      <c r="D353" s="12">
        <v>32.71</v>
      </c>
      <c r="E353" s="12" t="s">
        <v>45</v>
      </c>
      <c r="F353" s="12" t="s">
        <v>45</v>
      </c>
      <c r="G353" s="12" t="s">
        <v>46</v>
      </c>
      <c r="H353" s="12"/>
      <c r="I353" s="12" t="s">
        <v>45</v>
      </c>
      <c r="J353" s="12" t="s">
        <v>47</v>
      </c>
      <c r="K353" s="12" t="s">
        <v>49</v>
      </c>
      <c r="L353" s="12" t="s">
        <v>49</v>
      </c>
      <c r="M353" s="11" t="s">
        <v>56</v>
      </c>
      <c r="N353" s="11" t="s">
        <v>57</v>
      </c>
      <c r="O353" s="11" t="s">
        <v>58</v>
      </c>
      <c r="P353" s="11" t="s">
        <v>51</v>
      </c>
      <c r="Q353" s="50" t="s">
        <v>124</v>
      </c>
      <c r="R353" s="47">
        <v>59</v>
      </c>
      <c r="S353" s="48">
        <v>19.98</v>
      </c>
      <c r="T353" s="52">
        <v>11.22</v>
      </c>
      <c r="U353" s="47">
        <v>59</v>
      </c>
      <c r="V353" s="47">
        <v>17.73</v>
      </c>
      <c r="W353" s="48">
        <v>10.8</v>
      </c>
      <c r="X353" s="130">
        <f t="shared" si="64"/>
        <v>-2.25</v>
      </c>
      <c r="Y353" s="16">
        <f t="shared" si="67"/>
        <v>1.4341618942724184</v>
      </c>
      <c r="Z353" s="15">
        <f t="shared" si="68"/>
        <v>0.51000000000000156</v>
      </c>
      <c r="AA353" s="16">
        <f t="shared" si="69"/>
        <v>115.86133166666669</v>
      </c>
      <c r="AB353" s="16">
        <f t="shared" si="70"/>
        <v>1.950082085655511</v>
      </c>
      <c r="AC353" s="66" t="s">
        <v>48</v>
      </c>
      <c r="AD353" s="51" t="s">
        <v>352</v>
      </c>
      <c r="AE353" s="13">
        <v>6</v>
      </c>
      <c r="AF353" s="13">
        <v>3</v>
      </c>
      <c r="AG353" s="13">
        <v>30</v>
      </c>
      <c r="AH353" s="13">
        <v>205160</v>
      </c>
      <c r="AI353" s="13">
        <v>3</v>
      </c>
      <c r="AJ353" s="135">
        <f t="shared" si="65"/>
        <v>90</v>
      </c>
      <c r="AK353" s="136">
        <f t="shared" si="66"/>
        <v>270</v>
      </c>
      <c r="AL353" s="136" t="str" cm="1">
        <f t="array" ref="AL353">_xlfn.IFS(
AI353&lt;3,"Ligera",
AI353&lt;=6,"Moderada",
AI353&gt;6,"Vigorosa"
)</f>
        <v>Moderada</v>
      </c>
      <c r="AM353" s="45" t="s">
        <v>48</v>
      </c>
      <c r="AN353" s="46" t="s">
        <v>60</v>
      </c>
      <c r="AO353" s="46" t="s">
        <v>61</v>
      </c>
      <c r="AP353" s="289" t="s">
        <v>155</v>
      </c>
      <c r="AQ353" s="139">
        <v>0</v>
      </c>
    </row>
    <row r="354" spans="1:45" ht="68.25" customHeight="1" thickBot="1">
      <c r="A354" s="138" t="s">
        <v>351</v>
      </c>
      <c r="B354" s="12">
        <v>159</v>
      </c>
      <c r="C354" s="12">
        <v>82</v>
      </c>
      <c r="D354" s="12">
        <v>32.71</v>
      </c>
      <c r="E354" s="12" t="s">
        <v>45</v>
      </c>
      <c r="F354" s="12" t="s">
        <v>45</v>
      </c>
      <c r="G354" s="12" t="s">
        <v>46</v>
      </c>
      <c r="H354" s="12"/>
      <c r="I354" s="12" t="s">
        <v>45</v>
      </c>
      <c r="J354" s="12" t="s">
        <v>47</v>
      </c>
      <c r="K354" s="12" t="s">
        <v>49</v>
      </c>
      <c r="L354" s="12" t="s">
        <v>49</v>
      </c>
      <c r="M354" s="11" t="s">
        <v>56</v>
      </c>
      <c r="N354" s="11" t="s">
        <v>76</v>
      </c>
      <c r="O354" s="11" t="s">
        <v>77</v>
      </c>
      <c r="P354" s="11" t="s">
        <v>51</v>
      </c>
      <c r="Q354" s="50" t="s">
        <v>149</v>
      </c>
      <c r="R354" s="47">
        <v>58</v>
      </c>
      <c r="S354" s="48">
        <v>17.22</v>
      </c>
      <c r="T354" s="52">
        <v>8.2899999999999991</v>
      </c>
      <c r="U354" s="47">
        <v>58</v>
      </c>
      <c r="V354" s="47">
        <v>15.34</v>
      </c>
      <c r="W354" s="48">
        <v>7.63</v>
      </c>
      <c r="X354" s="130">
        <f t="shared" si="64"/>
        <v>-1.879999999999999</v>
      </c>
      <c r="Y354" s="16">
        <f t="shared" si="67"/>
        <v>1.0478903272437599</v>
      </c>
      <c r="Z354" s="286" t="s">
        <v>53</v>
      </c>
      <c r="AA354" s="286" t="s">
        <v>53</v>
      </c>
      <c r="AB354" s="287">
        <v>1.0478903272437599</v>
      </c>
      <c r="AC354" s="66" t="s">
        <v>48</v>
      </c>
      <c r="AD354" s="51" t="s">
        <v>352</v>
      </c>
      <c r="AE354" s="13">
        <v>6</v>
      </c>
      <c r="AF354" s="13">
        <v>3</v>
      </c>
      <c r="AG354" s="13">
        <v>30</v>
      </c>
      <c r="AH354" s="13">
        <v>205160</v>
      </c>
      <c r="AI354" s="13">
        <v>3</v>
      </c>
      <c r="AJ354" s="135">
        <f t="shared" si="65"/>
        <v>90</v>
      </c>
      <c r="AK354" s="136">
        <f t="shared" si="66"/>
        <v>270</v>
      </c>
      <c r="AL354" s="136" t="str" cm="1">
        <f t="array" ref="AL354">_xlfn.IFS(
AI354&lt;3,"Ligera",
AI354&lt;=6,"Moderada",
AI354&gt;6,"Vigorosa"
)</f>
        <v>Moderada</v>
      </c>
      <c r="AM354" s="45" t="s">
        <v>48</v>
      </c>
      <c r="AN354" s="46" t="s">
        <v>60</v>
      </c>
      <c r="AO354" s="46" t="s">
        <v>61</v>
      </c>
      <c r="AP354" s="289" t="s">
        <v>155</v>
      </c>
      <c r="AQ354" s="139">
        <v>0</v>
      </c>
    </row>
    <row r="355" spans="1:45" ht="78" customHeight="1" thickBot="1">
      <c r="A355" s="140" t="s">
        <v>351</v>
      </c>
      <c r="B355" s="141">
        <v>159</v>
      </c>
      <c r="C355" s="141">
        <v>82</v>
      </c>
      <c r="D355" s="141">
        <v>32.71</v>
      </c>
      <c r="E355" s="141" t="s">
        <v>45</v>
      </c>
      <c r="F355" s="141" t="s">
        <v>45</v>
      </c>
      <c r="G355" s="141" t="s">
        <v>46</v>
      </c>
      <c r="H355" s="141"/>
      <c r="I355" s="141" t="s">
        <v>45</v>
      </c>
      <c r="J355" s="141" t="s">
        <v>47</v>
      </c>
      <c r="K355" s="141" t="s">
        <v>49</v>
      </c>
      <c r="L355" s="141" t="s">
        <v>49</v>
      </c>
      <c r="M355" s="142" t="s">
        <v>56</v>
      </c>
      <c r="N355" s="142" t="s">
        <v>57</v>
      </c>
      <c r="O355" s="142" t="s">
        <v>58</v>
      </c>
      <c r="P355" s="142" t="s">
        <v>51</v>
      </c>
      <c r="Q355" s="158" t="s">
        <v>149</v>
      </c>
      <c r="R355" s="169">
        <v>59</v>
      </c>
      <c r="S355" s="170">
        <v>17.260000000000002</v>
      </c>
      <c r="T355" s="171">
        <v>7.2</v>
      </c>
      <c r="U355" s="169">
        <v>59</v>
      </c>
      <c r="V355" s="169">
        <v>15.71</v>
      </c>
      <c r="W355" s="170">
        <v>7.49</v>
      </c>
      <c r="X355" s="130">
        <f t="shared" si="64"/>
        <v>-1.5500000000000007</v>
      </c>
      <c r="Y355" s="16">
        <f t="shared" si="67"/>
        <v>0.95679638483529938</v>
      </c>
      <c r="Z355" s="15">
        <f t="shared" si="68"/>
        <v>0.32999999999999829</v>
      </c>
      <c r="AA355" s="16">
        <f t="shared" si="69"/>
        <v>57.149296521739124</v>
      </c>
      <c r="AB355" s="16">
        <f t="shared" si="70"/>
        <v>1.3978429250409115</v>
      </c>
      <c r="AC355" s="66" t="s">
        <v>48</v>
      </c>
      <c r="AD355" s="151" t="s">
        <v>352</v>
      </c>
      <c r="AE355" s="146">
        <v>6</v>
      </c>
      <c r="AF355" s="146">
        <v>3</v>
      </c>
      <c r="AG355" s="146">
        <v>30</v>
      </c>
      <c r="AH355" s="13">
        <v>205160</v>
      </c>
      <c r="AI355" s="13">
        <v>3</v>
      </c>
      <c r="AJ355" s="135">
        <f t="shared" si="65"/>
        <v>90</v>
      </c>
      <c r="AK355" s="136">
        <f t="shared" si="66"/>
        <v>270</v>
      </c>
      <c r="AL355" s="136" t="str" cm="1">
        <f t="array" ref="AL355">_xlfn.IFS(
AI355&lt;3,"Ligera",
AI355&lt;=6,"Moderada",
AI355&gt;6,"Vigorosa"
)</f>
        <v>Moderada</v>
      </c>
      <c r="AM355" s="147" t="s">
        <v>48</v>
      </c>
      <c r="AN355" s="148" t="s">
        <v>60</v>
      </c>
      <c r="AO355" s="148" t="s">
        <v>61</v>
      </c>
      <c r="AP355" s="290" t="s">
        <v>155</v>
      </c>
      <c r="AQ355" s="149">
        <v>0</v>
      </c>
    </row>
    <row r="356" spans="1:45" ht="68.25" customHeight="1" thickBot="1">
      <c r="A356" s="124" t="s">
        <v>353</v>
      </c>
      <c r="B356" s="125">
        <v>15</v>
      </c>
      <c r="C356" s="125">
        <v>83.6</v>
      </c>
      <c r="D356" s="125">
        <v>29</v>
      </c>
      <c r="E356" s="125" t="s">
        <v>45</v>
      </c>
      <c r="F356" s="125" t="s">
        <v>45</v>
      </c>
      <c r="G356" s="125" t="s">
        <v>354</v>
      </c>
      <c r="H356" s="125"/>
      <c r="I356" s="125" t="s">
        <v>45</v>
      </c>
      <c r="J356" s="125" t="s">
        <v>47</v>
      </c>
      <c r="K356" s="125" t="s">
        <v>49</v>
      </c>
      <c r="L356" s="125" t="s">
        <v>49</v>
      </c>
      <c r="M356" s="126" t="s">
        <v>56</v>
      </c>
      <c r="N356" s="126" t="s">
        <v>57</v>
      </c>
      <c r="O356" s="126" t="s">
        <v>208</v>
      </c>
      <c r="P356" s="126" t="s">
        <v>51</v>
      </c>
      <c r="Q356" s="159" t="s">
        <v>91</v>
      </c>
      <c r="R356" s="167">
        <v>7</v>
      </c>
      <c r="S356" s="168">
        <v>3.3</v>
      </c>
      <c r="T356" s="179">
        <v>3.2</v>
      </c>
      <c r="U356" s="168">
        <v>7</v>
      </c>
      <c r="V356" s="167">
        <v>3.2</v>
      </c>
      <c r="W356" s="168">
        <v>2.5</v>
      </c>
      <c r="X356" s="130">
        <f t="shared" si="64"/>
        <v>-9.9999999999999645E-2</v>
      </c>
      <c r="Y356" s="16">
        <f t="shared" si="67"/>
        <v>1.1012979355547448</v>
      </c>
      <c r="Z356" s="286" t="s">
        <v>53</v>
      </c>
      <c r="AA356" s="286" t="s">
        <v>53</v>
      </c>
      <c r="AB356" s="287">
        <v>1.1012979355547448</v>
      </c>
      <c r="AC356" s="66" t="s">
        <v>49</v>
      </c>
      <c r="AD356" s="133" t="s">
        <v>355</v>
      </c>
      <c r="AE356" s="134">
        <v>10</v>
      </c>
      <c r="AF356" s="134">
        <v>2</v>
      </c>
      <c r="AG356" s="134">
        <v>4</v>
      </c>
      <c r="AH356" s="13">
        <v>205160</v>
      </c>
      <c r="AI356" s="13">
        <v>3</v>
      </c>
      <c r="AJ356" s="135">
        <f t="shared" si="65"/>
        <v>12</v>
      </c>
      <c r="AK356" s="136">
        <f t="shared" si="66"/>
        <v>24</v>
      </c>
      <c r="AL356" s="136" t="str" cm="1">
        <f t="array" ref="AL356">_xlfn.IFS(
AI356&lt;3,"Ligera",
AI356&lt;=6,"Moderada",
AI356&gt;6,"Vigorosa"
)</f>
        <v>Moderada</v>
      </c>
      <c r="AM356" s="136" t="s">
        <v>48</v>
      </c>
      <c r="AN356" s="135" t="s">
        <v>60</v>
      </c>
      <c r="AO356" s="135" t="s">
        <v>61</v>
      </c>
      <c r="AP356" s="288" t="s">
        <v>155</v>
      </c>
      <c r="AQ356" s="137">
        <v>0</v>
      </c>
    </row>
    <row r="357" spans="1:45" ht="78" customHeight="1" thickBot="1">
      <c r="A357" s="138" t="s">
        <v>353</v>
      </c>
      <c r="B357" s="12">
        <v>15</v>
      </c>
      <c r="C357" s="12">
        <v>84.4</v>
      </c>
      <c r="D357" s="12">
        <v>12</v>
      </c>
      <c r="E357" s="12" t="s">
        <v>45</v>
      </c>
      <c r="F357" s="12" t="s">
        <v>45</v>
      </c>
      <c r="G357" s="12" t="s">
        <v>354</v>
      </c>
      <c r="H357" s="12"/>
      <c r="I357" s="12" t="s">
        <v>45</v>
      </c>
      <c r="J357" s="12" t="s">
        <v>47</v>
      </c>
      <c r="K357" s="12" t="s">
        <v>49</v>
      </c>
      <c r="L357" s="12" t="s">
        <v>49</v>
      </c>
      <c r="M357" s="11" t="s">
        <v>56</v>
      </c>
      <c r="N357" s="11" t="s">
        <v>57</v>
      </c>
      <c r="O357" s="11" t="s">
        <v>58</v>
      </c>
      <c r="P357" s="11" t="s">
        <v>51</v>
      </c>
      <c r="Q357" s="50" t="s">
        <v>91</v>
      </c>
      <c r="R357" s="47">
        <v>8</v>
      </c>
      <c r="S357" s="48">
        <v>3.7</v>
      </c>
      <c r="T357" s="52">
        <v>3.3</v>
      </c>
      <c r="U357" s="48">
        <v>8</v>
      </c>
      <c r="V357" s="47">
        <v>4.0999999999999996</v>
      </c>
      <c r="W357" s="48">
        <v>4.0999999999999996</v>
      </c>
      <c r="X357" s="130">
        <f t="shared" si="64"/>
        <v>0.39999999999999947</v>
      </c>
      <c r="Y357" s="16">
        <f t="shared" si="67"/>
        <v>1.3308831654206164</v>
      </c>
      <c r="Z357" s="15">
        <f t="shared" si="68"/>
        <v>0.49999999999999911</v>
      </c>
      <c r="AA357" s="16">
        <f t="shared" si="69"/>
        <v>11.936153846153845</v>
      </c>
      <c r="AB357" s="16">
        <f t="shared" si="70"/>
        <v>1.7880671312716605</v>
      </c>
      <c r="AC357" s="66" t="s">
        <v>49</v>
      </c>
      <c r="AD357" s="51" t="s">
        <v>356</v>
      </c>
      <c r="AE357" s="13">
        <v>10</v>
      </c>
      <c r="AF357" s="13">
        <v>2</v>
      </c>
      <c r="AG357" s="13">
        <v>4</v>
      </c>
      <c r="AH357" s="13">
        <v>205160</v>
      </c>
      <c r="AI357" s="13">
        <v>3</v>
      </c>
      <c r="AJ357" s="135">
        <f t="shared" si="65"/>
        <v>12</v>
      </c>
      <c r="AK357" s="136">
        <f t="shared" si="66"/>
        <v>24</v>
      </c>
      <c r="AL357" s="136" t="str" cm="1">
        <f t="array" ref="AL357">_xlfn.IFS(
AI357&lt;3,"Ligera",
AI357&lt;=6,"Moderada",
AI357&gt;6,"Vigorosa"
)</f>
        <v>Moderada</v>
      </c>
      <c r="AM357" s="45" t="s">
        <v>48</v>
      </c>
      <c r="AN357" s="46" t="s">
        <v>60</v>
      </c>
      <c r="AO357" s="46" t="s">
        <v>61</v>
      </c>
      <c r="AP357" s="289" t="s">
        <v>155</v>
      </c>
      <c r="AQ357" s="139">
        <v>0</v>
      </c>
    </row>
    <row r="358" spans="1:45" ht="68.25" customHeight="1" thickBot="1">
      <c r="A358" s="138" t="s">
        <v>353</v>
      </c>
      <c r="B358" s="12">
        <v>15</v>
      </c>
      <c r="C358" s="12">
        <v>83.6</v>
      </c>
      <c r="D358" s="12">
        <v>29</v>
      </c>
      <c r="E358" s="12" t="s">
        <v>45</v>
      </c>
      <c r="F358" s="12" t="s">
        <v>45</v>
      </c>
      <c r="G358" s="12" t="s">
        <v>354</v>
      </c>
      <c r="H358" s="12"/>
      <c r="I358" s="12" t="s">
        <v>45</v>
      </c>
      <c r="J358" s="12" t="s">
        <v>47</v>
      </c>
      <c r="K358" s="12" t="s">
        <v>49</v>
      </c>
      <c r="L358" s="12" t="s">
        <v>49</v>
      </c>
      <c r="M358" s="11" t="s">
        <v>56</v>
      </c>
      <c r="N358" s="11" t="s">
        <v>57</v>
      </c>
      <c r="O358" s="11" t="s">
        <v>208</v>
      </c>
      <c r="P358" s="11" t="s">
        <v>51</v>
      </c>
      <c r="Q358" s="50" t="s">
        <v>84</v>
      </c>
      <c r="R358" s="47">
        <v>7</v>
      </c>
      <c r="S358" s="48">
        <v>0.46</v>
      </c>
      <c r="T358" s="52">
        <v>0.25</v>
      </c>
      <c r="U358" s="48">
        <v>7</v>
      </c>
      <c r="V358" s="47">
        <v>0.51</v>
      </c>
      <c r="W358" s="48">
        <v>0.19</v>
      </c>
      <c r="X358" s="130">
        <f t="shared" si="64"/>
        <v>4.9999999999999989E-2</v>
      </c>
      <c r="Y358" s="16">
        <f t="shared" si="67"/>
        <v>8.5440037453175299E-2</v>
      </c>
      <c r="Z358" s="286" t="s">
        <v>53</v>
      </c>
      <c r="AA358" s="286" t="s">
        <v>53</v>
      </c>
      <c r="AB358" s="287">
        <v>8.5440037453175299E-2</v>
      </c>
      <c r="AC358" s="66" t="s">
        <v>49</v>
      </c>
      <c r="AD358" s="51" t="s">
        <v>355</v>
      </c>
      <c r="AE358" s="13">
        <v>10</v>
      </c>
      <c r="AF358" s="13">
        <v>2</v>
      </c>
      <c r="AG358" s="13">
        <v>4</v>
      </c>
      <c r="AH358" s="13">
        <v>205160</v>
      </c>
      <c r="AI358" s="13">
        <v>3</v>
      </c>
      <c r="AJ358" s="135">
        <f t="shared" si="65"/>
        <v>12</v>
      </c>
      <c r="AK358" s="136">
        <f t="shared" si="66"/>
        <v>24</v>
      </c>
      <c r="AL358" s="136" t="str" cm="1">
        <f t="array" ref="AL358">_xlfn.IFS(
AI358&lt;3,"Ligera",
AI358&lt;=6,"Moderada",
AI358&gt;6,"Vigorosa"
)</f>
        <v>Moderada</v>
      </c>
      <c r="AM358" s="45" t="s">
        <v>48</v>
      </c>
      <c r="AN358" s="46" t="s">
        <v>60</v>
      </c>
      <c r="AO358" s="46" t="s">
        <v>61</v>
      </c>
      <c r="AP358" s="289" t="s">
        <v>155</v>
      </c>
      <c r="AQ358" s="139">
        <v>0</v>
      </c>
    </row>
    <row r="359" spans="1:45" ht="78" customHeight="1" thickBot="1">
      <c r="A359" s="138" t="s">
        <v>353</v>
      </c>
      <c r="B359" s="12">
        <v>15</v>
      </c>
      <c r="C359" s="12">
        <v>84.4</v>
      </c>
      <c r="D359" s="12">
        <v>12</v>
      </c>
      <c r="E359" s="12" t="s">
        <v>45</v>
      </c>
      <c r="F359" s="12" t="s">
        <v>45</v>
      </c>
      <c r="G359" s="12" t="s">
        <v>354</v>
      </c>
      <c r="H359" s="12"/>
      <c r="I359" s="12" t="s">
        <v>45</v>
      </c>
      <c r="J359" s="12" t="s">
        <v>47</v>
      </c>
      <c r="K359" s="12" t="s">
        <v>49</v>
      </c>
      <c r="L359" s="12" t="s">
        <v>49</v>
      </c>
      <c r="M359" s="11" t="s">
        <v>56</v>
      </c>
      <c r="N359" s="11" t="s">
        <v>57</v>
      </c>
      <c r="O359" s="11" t="s">
        <v>58</v>
      </c>
      <c r="P359" s="11" t="s">
        <v>51</v>
      </c>
      <c r="Q359" s="50" t="s">
        <v>84</v>
      </c>
      <c r="R359" s="47">
        <v>8</v>
      </c>
      <c r="S359" s="48">
        <v>0.52</v>
      </c>
      <c r="T359" s="52">
        <v>0.28999999999999998</v>
      </c>
      <c r="U359" s="48">
        <v>8</v>
      </c>
      <c r="V359" s="47">
        <v>0.52</v>
      </c>
      <c r="W359" s="48">
        <v>0.24</v>
      </c>
      <c r="X359" s="130">
        <f t="shared" si="64"/>
        <v>0</v>
      </c>
      <c r="Y359" s="16">
        <f t="shared" si="67"/>
        <v>9.4934187730237624E-2</v>
      </c>
      <c r="Z359" s="15">
        <f t="shared" si="68"/>
        <v>-4.9999999999999989E-2</v>
      </c>
      <c r="AA359" s="16">
        <f t="shared" si="69"/>
        <v>4.7676923076923075E-2</v>
      </c>
      <c r="AB359" s="16">
        <f t="shared" si="70"/>
        <v>0.1130070988726124</v>
      </c>
      <c r="AC359" s="66" t="s">
        <v>49</v>
      </c>
      <c r="AD359" s="51" t="s">
        <v>356</v>
      </c>
      <c r="AE359" s="13">
        <v>10</v>
      </c>
      <c r="AF359" s="13">
        <v>2</v>
      </c>
      <c r="AG359" s="13">
        <v>4</v>
      </c>
      <c r="AH359" s="13">
        <v>205160</v>
      </c>
      <c r="AI359" s="13">
        <v>3</v>
      </c>
      <c r="AJ359" s="135">
        <f t="shared" si="65"/>
        <v>12</v>
      </c>
      <c r="AK359" s="136">
        <f t="shared" si="66"/>
        <v>24</v>
      </c>
      <c r="AL359" s="136" t="str" cm="1">
        <f t="array" ref="AL359">_xlfn.IFS(
AI359&lt;3,"Ligera",
AI359&lt;=6,"Moderada",
AI359&gt;6,"Vigorosa"
)</f>
        <v>Moderada</v>
      </c>
      <c r="AM359" s="45" t="s">
        <v>48</v>
      </c>
      <c r="AN359" s="46" t="s">
        <v>60</v>
      </c>
      <c r="AO359" s="46" t="s">
        <v>61</v>
      </c>
      <c r="AP359" s="289" t="s">
        <v>155</v>
      </c>
      <c r="AQ359" s="139">
        <v>0</v>
      </c>
    </row>
    <row r="360" spans="1:45" ht="68.25" customHeight="1" thickBot="1">
      <c r="A360" s="138" t="s">
        <v>353</v>
      </c>
      <c r="B360" s="12">
        <v>15</v>
      </c>
      <c r="C360" s="12">
        <v>83.6</v>
      </c>
      <c r="D360" s="12">
        <v>29</v>
      </c>
      <c r="E360" s="12" t="s">
        <v>45</v>
      </c>
      <c r="F360" s="12" t="s">
        <v>45</v>
      </c>
      <c r="G360" s="12" t="s">
        <v>354</v>
      </c>
      <c r="H360" s="12"/>
      <c r="I360" s="12" t="s">
        <v>45</v>
      </c>
      <c r="J360" s="12" t="s">
        <v>47</v>
      </c>
      <c r="K360" s="12" t="s">
        <v>49</v>
      </c>
      <c r="L360" s="12" t="s">
        <v>49</v>
      </c>
      <c r="M360" s="11" t="s">
        <v>56</v>
      </c>
      <c r="N360" s="11" t="s">
        <v>57</v>
      </c>
      <c r="O360" s="11" t="s">
        <v>208</v>
      </c>
      <c r="P360" s="11" t="s">
        <v>51</v>
      </c>
      <c r="Q360" s="50" t="s">
        <v>85</v>
      </c>
      <c r="R360" s="47">
        <v>7</v>
      </c>
      <c r="S360" s="48">
        <v>0.56999999999999995</v>
      </c>
      <c r="T360" s="52">
        <v>0.25</v>
      </c>
      <c r="U360" s="48">
        <v>7</v>
      </c>
      <c r="V360" s="47">
        <v>0.68</v>
      </c>
      <c r="W360" s="48">
        <v>0.23</v>
      </c>
      <c r="X360" s="130">
        <f t="shared" si="64"/>
        <v>0.1100000000000001</v>
      </c>
      <c r="Y360" s="16">
        <f t="shared" si="67"/>
        <v>9.094739452798288E-2</v>
      </c>
      <c r="Z360" s="286" t="s">
        <v>53</v>
      </c>
      <c r="AA360" s="286" t="s">
        <v>53</v>
      </c>
      <c r="AB360" s="287">
        <v>9.094739452798288E-2</v>
      </c>
      <c r="AC360" s="66" t="s">
        <v>49</v>
      </c>
      <c r="AD360" s="51" t="s">
        <v>355</v>
      </c>
      <c r="AE360" s="13">
        <v>10</v>
      </c>
      <c r="AF360" s="13">
        <v>2</v>
      </c>
      <c r="AG360" s="13">
        <v>4</v>
      </c>
      <c r="AH360" s="13">
        <v>205160</v>
      </c>
      <c r="AI360" s="13">
        <v>3</v>
      </c>
      <c r="AJ360" s="135">
        <f t="shared" si="65"/>
        <v>12</v>
      </c>
      <c r="AK360" s="136">
        <f t="shared" si="66"/>
        <v>24</v>
      </c>
      <c r="AL360" s="136" t="str" cm="1">
        <f t="array" ref="AL360">_xlfn.IFS(
AI360&lt;3,"Ligera",
AI360&lt;=6,"Moderada",
AI360&gt;6,"Vigorosa"
)</f>
        <v>Moderada</v>
      </c>
      <c r="AM360" s="45" t="s">
        <v>48</v>
      </c>
      <c r="AN360" s="46" t="s">
        <v>60</v>
      </c>
      <c r="AO360" s="46" t="s">
        <v>61</v>
      </c>
      <c r="AP360" s="289" t="s">
        <v>155</v>
      </c>
      <c r="AQ360" s="139">
        <v>0</v>
      </c>
    </row>
    <row r="361" spans="1:45" ht="78" customHeight="1" thickBot="1">
      <c r="A361" s="138" t="s">
        <v>353</v>
      </c>
      <c r="B361" s="12">
        <v>15</v>
      </c>
      <c r="C361" s="12">
        <v>84.4</v>
      </c>
      <c r="D361" s="12">
        <v>12</v>
      </c>
      <c r="E361" s="12" t="s">
        <v>45</v>
      </c>
      <c r="F361" s="12" t="s">
        <v>45</v>
      </c>
      <c r="G361" s="12" t="s">
        <v>354</v>
      </c>
      <c r="H361" s="12"/>
      <c r="I361" s="12" t="s">
        <v>45</v>
      </c>
      <c r="J361" s="12" t="s">
        <v>47</v>
      </c>
      <c r="K361" s="12" t="s">
        <v>49</v>
      </c>
      <c r="L361" s="12" t="s">
        <v>49</v>
      </c>
      <c r="M361" s="11" t="s">
        <v>56</v>
      </c>
      <c r="N361" s="11" t="s">
        <v>57</v>
      </c>
      <c r="O361" s="11" t="s">
        <v>58</v>
      </c>
      <c r="P361" s="11" t="s">
        <v>51</v>
      </c>
      <c r="Q361" s="50" t="s">
        <v>85</v>
      </c>
      <c r="R361" s="47">
        <v>8</v>
      </c>
      <c r="S361" s="48">
        <v>0.69</v>
      </c>
      <c r="T361" s="52">
        <v>0.35</v>
      </c>
      <c r="U361" s="48">
        <v>8</v>
      </c>
      <c r="V361" s="47">
        <v>0.67</v>
      </c>
      <c r="W361" s="48">
        <v>0.22</v>
      </c>
      <c r="X361" s="130">
        <f t="shared" si="64"/>
        <v>-1.9999999999999907E-2</v>
      </c>
      <c r="Y361" s="16">
        <f t="shared" si="67"/>
        <v>0.10833974340010225</v>
      </c>
      <c r="Z361" s="15">
        <f t="shared" si="68"/>
        <v>-0.13</v>
      </c>
      <c r="AA361" s="16">
        <f t="shared" si="69"/>
        <v>5.0476923076923079E-2</v>
      </c>
      <c r="AB361" s="16">
        <f t="shared" si="70"/>
        <v>0.11627813378105273</v>
      </c>
      <c r="AC361" s="66" t="s">
        <v>49</v>
      </c>
      <c r="AD361" s="51" t="s">
        <v>356</v>
      </c>
      <c r="AE361" s="13">
        <v>10</v>
      </c>
      <c r="AF361" s="13">
        <v>2</v>
      </c>
      <c r="AG361" s="13">
        <v>4</v>
      </c>
      <c r="AH361" s="13">
        <v>205160</v>
      </c>
      <c r="AI361" s="13">
        <v>3</v>
      </c>
      <c r="AJ361" s="135">
        <f t="shared" si="65"/>
        <v>12</v>
      </c>
      <c r="AK361" s="136">
        <f t="shared" si="66"/>
        <v>24</v>
      </c>
      <c r="AL361" s="136" t="str" cm="1">
        <f t="array" ref="AL361">_xlfn.IFS(
AI361&lt;3,"Ligera",
AI361&lt;=6,"Moderada",
AI361&gt;6,"Vigorosa"
)</f>
        <v>Moderada</v>
      </c>
      <c r="AM361" s="45" t="s">
        <v>48</v>
      </c>
      <c r="AN361" s="46" t="s">
        <v>60</v>
      </c>
      <c r="AO361" s="46" t="s">
        <v>61</v>
      </c>
      <c r="AP361" s="289" t="s">
        <v>155</v>
      </c>
      <c r="AQ361" s="139">
        <v>0</v>
      </c>
    </row>
    <row r="362" spans="1:45" ht="68.25" customHeight="1" thickBot="1">
      <c r="A362" s="138" t="s">
        <v>353</v>
      </c>
      <c r="B362" s="12">
        <v>15</v>
      </c>
      <c r="C362" s="12">
        <v>83.6</v>
      </c>
      <c r="D362" s="12">
        <v>29</v>
      </c>
      <c r="E362" s="12" t="s">
        <v>45</v>
      </c>
      <c r="F362" s="12" t="s">
        <v>45</v>
      </c>
      <c r="G362" s="12" t="s">
        <v>354</v>
      </c>
      <c r="H362" s="12"/>
      <c r="I362" s="12" t="s">
        <v>45</v>
      </c>
      <c r="J362" s="12" t="s">
        <v>47</v>
      </c>
      <c r="K362" s="12" t="s">
        <v>49</v>
      </c>
      <c r="L362" s="12" t="s">
        <v>49</v>
      </c>
      <c r="M362" s="11" t="s">
        <v>56</v>
      </c>
      <c r="N362" s="11" t="s">
        <v>57</v>
      </c>
      <c r="O362" s="11" t="s">
        <v>208</v>
      </c>
      <c r="P362" s="11" t="s">
        <v>51</v>
      </c>
      <c r="Q362" s="50" t="s">
        <v>124</v>
      </c>
      <c r="R362" s="47">
        <v>7</v>
      </c>
      <c r="S362" s="48">
        <v>26.7</v>
      </c>
      <c r="T362" s="52">
        <v>13.7</v>
      </c>
      <c r="U362" s="48">
        <v>7</v>
      </c>
      <c r="V362" s="47">
        <v>27.3</v>
      </c>
      <c r="W362" s="48">
        <v>11.5</v>
      </c>
      <c r="X362" s="130">
        <f t="shared" si="64"/>
        <v>0.60000000000000142</v>
      </c>
      <c r="Y362" s="16">
        <f t="shared" si="67"/>
        <v>4.8164895337342344</v>
      </c>
      <c r="Z362" s="286" t="s">
        <v>53</v>
      </c>
      <c r="AA362" s="286" t="s">
        <v>53</v>
      </c>
      <c r="AB362" s="287">
        <v>4.8164895337342344</v>
      </c>
      <c r="AC362" s="66" t="s">
        <v>48</v>
      </c>
      <c r="AD362" s="51" t="s">
        <v>355</v>
      </c>
      <c r="AE362" s="13">
        <v>10</v>
      </c>
      <c r="AF362" s="13">
        <v>2</v>
      </c>
      <c r="AG362" s="13">
        <v>4</v>
      </c>
      <c r="AH362" s="13">
        <v>205160</v>
      </c>
      <c r="AI362" s="13">
        <v>3</v>
      </c>
      <c r="AJ362" s="135">
        <f t="shared" si="65"/>
        <v>12</v>
      </c>
      <c r="AK362" s="136">
        <f t="shared" si="66"/>
        <v>24</v>
      </c>
      <c r="AL362" s="136" t="str" cm="1">
        <f t="array" ref="AL362">_xlfn.IFS(
AI362&lt;3,"Ligera",
AI362&lt;=6,"Moderada",
AI362&gt;6,"Vigorosa"
)</f>
        <v>Moderada</v>
      </c>
      <c r="AM362" s="45" t="s">
        <v>48</v>
      </c>
      <c r="AN362" s="46" t="s">
        <v>60</v>
      </c>
      <c r="AO362" s="46" t="s">
        <v>61</v>
      </c>
      <c r="AP362" s="289" t="s">
        <v>155</v>
      </c>
      <c r="AQ362" s="139">
        <v>0</v>
      </c>
    </row>
    <row r="363" spans="1:45" ht="78" customHeight="1" thickBot="1">
      <c r="A363" s="138" t="s">
        <v>353</v>
      </c>
      <c r="B363" s="12">
        <v>15</v>
      </c>
      <c r="C363" s="12">
        <v>84.4</v>
      </c>
      <c r="D363" s="12">
        <v>12</v>
      </c>
      <c r="E363" s="12" t="s">
        <v>45</v>
      </c>
      <c r="F363" s="12" t="s">
        <v>45</v>
      </c>
      <c r="G363" s="12" t="s">
        <v>354</v>
      </c>
      <c r="H363" s="12"/>
      <c r="I363" s="12" t="s">
        <v>45</v>
      </c>
      <c r="J363" s="12" t="s">
        <v>47</v>
      </c>
      <c r="K363" s="12" t="s">
        <v>49</v>
      </c>
      <c r="L363" s="12" t="s">
        <v>49</v>
      </c>
      <c r="M363" s="11" t="s">
        <v>56</v>
      </c>
      <c r="N363" s="11" t="s">
        <v>57</v>
      </c>
      <c r="O363" s="11" t="s">
        <v>58</v>
      </c>
      <c r="P363" s="11" t="s">
        <v>51</v>
      </c>
      <c r="Q363" s="50" t="s">
        <v>124</v>
      </c>
      <c r="R363" s="47">
        <v>8</v>
      </c>
      <c r="S363" s="48">
        <v>37</v>
      </c>
      <c r="T363" s="52">
        <v>40.700000000000003</v>
      </c>
      <c r="U363" s="48">
        <v>8</v>
      </c>
      <c r="V363" s="47">
        <v>34.700000000000003</v>
      </c>
      <c r="W363" s="48">
        <v>34.700000000000003</v>
      </c>
      <c r="X363" s="130">
        <f t="shared" si="64"/>
        <v>-2.2999999999999972</v>
      </c>
      <c r="Y363" s="16">
        <f t="shared" si="67"/>
        <v>13.454971200266465</v>
      </c>
      <c r="Z363" s="15">
        <f t="shared" si="68"/>
        <v>-2.8999999999999986</v>
      </c>
      <c r="AA363" s="16">
        <f t="shared" si="69"/>
        <v>709.39461538461546</v>
      </c>
      <c r="AB363" s="16">
        <f t="shared" si="70"/>
        <v>13.78464416788351</v>
      </c>
      <c r="AC363" s="66" t="s">
        <v>48</v>
      </c>
      <c r="AD363" s="51" t="s">
        <v>356</v>
      </c>
      <c r="AE363" s="13">
        <v>10</v>
      </c>
      <c r="AF363" s="13">
        <v>2</v>
      </c>
      <c r="AG363" s="13">
        <v>4</v>
      </c>
      <c r="AH363" s="13">
        <v>205160</v>
      </c>
      <c r="AI363" s="13">
        <v>3</v>
      </c>
      <c r="AJ363" s="135">
        <f t="shared" si="65"/>
        <v>12</v>
      </c>
      <c r="AK363" s="136">
        <f t="shared" si="66"/>
        <v>24</v>
      </c>
      <c r="AL363" s="136" t="str" cm="1">
        <f t="array" ref="AL363">_xlfn.IFS(
AI363&lt;3,"Ligera",
AI363&lt;=6,"Moderada",
AI363&gt;6,"Vigorosa"
)</f>
        <v>Moderada</v>
      </c>
      <c r="AM363" s="45" t="s">
        <v>48</v>
      </c>
      <c r="AN363" s="46" t="s">
        <v>60</v>
      </c>
      <c r="AO363" s="46" t="s">
        <v>61</v>
      </c>
      <c r="AP363" s="289" t="s">
        <v>155</v>
      </c>
      <c r="AQ363" s="139">
        <v>0</v>
      </c>
    </row>
    <row r="364" spans="1:45" ht="68.25" customHeight="1" thickBot="1">
      <c r="A364" s="138" t="s">
        <v>353</v>
      </c>
      <c r="B364" s="12">
        <v>15</v>
      </c>
      <c r="C364" s="12">
        <v>83.6</v>
      </c>
      <c r="D364" s="12">
        <v>29</v>
      </c>
      <c r="E364" s="12" t="s">
        <v>45</v>
      </c>
      <c r="F364" s="12" t="s">
        <v>45</v>
      </c>
      <c r="G364" s="12" t="s">
        <v>354</v>
      </c>
      <c r="H364" s="12"/>
      <c r="I364" s="12" t="s">
        <v>45</v>
      </c>
      <c r="J364" s="12" t="s">
        <v>47</v>
      </c>
      <c r="K364" s="12" t="s">
        <v>49</v>
      </c>
      <c r="L364" s="12" t="s">
        <v>49</v>
      </c>
      <c r="M364" s="11" t="s">
        <v>56</v>
      </c>
      <c r="N364" s="11" t="s">
        <v>57</v>
      </c>
      <c r="O364" s="11" t="s">
        <v>208</v>
      </c>
      <c r="P364" s="11" t="s">
        <v>51</v>
      </c>
      <c r="Q364" s="50" t="s">
        <v>189</v>
      </c>
      <c r="R364" s="47">
        <v>7</v>
      </c>
      <c r="S364" s="48">
        <v>13.8</v>
      </c>
      <c r="T364" s="52">
        <v>5.9</v>
      </c>
      <c r="U364" s="48">
        <v>7</v>
      </c>
      <c r="V364" s="47">
        <v>15.8</v>
      </c>
      <c r="W364" s="48">
        <v>7.5</v>
      </c>
      <c r="X364" s="130">
        <f t="shared" si="64"/>
        <v>2</v>
      </c>
      <c r="Y364" s="16">
        <f t="shared" si="67"/>
        <v>2.5859510546688345</v>
      </c>
      <c r="Z364" s="286" t="s">
        <v>53</v>
      </c>
      <c r="AA364" s="286" t="s">
        <v>53</v>
      </c>
      <c r="AB364" s="287">
        <v>2.5859510546688345</v>
      </c>
      <c r="AC364" s="66" t="s">
        <v>49</v>
      </c>
      <c r="AD364" s="51" t="s">
        <v>355</v>
      </c>
      <c r="AE364" s="13">
        <v>10</v>
      </c>
      <c r="AF364" s="13">
        <v>2</v>
      </c>
      <c r="AG364" s="13">
        <v>4</v>
      </c>
      <c r="AH364" s="13">
        <v>205160</v>
      </c>
      <c r="AI364" s="13">
        <v>3</v>
      </c>
      <c r="AJ364" s="135">
        <f t="shared" si="65"/>
        <v>12</v>
      </c>
      <c r="AK364" s="136">
        <f t="shared" si="66"/>
        <v>24</v>
      </c>
      <c r="AL364" s="136" t="str" cm="1">
        <f t="array" ref="AL364">_xlfn.IFS(
AI364&lt;3,"Ligera",
AI364&lt;=6,"Moderada",
AI364&gt;6,"Vigorosa"
)</f>
        <v>Moderada</v>
      </c>
      <c r="AM364" s="45" t="s">
        <v>48</v>
      </c>
      <c r="AN364" s="46" t="s">
        <v>60</v>
      </c>
      <c r="AO364" s="46" t="s">
        <v>61</v>
      </c>
      <c r="AP364" s="289" t="s">
        <v>155</v>
      </c>
      <c r="AQ364" s="139">
        <v>0</v>
      </c>
    </row>
    <row r="365" spans="1:45" ht="78" customHeight="1" thickBot="1">
      <c r="A365" s="140" t="s">
        <v>353</v>
      </c>
      <c r="B365" s="141">
        <v>15</v>
      </c>
      <c r="C365" s="141">
        <v>84.4</v>
      </c>
      <c r="D365" s="141">
        <v>12</v>
      </c>
      <c r="E365" s="141" t="s">
        <v>45</v>
      </c>
      <c r="F365" s="141" t="s">
        <v>45</v>
      </c>
      <c r="G365" s="141" t="s">
        <v>354</v>
      </c>
      <c r="H365" s="141"/>
      <c r="I365" s="141" t="s">
        <v>45</v>
      </c>
      <c r="J365" s="141" t="s">
        <v>47</v>
      </c>
      <c r="K365" s="141" t="s">
        <v>49</v>
      </c>
      <c r="L365" s="141" t="s">
        <v>49</v>
      </c>
      <c r="M365" s="142" t="s">
        <v>56</v>
      </c>
      <c r="N365" s="142" t="s">
        <v>57</v>
      </c>
      <c r="O365" s="142" t="s">
        <v>58</v>
      </c>
      <c r="P365" s="142" t="s">
        <v>51</v>
      </c>
      <c r="Q365" s="158" t="s">
        <v>189</v>
      </c>
      <c r="R365" s="169">
        <v>8</v>
      </c>
      <c r="S365" s="170">
        <v>10.1</v>
      </c>
      <c r="T365" s="171">
        <v>6.9</v>
      </c>
      <c r="U365" s="170">
        <v>8</v>
      </c>
      <c r="V365" s="169">
        <v>12.5</v>
      </c>
      <c r="W365" s="170">
        <v>7.3</v>
      </c>
      <c r="X365" s="130">
        <f t="shared" si="64"/>
        <v>2.4000000000000004</v>
      </c>
      <c r="Y365" s="16">
        <f t="shared" si="67"/>
        <v>2.513215072372438</v>
      </c>
      <c r="Z365" s="15">
        <f t="shared" si="68"/>
        <v>0.40000000000000036</v>
      </c>
      <c r="AA365" s="16">
        <f t="shared" si="69"/>
        <v>54.656153846153842</v>
      </c>
      <c r="AB365" s="16">
        <f t="shared" si="70"/>
        <v>3.8262306789830651</v>
      </c>
      <c r="AC365" s="66" t="s">
        <v>49</v>
      </c>
      <c r="AD365" s="151" t="s">
        <v>356</v>
      </c>
      <c r="AE365" s="146">
        <v>10</v>
      </c>
      <c r="AF365" s="146">
        <v>2</v>
      </c>
      <c r="AG365" s="146">
        <v>4</v>
      </c>
      <c r="AH365" s="13">
        <v>205160</v>
      </c>
      <c r="AI365" s="13">
        <v>3</v>
      </c>
      <c r="AJ365" s="135">
        <f t="shared" si="65"/>
        <v>12</v>
      </c>
      <c r="AK365" s="136">
        <f t="shared" si="66"/>
        <v>24</v>
      </c>
      <c r="AL365" s="136" t="str" cm="1">
        <f t="array" ref="AL365">_xlfn.IFS(
AI365&lt;3,"Ligera",
AI365&lt;=6,"Moderada",
AI365&gt;6,"Vigorosa"
)</f>
        <v>Moderada</v>
      </c>
      <c r="AM365" s="147" t="s">
        <v>48</v>
      </c>
      <c r="AN365" s="148" t="s">
        <v>60</v>
      </c>
      <c r="AO365" s="148" t="s">
        <v>61</v>
      </c>
      <c r="AP365" s="290" t="s">
        <v>155</v>
      </c>
      <c r="AQ365" s="149">
        <v>0</v>
      </c>
    </row>
    <row r="366" spans="1:45" ht="64.5" customHeight="1" thickBot="1">
      <c r="A366" s="124" t="s">
        <v>357</v>
      </c>
      <c r="B366" s="125">
        <v>31</v>
      </c>
      <c r="C366" s="125">
        <v>82.9</v>
      </c>
      <c r="D366" s="125">
        <v>20</v>
      </c>
      <c r="E366" s="125" t="s">
        <v>45</v>
      </c>
      <c r="F366" s="125" t="s">
        <v>45</v>
      </c>
      <c r="G366" s="125" t="s">
        <v>244</v>
      </c>
      <c r="H366" s="125"/>
      <c r="I366" s="125" t="s">
        <v>45</v>
      </c>
      <c r="J366" s="125" t="s">
        <v>47</v>
      </c>
      <c r="K366" s="125" t="s">
        <v>48</v>
      </c>
      <c r="L366" s="125" t="s">
        <v>48</v>
      </c>
      <c r="M366" s="126" t="s">
        <v>50</v>
      </c>
      <c r="N366" s="126" t="s">
        <v>50</v>
      </c>
      <c r="O366" s="126" t="s">
        <v>50</v>
      </c>
      <c r="P366" s="126" t="s">
        <v>51</v>
      </c>
      <c r="Q366" s="159" t="s">
        <v>188</v>
      </c>
      <c r="R366" s="167">
        <v>15</v>
      </c>
      <c r="S366" s="168">
        <v>18</v>
      </c>
      <c r="T366" s="191">
        <v>8.1999999999999993</v>
      </c>
      <c r="U366" s="168">
        <v>13</v>
      </c>
      <c r="V366" s="167">
        <v>18.399999999999999</v>
      </c>
      <c r="W366" s="191">
        <v>7.9</v>
      </c>
      <c r="X366" s="130">
        <f t="shared" si="64"/>
        <v>0.39999999999999858</v>
      </c>
      <c r="Y366" s="16">
        <f t="shared" si="67"/>
        <v>2.2338307903688679</v>
      </c>
      <c r="Z366" s="286" t="s">
        <v>53</v>
      </c>
      <c r="AA366" s="286" t="s">
        <v>53</v>
      </c>
      <c r="AB366" s="287">
        <v>2.2338307903688679</v>
      </c>
      <c r="AC366" s="66" t="s">
        <v>49</v>
      </c>
      <c r="AD366" s="133" t="s">
        <v>358</v>
      </c>
      <c r="AE366" s="134">
        <v>8</v>
      </c>
      <c r="AF366" s="134">
        <v>0</v>
      </c>
      <c r="AG366" s="134">
        <v>0</v>
      </c>
      <c r="AH366" s="134">
        <v>0</v>
      </c>
      <c r="AI366" s="134">
        <v>0</v>
      </c>
      <c r="AJ366" s="135">
        <f t="shared" si="65"/>
        <v>0</v>
      </c>
      <c r="AK366" s="136">
        <f t="shared" si="66"/>
        <v>0</v>
      </c>
      <c r="AL366" s="136" t="str" cm="1">
        <f t="array" ref="AL366">_xlfn.IFS(
AI366&lt;3,"Ligera",
AI366&lt;=6,"Moderada",
AI366&gt;6,"Vigorosa"
)</f>
        <v>Ligera</v>
      </c>
      <c r="AM366" s="136" t="s">
        <v>49</v>
      </c>
      <c r="AN366" s="135" t="s">
        <v>49</v>
      </c>
      <c r="AO366" s="135" t="s">
        <v>49</v>
      </c>
      <c r="AP366" s="135" t="s">
        <v>49</v>
      </c>
      <c r="AQ366" s="137">
        <v>0</v>
      </c>
      <c r="AS366" s="156" t="s">
        <v>106</v>
      </c>
    </row>
    <row r="367" spans="1:45" ht="60" customHeight="1" thickBot="1">
      <c r="A367" s="138" t="s">
        <v>357</v>
      </c>
      <c r="B367" s="12">
        <v>31</v>
      </c>
      <c r="C367" s="12">
        <v>83.3</v>
      </c>
      <c r="D367" s="12">
        <v>43.75</v>
      </c>
      <c r="E367" s="12" t="s">
        <v>45</v>
      </c>
      <c r="F367" s="12" t="s">
        <v>45</v>
      </c>
      <c r="G367" s="12" t="s">
        <v>244</v>
      </c>
      <c r="H367" s="12"/>
      <c r="I367" s="12" t="s">
        <v>45</v>
      </c>
      <c r="J367" s="12" t="s">
        <v>47</v>
      </c>
      <c r="K367" s="12" t="s">
        <v>48</v>
      </c>
      <c r="L367" s="12" t="s">
        <v>48</v>
      </c>
      <c r="M367" s="11" t="s">
        <v>56</v>
      </c>
      <c r="N367" s="11" t="s">
        <v>152</v>
      </c>
      <c r="O367" s="11" t="s">
        <v>153</v>
      </c>
      <c r="P367" s="11" t="s">
        <v>51</v>
      </c>
      <c r="Q367" s="50" t="s">
        <v>188</v>
      </c>
      <c r="R367" s="47">
        <v>16</v>
      </c>
      <c r="S367" s="48">
        <v>17.8</v>
      </c>
      <c r="T367" s="85">
        <v>7.6</v>
      </c>
      <c r="U367" s="48">
        <v>14</v>
      </c>
      <c r="V367" s="47">
        <v>17.8</v>
      </c>
      <c r="W367" s="85">
        <v>10.6</v>
      </c>
      <c r="X367" s="130">
        <f t="shared" si="64"/>
        <v>0</v>
      </c>
      <c r="Y367" s="16">
        <f t="shared" si="67"/>
        <v>2.5292573726576064</v>
      </c>
      <c r="Z367" s="15">
        <f t="shared" si="68"/>
        <v>-0.39999999999999858</v>
      </c>
      <c r="AA367" s="16">
        <f t="shared" si="69"/>
        <v>88.384000000000015</v>
      </c>
      <c r="AB367" s="16">
        <f t="shared" si="70"/>
        <v>3.6210374325477623</v>
      </c>
      <c r="AC367" s="66" t="s">
        <v>49</v>
      </c>
      <c r="AD367" s="51" t="s">
        <v>359</v>
      </c>
      <c r="AE367" s="13">
        <v>8</v>
      </c>
      <c r="AF367" s="13">
        <v>4</v>
      </c>
      <c r="AG367" s="13">
        <v>25</v>
      </c>
      <c r="AH367" s="134">
        <v>2230060</v>
      </c>
      <c r="AI367" s="134">
        <v>3.5</v>
      </c>
      <c r="AJ367" s="135">
        <f t="shared" si="65"/>
        <v>87.5</v>
      </c>
      <c r="AK367" s="136">
        <f t="shared" si="66"/>
        <v>350</v>
      </c>
      <c r="AL367" s="136" t="str" cm="1">
        <f t="array" ref="AL367">_xlfn.IFS(
AI367&lt;3,"Ligera",
AI367&lt;=6,"Moderada",
AI367&gt;6,"Vigorosa"
)</f>
        <v>Moderada</v>
      </c>
      <c r="AM367" s="45" t="s">
        <v>48</v>
      </c>
      <c r="AN367" s="46" t="s">
        <v>60</v>
      </c>
      <c r="AO367" s="46" t="s">
        <v>61</v>
      </c>
      <c r="AP367" s="289" t="s">
        <v>62</v>
      </c>
      <c r="AQ367" s="139">
        <v>0</v>
      </c>
      <c r="AS367" s="156" t="s">
        <v>107</v>
      </c>
    </row>
    <row r="368" spans="1:45" ht="64.5" customHeight="1" thickBot="1">
      <c r="A368" s="138" t="s">
        <v>357</v>
      </c>
      <c r="B368" s="12">
        <v>31</v>
      </c>
      <c r="C368" s="12">
        <v>82.9</v>
      </c>
      <c r="D368" s="12">
        <v>20</v>
      </c>
      <c r="E368" s="12" t="s">
        <v>45</v>
      </c>
      <c r="F368" s="12" t="s">
        <v>45</v>
      </c>
      <c r="G368" s="12" t="s">
        <v>244</v>
      </c>
      <c r="H368" s="12"/>
      <c r="I368" s="12" t="s">
        <v>45</v>
      </c>
      <c r="J368" s="12" t="s">
        <v>47</v>
      </c>
      <c r="K368" s="12" t="s">
        <v>48</v>
      </c>
      <c r="L368" s="12" t="s">
        <v>48</v>
      </c>
      <c r="M368" s="11" t="s">
        <v>50</v>
      </c>
      <c r="N368" s="11" t="s">
        <v>50</v>
      </c>
      <c r="O368" s="11" t="s">
        <v>50</v>
      </c>
      <c r="P368" s="11" t="s">
        <v>51</v>
      </c>
      <c r="Q368" s="50" t="s">
        <v>149</v>
      </c>
      <c r="R368" s="47">
        <v>6</v>
      </c>
      <c r="S368" s="48">
        <v>17.2</v>
      </c>
      <c r="T368" s="85">
        <v>8.6999999999999993</v>
      </c>
      <c r="U368" s="48">
        <v>5</v>
      </c>
      <c r="V368" s="47">
        <v>16.5</v>
      </c>
      <c r="W368" s="85">
        <v>7.5</v>
      </c>
      <c r="X368" s="130">
        <f t="shared" si="64"/>
        <v>-0.69999999999999929</v>
      </c>
      <c r="Y368" s="16">
        <f t="shared" si="67"/>
        <v>3.6521226704479686</v>
      </c>
      <c r="Z368" s="286" t="s">
        <v>53</v>
      </c>
      <c r="AA368" s="286" t="s">
        <v>53</v>
      </c>
      <c r="AB368" s="287">
        <v>3.6521226704479686</v>
      </c>
      <c r="AC368" s="66" t="s">
        <v>48</v>
      </c>
      <c r="AD368" s="51" t="s">
        <v>358</v>
      </c>
      <c r="AE368" s="13">
        <v>8</v>
      </c>
      <c r="AF368" s="13">
        <v>0</v>
      </c>
      <c r="AG368" s="13">
        <v>0</v>
      </c>
      <c r="AH368" s="134">
        <v>0</v>
      </c>
      <c r="AI368" s="134">
        <v>0</v>
      </c>
      <c r="AJ368" s="135">
        <f t="shared" si="65"/>
        <v>0</v>
      </c>
      <c r="AK368" s="136">
        <f t="shared" si="66"/>
        <v>0</v>
      </c>
      <c r="AL368" s="136" t="str" cm="1">
        <f t="array" ref="AL368">_xlfn.IFS(
AI368&lt;3,"Ligera",
AI368&lt;=6,"Moderada",
AI368&gt;6,"Vigorosa"
)</f>
        <v>Ligera</v>
      </c>
      <c r="AM368" s="45" t="s">
        <v>49</v>
      </c>
      <c r="AN368" s="46" t="s">
        <v>49</v>
      </c>
      <c r="AO368" s="46" t="s">
        <v>49</v>
      </c>
      <c r="AP368" s="46" t="s">
        <v>49</v>
      </c>
      <c r="AQ368" s="139">
        <v>0</v>
      </c>
      <c r="AS368" s="156" t="s">
        <v>108</v>
      </c>
    </row>
    <row r="369" spans="1:45" ht="60" customHeight="1" thickBot="1">
      <c r="A369" s="138" t="s">
        <v>357</v>
      </c>
      <c r="B369" s="12">
        <v>31</v>
      </c>
      <c r="C369" s="12">
        <v>83.3</v>
      </c>
      <c r="D369" s="12">
        <v>43.75</v>
      </c>
      <c r="E369" s="12" t="s">
        <v>45</v>
      </c>
      <c r="F369" s="12" t="s">
        <v>45</v>
      </c>
      <c r="G369" s="12" t="s">
        <v>244</v>
      </c>
      <c r="H369" s="12"/>
      <c r="I369" s="12" t="s">
        <v>45</v>
      </c>
      <c r="J369" s="12" t="s">
        <v>47</v>
      </c>
      <c r="K369" s="12" t="s">
        <v>48</v>
      </c>
      <c r="L369" s="12" t="s">
        <v>48</v>
      </c>
      <c r="M369" s="11" t="s">
        <v>56</v>
      </c>
      <c r="N369" s="11" t="s">
        <v>152</v>
      </c>
      <c r="O369" s="11" t="s">
        <v>153</v>
      </c>
      <c r="P369" s="11" t="s">
        <v>51</v>
      </c>
      <c r="Q369" s="50" t="s">
        <v>149</v>
      </c>
      <c r="R369" s="47">
        <v>4</v>
      </c>
      <c r="S369" s="48">
        <v>16</v>
      </c>
      <c r="T369" s="85">
        <v>12.7</v>
      </c>
      <c r="U369" s="48">
        <v>5</v>
      </c>
      <c r="V369" s="47">
        <v>17</v>
      </c>
      <c r="W369" s="85">
        <v>5.5</v>
      </c>
      <c r="X369" s="130">
        <f t="shared" si="64"/>
        <v>1</v>
      </c>
      <c r="Y369" s="16">
        <f t="shared" si="67"/>
        <v>4.9333558558044439</v>
      </c>
      <c r="Z369" s="15">
        <f t="shared" si="68"/>
        <v>1.6999999999999993</v>
      </c>
      <c r="AA369" s="16">
        <f t="shared" si="69"/>
        <v>43.25</v>
      </c>
      <c r="AB369" s="16">
        <f t="shared" si="70"/>
        <v>4.1593268686170841</v>
      </c>
      <c r="AC369" s="66" t="s">
        <v>48</v>
      </c>
      <c r="AD369" s="51" t="s">
        <v>359</v>
      </c>
      <c r="AE369" s="13">
        <v>8</v>
      </c>
      <c r="AF369" s="13">
        <v>4</v>
      </c>
      <c r="AG369" s="13">
        <v>25</v>
      </c>
      <c r="AH369" s="134">
        <v>2230060</v>
      </c>
      <c r="AI369" s="134">
        <v>3.5</v>
      </c>
      <c r="AJ369" s="135">
        <f t="shared" si="65"/>
        <v>87.5</v>
      </c>
      <c r="AK369" s="136">
        <f t="shared" si="66"/>
        <v>350</v>
      </c>
      <c r="AL369" s="136" t="str" cm="1">
        <f t="array" ref="AL369">_xlfn.IFS(
AI369&lt;3,"Ligera",
AI369&lt;=6,"Moderada",
AI369&gt;6,"Vigorosa"
)</f>
        <v>Moderada</v>
      </c>
      <c r="AM369" s="45" t="s">
        <v>48</v>
      </c>
      <c r="AN369" s="46" t="s">
        <v>60</v>
      </c>
      <c r="AO369" s="46" t="s">
        <v>61</v>
      </c>
      <c r="AP369" s="289" t="s">
        <v>62</v>
      </c>
      <c r="AQ369" s="139">
        <v>0</v>
      </c>
      <c r="AS369" s="156" t="s">
        <v>109</v>
      </c>
    </row>
    <row r="370" spans="1:45" ht="64.5" customHeight="1" thickBot="1">
      <c r="A370" s="138" t="s">
        <v>357</v>
      </c>
      <c r="B370" s="12">
        <v>31</v>
      </c>
      <c r="C370" s="12">
        <v>82.9</v>
      </c>
      <c r="D370" s="12">
        <v>20</v>
      </c>
      <c r="E370" s="12" t="s">
        <v>45</v>
      </c>
      <c r="F370" s="12" t="s">
        <v>45</v>
      </c>
      <c r="G370" s="12" t="s">
        <v>244</v>
      </c>
      <c r="H370" s="12"/>
      <c r="I370" s="12" t="s">
        <v>45</v>
      </c>
      <c r="J370" s="12" t="s">
        <v>47</v>
      </c>
      <c r="K370" s="12" t="s">
        <v>48</v>
      </c>
      <c r="L370" s="12" t="s">
        <v>48</v>
      </c>
      <c r="M370" s="11" t="s">
        <v>50</v>
      </c>
      <c r="N370" s="11" t="s">
        <v>50</v>
      </c>
      <c r="O370" s="11" t="s">
        <v>50</v>
      </c>
      <c r="P370" s="11" t="s">
        <v>51</v>
      </c>
      <c r="Q370" s="50" t="s">
        <v>124</v>
      </c>
      <c r="R370" s="47">
        <v>10</v>
      </c>
      <c r="S370" s="48">
        <v>38.299999999999997</v>
      </c>
      <c r="T370" s="85">
        <v>31.4</v>
      </c>
      <c r="U370" s="48">
        <v>9</v>
      </c>
      <c r="V370" s="47">
        <v>41.8</v>
      </c>
      <c r="W370" s="85">
        <v>31.9</v>
      </c>
      <c r="X370" s="130">
        <f t="shared" si="64"/>
        <v>3.5</v>
      </c>
      <c r="Y370" s="16">
        <f t="shared" si="67"/>
        <v>10.550987315570676</v>
      </c>
      <c r="Z370" s="286" t="s">
        <v>53</v>
      </c>
      <c r="AA370" s="286" t="s">
        <v>53</v>
      </c>
      <c r="AB370" s="287">
        <v>10.550987315570676</v>
      </c>
      <c r="AC370" s="66" t="s">
        <v>48</v>
      </c>
      <c r="AD370" s="51" t="s">
        <v>358</v>
      </c>
      <c r="AE370" s="13">
        <v>8</v>
      </c>
      <c r="AF370" s="13">
        <v>0</v>
      </c>
      <c r="AG370" s="13">
        <v>0</v>
      </c>
      <c r="AH370" s="134">
        <v>0</v>
      </c>
      <c r="AI370" s="134">
        <v>0</v>
      </c>
      <c r="AJ370" s="135">
        <f t="shared" si="65"/>
        <v>0</v>
      </c>
      <c r="AK370" s="136">
        <f t="shared" si="66"/>
        <v>0</v>
      </c>
      <c r="AL370" s="136" t="str" cm="1">
        <f t="array" ref="AL370">_xlfn.IFS(
AI370&lt;3,"Ligera",
AI370&lt;=6,"Moderada",
AI370&gt;6,"Vigorosa"
)</f>
        <v>Ligera</v>
      </c>
      <c r="AM370" s="45" t="s">
        <v>49</v>
      </c>
      <c r="AN370" s="46" t="s">
        <v>49</v>
      </c>
      <c r="AO370" s="46" t="s">
        <v>49</v>
      </c>
      <c r="AP370" s="46" t="s">
        <v>49</v>
      </c>
      <c r="AQ370" s="139">
        <v>0</v>
      </c>
      <c r="AS370" s="156" t="s">
        <v>110</v>
      </c>
    </row>
    <row r="371" spans="1:45" ht="60" customHeight="1" thickBot="1">
      <c r="A371" s="138" t="s">
        <v>357</v>
      </c>
      <c r="B371" s="12">
        <v>31</v>
      </c>
      <c r="C371" s="12">
        <v>83.3</v>
      </c>
      <c r="D371" s="12">
        <v>43.75</v>
      </c>
      <c r="E371" s="12" t="s">
        <v>45</v>
      </c>
      <c r="F371" s="12" t="s">
        <v>45</v>
      </c>
      <c r="G371" s="12" t="s">
        <v>244</v>
      </c>
      <c r="H371" s="12"/>
      <c r="I371" s="12" t="s">
        <v>45</v>
      </c>
      <c r="J371" s="12" t="s">
        <v>47</v>
      </c>
      <c r="K371" s="12" t="s">
        <v>48</v>
      </c>
      <c r="L371" s="12" t="s">
        <v>48</v>
      </c>
      <c r="M371" s="11" t="s">
        <v>56</v>
      </c>
      <c r="N371" s="11" t="s">
        <v>152</v>
      </c>
      <c r="O371" s="11" t="s">
        <v>153</v>
      </c>
      <c r="P371" s="11" t="s">
        <v>51</v>
      </c>
      <c r="Q371" s="50" t="s">
        <v>124</v>
      </c>
      <c r="R371" s="47">
        <v>13</v>
      </c>
      <c r="S371" s="48">
        <v>42.1</v>
      </c>
      <c r="T371" s="85">
        <v>45.9</v>
      </c>
      <c r="U371" s="48">
        <v>12</v>
      </c>
      <c r="V371" s="47">
        <v>42</v>
      </c>
      <c r="W371" s="85">
        <v>34.5</v>
      </c>
      <c r="X371" s="130">
        <f t="shared" si="64"/>
        <v>-0.10000000000000142</v>
      </c>
      <c r="Y371" s="16">
        <f t="shared" si="67"/>
        <v>11.949581582632927</v>
      </c>
      <c r="Z371" s="15">
        <f t="shared" si="68"/>
        <v>-3.6000000000000014</v>
      </c>
      <c r="AA371" s="16">
        <f t="shared" si="69"/>
        <v>1117.5594736842104</v>
      </c>
      <c r="AB371" s="16">
        <f t="shared" si="70"/>
        <v>14.74120860018445</v>
      </c>
      <c r="AC371" s="66" t="s">
        <v>48</v>
      </c>
      <c r="AD371" s="51" t="s">
        <v>359</v>
      </c>
      <c r="AE371" s="13">
        <v>8</v>
      </c>
      <c r="AF371" s="13">
        <v>4</v>
      </c>
      <c r="AG371" s="13">
        <v>25</v>
      </c>
      <c r="AH371" s="134">
        <v>2230060</v>
      </c>
      <c r="AI371" s="134">
        <v>3.5</v>
      </c>
      <c r="AJ371" s="135">
        <f t="shared" si="65"/>
        <v>87.5</v>
      </c>
      <c r="AK371" s="136">
        <f t="shared" si="66"/>
        <v>350</v>
      </c>
      <c r="AL371" s="136" t="str" cm="1">
        <f t="array" ref="AL371">_xlfn.IFS(
AI371&lt;3,"Ligera",
AI371&lt;=6,"Moderada",
AI371&gt;6,"Vigorosa"
)</f>
        <v>Moderada</v>
      </c>
      <c r="AM371" s="45" t="s">
        <v>48</v>
      </c>
      <c r="AN371" s="46" t="s">
        <v>60</v>
      </c>
      <c r="AO371" s="46" t="s">
        <v>61</v>
      </c>
      <c r="AP371" s="289" t="s">
        <v>62</v>
      </c>
      <c r="AQ371" s="139">
        <v>0</v>
      </c>
      <c r="AS371" s="156" t="s">
        <v>111</v>
      </c>
    </row>
    <row r="372" spans="1:45" ht="64.5" customHeight="1" thickBot="1">
      <c r="A372" s="138" t="s">
        <v>357</v>
      </c>
      <c r="B372" s="12">
        <v>31</v>
      </c>
      <c r="C372" s="12">
        <v>82.9</v>
      </c>
      <c r="D372" s="12">
        <v>20</v>
      </c>
      <c r="E372" s="12" t="s">
        <v>45</v>
      </c>
      <c r="F372" s="12" t="s">
        <v>45</v>
      </c>
      <c r="G372" s="12" t="s">
        <v>244</v>
      </c>
      <c r="H372" s="12"/>
      <c r="I372" s="12" t="s">
        <v>45</v>
      </c>
      <c r="J372" s="12" t="s">
        <v>47</v>
      </c>
      <c r="K372" s="12" t="s">
        <v>48</v>
      </c>
      <c r="L372" s="12" t="s">
        <v>48</v>
      </c>
      <c r="M372" s="11" t="s">
        <v>50</v>
      </c>
      <c r="N372" s="11" t="s">
        <v>50</v>
      </c>
      <c r="O372" s="11" t="s">
        <v>50</v>
      </c>
      <c r="P372" s="11" t="s">
        <v>86</v>
      </c>
      <c r="Q372" s="50" t="s">
        <v>87</v>
      </c>
      <c r="R372" s="47">
        <v>15</v>
      </c>
      <c r="S372" s="48">
        <v>22.5</v>
      </c>
      <c r="T372" s="85">
        <v>21.5</v>
      </c>
      <c r="U372" s="48">
        <v>13</v>
      </c>
      <c r="V372" s="47">
        <v>21.5</v>
      </c>
      <c r="W372" s="85">
        <v>22</v>
      </c>
      <c r="X372" s="130">
        <f t="shared" si="64"/>
        <v>-1</v>
      </c>
      <c r="Y372" s="16">
        <f t="shared" si="67"/>
        <v>6.0335599900760215</v>
      </c>
      <c r="Z372" s="286" t="s">
        <v>53</v>
      </c>
      <c r="AA372" s="286" t="s">
        <v>53</v>
      </c>
      <c r="AB372" s="287">
        <v>6.0335599900760215</v>
      </c>
      <c r="AC372" s="66" t="s">
        <v>49</v>
      </c>
      <c r="AD372" s="51" t="s">
        <v>358</v>
      </c>
      <c r="AE372" s="13">
        <v>8</v>
      </c>
      <c r="AF372" s="13">
        <v>0</v>
      </c>
      <c r="AG372" s="13">
        <v>0</v>
      </c>
      <c r="AH372" s="134">
        <v>0</v>
      </c>
      <c r="AI372" s="134">
        <v>0</v>
      </c>
      <c r="AJ372" s="135">
        <f t="shared" si="65"/>
        <v>0</v>
      </c>
      <c r="AK372" s="136">
        <f t="shared" si="66"/>
        <v>0</v>
      </c>
      <c r="AL372" s="136" t="str" cm="1">
        <f t="array" ref="AL372">_xlfn.IFS(
AI372&lt;3,"Ligera",
AI372&lt;=6,"Moderada",
AI372&gt;6,"Vigorosa"
)</f>
        <v>Ligera</v>
      </c>
      <c r="AM372" s="45" t="s">
        <v>49</v>
      </c>
      <c r="AN372" s="46" t="s">
        <v>49</v>
      </c>
      <c r="AO372" s="46" t="s">
        <v>49</v>
      </c>
      <c r="AP372" s="46" t="s">
        <v>49</v>
      </c>
      <c r="AQ372" s="139">
        <v>0</v>
      </c>
      <c r="AS372" s="156" t="s">
        <v>112</v>
      </c>
    </row>
    <row r="373" spans="1:45" ht="60" customHeight="1" thickBot="1">
      <c r="A373" s="140" t="s">
        <v>357</v>
      </c>
      <c r="B373" s="141">
        <v>31</v>
      </c>
      <c r="C373" s="141">
        <v>83.3</v>
      </c>
      <c r="D373" s="141">
        <v>43.75</v>
      </c>
      <c r="E373" s="141" t="s">
        <v>45</v>
      </c>
      <c r="F373" s="141" t="s">
        <v>45</v>
      </c>
      <c r="G373" s="141" t="s">
        <v>244</v>
      </c>
      <c r="H373" s="141"/>
      <c r="I373" s="141" t="s">
        <v>45</v>
      </c>
      <c r="J373" s="141" t="s">
        <v>47</v>
      </c>
      <c r="K373" s="141" t="s">
        <v>48</v>
      </c>
      <c r="L373" s="141" t="s">
        <v>48</v>
      </c>
      <c r="M373" s="142" t="s">
        <v>56</v>
      </c>
      <c r="N373" s="142" t="s">
        <v>152</v>
      </c>
      <c r="O373" s="142" t="s">
        <v>153</v>
      </c>
      <c r="P373" s="11" t="s">
        <v>86</v>
      </c>
      <c r="Q373" s="158" t="s">
        <v>87</v>
      </c>
      <c r="R373" s="169">
        <v>16</v>
      </c>
      <c r="S373" s="170">
        <v>27.3</v>
      </c>
      <c r="T373" s="172">
        <v>19.5</v>
      </c>
      <c r="U373" s="170">
        <v>15</v>
      </c>
      <c r="V373" s="169">
        <v>26.8</v>
      </c>
      <c r="W373" s="172">
        <v>21.5</v>
      </c>
      <c r="X373" s="130">
        <f t="shared" si="64"/>
        <v>-0.5</v>
      </c>
      <c r="Y373" s="16">
        <f t="shared" si="67"/>
        <v>5.3119362445973186</v>
      </c>
      <c r="Z373" s="15">
        <f t="shared" si="68"/>
        <v>0.5</v>
      </c>
      <c r="AA373" s="16">
        <f t="shared" si="69"/>
        <v>472.28846153846155</v>
      </c>
      <c r="AB373" s="16">
        <f t="shared" si="70"/>
        <v>8.2350336424754307</v>
      </c>
      <c r="AC373" s="66" t="s">
        <v>49</v>
      </c>
      <c r="AD373" s="151" t="s">
        <v>359</v>
      </c>
      <c r="AE373" s="146">
        <v>8</v>
      </c>
      <c r="AF373" s="146">
        <v>4</v>
      </c>
      <c r="AG373" s="146">
        <v>25</v>
      </c>
      <c r="AH373" s="134">
        <v>2230060</v>
      </c>
      <c r="AI373" s="134">
        <v>3.5</v>
      </c>
      <c r="AJ373" s="135">
        <f t="shared" si="65"/>
        <v>87.5</v>
      </c>
      <c r="AK373" s="136">
        <f t="shared" si="66"/>
        <v>350</v>
      </c>
      <c r="AL373" s="136" t="str" cm="1">
        <f t="array" ref="AL373">_xlfn.IFS(
AI373&lt;3,"Ligera",
AI373&lt;=6,"Moderada",
AI373&gt;6,"Vigorosa"
)</f>
        <v>Moderada</v>
      </c>
      <c r="AM373" s="147" t="s">
        <v>48</v>
      </c>
      <c r="AN373" s="148" t="s">
        <v>60</v>
      </c>
      <c r="AO373" s="148" t="s">
        <v>61</v>
      </c>
      <c r="AP373" s="290" t="s">
        <v>62</v>
      </c>
      <c r="AQ373" s="149">
        <v>0</v>
      </c>
      <c r="AS373" s="156" t="s">
        <v>113</v>
      </c>
    </row>
    <row r="374" spans="1:45" ht="64.5" customHeight="1" thickBot="1">
      <c r="A374" s="124" t="s">
        <v>360</v>
      </c>
      <c r="B374" s="125">
        <v>22</v>
      </c>
      <c r="C374" s="125">
        <v>80.3</v>
      </c>
      <c r="D374" s="125" t="s">
        <v>47</v>
      </c>
      <c r="E374" s="125" t="s">
        <v>45</v>
      </c>
      <c r="F374" s="125" t="s">
        <v>45</v>
      </c>
      <c r="G374" s="125" t="s">
        <v>361</v>
      </c>
      <c r="H374" s="125"/>
      <c r="I374" s="125" t="s">
        <v>145</v>
      </c>
      <c r="J374" s="125">
        <v>2</v>
      </c>
      <c r="K374" s="125" t="s">
        <v>49</v>
      </c>
      <c r="L374" s="125" t="s">
        <v>49</v>
      </c>
      <c r="M374" s="126" t="s">
        <v>56</v>
      </c>
      <c r="N374" s="126" t="s">
        <v>57</v>
      </c>
      <c r="O374" s="126" t="s">
        <v>126</v>
      </c>
      <c r="P374" s="126" t="s">
        <v>51</v>
      </c>
      <c r="Q374" s="159" t="s">
        <v>82</v>
      </c>
      <c r="R374" s="167">
        <v>8</v>
      </c>
      <c r="S374" s="168">
        <v>182</v>
      </c>
      <c r="T374" s="168">
        <v>24</v>
      </c>
      <c r="U374" s="167">
        <v>8</v>
      </c>
      <c r="V374" s="167">
        <v>173.2</v>
      </c>
      <c r="W374" s="168">
        <v>19.100000000000001</v>
      </c>
      <c r="X374" s="130">
        <f t="shared" si="64"/>
        <v>-8.8000000000000114</v>
      </c>
      <c r="Y374" s="16">
        <f t="shared" si="67"/>
        <v>7.765387949098228</v>
      </c>
      <c r="Z374" s="286" t="s">
        <v>53</v>
      </c>
      <c r="AA374" s="286" t="s">
        <v>53</v>
      </c>
      <c r="AB374" s="287">
        <v>7.765387949098228</v>
      </c>
      <c r="AC374" s="66" t="s">
        <v>49</v>
      </c>
      <c r="AD374" s="133" t="s">
        <v>362</v>
      </c>
      <c r="AE374" s="134">
        <v>10</v>
      </c>
      <c r="AF374" s="134">
        <v>3</v>
      </c>
      <c r="AG374" s="134">
        <v>9</v>
      </c>
      <c r="AH374" s="134">
        <v>205360</v>
      </c>
      <c r="AI374" s="134">
        <v>2.2999999999999998</v>
      </c>
      <c r="AJ374" s="135">
        <f t="shared" si="65"/>
        <v>20.7</v>
      </c>
      <c r="AK374" s="136">
        <f t="shared" si="66"/>
        <v>62.099999999999994</v>
      </c>
      <c r="AL374" s="136" t="str" cm="1">
        <f t="array" ref="AL374">_xlfn.IFS(
AI374&lt;3,"Ligera",
AI374&lt;=6,"Moderada",
AI374&gt;6,"Vigorosa"
)</f>
        <v>Ligera</v>
      </c>
      <c r="AM374" s="136" t="s">
        <v>49</v>
      </c>
      <c r="AN374" s="135" t="s">
        <v>49</v>
      </c>
      <c r="AO374" s="135" t="s">
        <v>61</v>
      </c>
      <c r="AP374" s="288" t="s">
        <v>62</v>
      </c>
      <c r="AQ374" s="137">
        <v>0</v>
      </c>
    </row>
    <row r="375" spans="1:45" ht="56.45" customHeight="1" thickBot="1">
      <c r="A375" s="138" t="s">
        <v>360</v>
      </c>
      <c r="B375" s="12">
        <v>22</v>
      </c>
      <c r="C375" s="12">
        <v>83.3</v>
      </c>
      <c r="D375" s="12" t="s">
        <v>47</v>
      </c>
      <c r="E375" s="12" t="s">
        <v>45</v>
      </c>
      <c r="F375" s="12" t="s">
        <v>45</v>
      </c>
      <c r="G375" s="12" t="s">
        <v>361</v>
      </c>
      <c r="H375" s="12"/>
      <c r="I375" s="12" t="s">
        <v>145</v>
      </c>
      <c r="J375" s="12">
        <v>2.2000000000000002</v>
      </c>
      <c r="K375" s="12" t="s">
        <v>49</v>
      </c>
      <c r="L375" s="12" t="s">
        <v>49</v>
      </c>
      <c r="M375" s="11" t="s">
        <v>56</v>
      </c>
      <c r="N375" s="11" t="s">
        <v>57</v>
      </c>
      <c r="O375" s="11" t="s">
        <v>126</v>
      </c>
      <c r="P375" s="11" t="s">
        <v>51</v>
      </c>
      <c r="Q375" s="50" t="s">
        <v>82</v>
      </c>
      <c r="R375" s="47">
        <v>8</v>
      </c>
      <c r="S375" s="48">
        <v>176.8</v>
      </c>
      <c r="T375" s="48">
        <v>16.8</v>
      </c>
      <c r="U375" s="47">
        <v>8</v>
      </c>
      <c r="V375" s="47">
        <v>225.5</v>
      </c>
      <c r="W375" s="48">
        <v>21.8</v>
      </c>
      <c r="X375" s="130">
        <f t="shared" si="64"/>
        <v>48.699999999999989</v>
      </c>
      <c r="Y375" s="16">
        <f t="shared" si="67"/>
        <v>6.9932109935279367</v>
      </c>
      <c r="Z375" s="15">
        <f t="shared" si="68"/>
        <v>57.5</v>
      </c>
      <c r="AA375" s="16">
        <f t="shared" si="69"/>
        <v>420.02500000000003</v>
      </c>
      <c r="AB375" s="16">
        <f t="shared" si="70"/>
        <v>10.247255730194304</v>
      </c>
      <c r="AC375" s="66" t="s">
        <v>49</v>
      </c>
      <c r="AD375" s="51" t="s">
        <v>363</v>
      </c>
      <c r="AE375" s="13">
        <v>10</v>
      </c>
      <c r="AF375" s="13">
        <v>3</v>
      </c>
      <c r="AG375" s="13">
        <v>9</v>
      </c>
      <c r="AH375" s="134">
        <v>205460</v>
      </c>
      <c r="AI375" s="134">
        <v>4.3</v>
      </c>
      <c r="AJ375" s="135">
        <f t="shared" si="65"/>
        <v>38.699999999999996</v>
      </c>
      <c r="AK375" s="136">
        <f t="shared" si="66"/>
        <v>116.1</v>
      </c>
      <c r="AL375" s="136" t="str" cm="1">
        <f t="array" ref="AL375">_xlfn.IFS(
AI375&lt;3,"Ligera",
AI375&lt;=6,"Moderada",
AI375&gt;6,"Vigorosa"
)</f>
        <v>Moderada</v>
      </c>
      <c r="AM375" s="45" t="s">
        <v>48</v>
      </c>
      <c r="AN375" s="46" t="s">
        <v>60</v>
      </c>
      <c r="AO375" s="46" t="s">
        <v>61</v>
      </c>
      <c r="AP375" s="289" t="s">
        <v>62</v>
      </c>
      <c r="AQ375" s="139">
        <v>0</v>
      </c>
    </row>
    <row r="376" spans="1:45" ht="56.45" customHeight="1" thickBot="1">
      <c r="A376" s="140" t="s">
        <v>360</v>
      </c>
      <c r="B376" s="141">
        <v>22</v>
      </c>
      <c r="C376" s="141">
        <v>80.7</v>
      </c>
      <c r="D376" s="141" t="s">
        <v>47</v>
      </c>
      <c r="E376" s="141" t="s">
        <v>45</v>
      </c>
      <c r="F376" s="141" t="s">
        <v>45</v>
      </c>
      <c r="G376" s="141" t="s">
        <v>361</v>
      </c>
      <c r="H376" s="141"/>
      <c r="I376" s="141" t="s">
        <v>145</v>
      </c>
      <c r="J376" s="141">
        <v>2.7</v>
      </c>
      <c r="K376" s="141" t="s">
        <v>49</v>
      </c>
      <c r="L376" s="141" t="s">
        <v>49</v>
      </c>
      <c r="M376" s="142" t="s">
        <v>56</v>
      </c>
      <c r="N376" s="142" t="s">
        <v>57</v>
      </c>
      <c r="O376" s="142" t="s">
        <v>126</v>
      </c>
      <c r="P376" s="142" t="s">
        <v>51</v>
      </c>
      <c r="Q376" s="158" t="s">
        <v>82</v>
      </c>
      <c r="R376" s="169">
        <v>6</v>
      </c>
      <c r="S376" s="185">
        <v>169.3</v>
      </c>
      <c r="T376" s="185">
        <v>21.2</v>
      </c>
      <c r="U376" s="169">
        <v>6</v>
      </c>
      <c r="V376" s="169">
        <v>183.4</v>
      </c>
      <c r="W376" s="170">
        <v>24</v>
      </c>
      <c r="X376" s="130">
        <f t="shared" si="64"/>
        <v>14.099999999999994</v>
      </c>
      <c r="Y376" s="16">
        <f t="shared" si="67"/>
        <v>9.2793677945572721</v>
      </c>
      <c r="Z376" s="15">
        <f>X376-X374</f>
        <v>22.900000000000006</v>
      </c>
      <c r="AA376" s="16">
        <f>((U376-1)*W376^2+(U374-1)*W374^2)/((U376-1)+(U374-1))</f>
        <v>452.80583333333334</v>
      </c>
      <c r="AB376" s="16">
        <f>SQRT(AA376*((1/U376)+(1/U374)))</f>
        <v>11.49210024562767</v>
      </c>
      <c r="AC376" s="66" t="s">
        <v>49</v>
      </c>
      <c r="AD376" s="151" t="s">
        <v>363</v>
      </c>
      <c r="AE376" s="146">
        <v>10</v>
      </c>
      <c r="AF376" s="146">
        <v>3</v>
      </c>
      <c r="AG376" s="146">
        <v>9</v>
      </c>
      <c r="AH376" s="134">
        <v>205160</v>
      </c>
      <c r="AI376" s="134">
        <v>3</v>
      </c>
      <c r="AJ376" s="135">
        <f t="shared" si="65"/>
        <v>27</v>
      </c>
      <c r="AK376" s="136">
        <f t="shared" si="66"/>
        <v>81</v>
      </c>
      <c r="AL376" s="136" t="str" cm="1">
        <f t="array" ref="AL376">_xlfn.IFS(
AI376&lt;3,"Ligera",
AI376&lt;=6,"Moderada",
AI376&gt;6,"Vigorosa"
)</f>
        <v>Moderada</v>
      </c>
      <c r="AM376" s="147" t="s">
        <v>48</v>
      </c>
      <c r="AN376" s="148" t="s">
        <v>60</v>
      </c>
      <c r="AO376" s="148" t="s">
        <v>61</v>
      </c>
      <c r="AP376" s="290" t="s">
        <v>62</v>
      </c>
      <c r="AQ376" s="149">
        <v>0</v>
      </c>
    </row>
    <row r="377" spans="1:45" ht="64.5" customHeight="1" thickBot="1">
      <c r="A377" s="124" t="s">
        <v>364</v>
      </c>
      <c r="B377" s="125">
        <v>56</v>
      </c>
      <c r="C377" s="125">
        <v>73.5</v>
      </c>
      <c r="D377" s="125">
        <v>38</v>
      </c>
      <c r="E377" s="125" t="s">
        <v>45</v>
      </c>
      <c r="F377" s="125" t="s">
        <v>45</v>
      </c>
      <c r="G377" s="125" t="s">
        <v>223</v>
      </c>
      <c r="H377" s="125"/>
      <c r="I377" s="125" t="s">
        <v>45</v>
      </c>
      <c r="J377" s="125" t="s">
        <v>47</v>
      </c>
      <c r="K377" s="125" t="s">
        <v>49</v>
      </c>
      <c r="L377" s="125" t="s">
        <v>49</v>
      </c>
      <c r="M377" s="126" t="s">
        <v>56</v>
      </c>
      <c r="N377" s="126" t="s">
        <v>57</v>
      </c>
      <c r="O377" s="126" t="s">
        <v>208</v>
      </c>
      <c r="P377" s="11" t="s">
        <v>86</v>
      </c>
      <c r="Q377" s="159" t="s">
        <v>87</v>
      </c>
      <c r="R377" s="167">
        <v>21</v>
      </c>
      <c r="S377" s="168">
        <v>53</v>
      </c>
      <c r="T377" s="191">
        <v>2.59</v>
      </c>
      <c r="U377" s="167">
        <v>21</v>
      </c>
      <c r="V377" s="167">
        <v>55</v>
      </c>
      <c r="W377" s="191">
        <v>2.96</v>
      </c>
      <c r="X377" s="130">
        <f t="shared" si="64"/>
        <v>2</v>
      </c>
      <c r="Y377" s="16">
        <f t="shared" si="67"/>
        <v>0.60957830857545636</v>
      </c>
      <c r="Z377" s="286" t="s">
        <v>53</v>
      </c>
      <c r="AA377" s="286" t="s">
        <v>53</v>
      </c>
      <c r="AB377" s="287">
        <v>0.60957830857545636</v>
      </c>
      <c r="AC377" s="66" t="s">
        <v>49</v>
      </c>
      <c r="AD377" s="133" t="s">
        <v>365</v>
      </c>
      <c r="AE377" s="134">
        <v>12</v>
      </c>
      <c r="AF377" s="134">
        <v>3</v>
      </c>
      <c r="AG377" s="134">
        <v>52.5</v>
      </c>
      <c r="AH377" s="134">
        <v>205160</v>
      </c>
      <c r="AI377" s="134">
        <v>3</v>
      </c>
      <c r="AJ377" s="135">
        <f t="shared" si="65"/>
        <v>157.5</v>
      </c>
      <c r="AK377" s="136">
        <f t="shared" si="66"/>
        <v>472.5</v>
      </c>
      <c r="AL377" s="136" t="str" cm="1">
        <f t="array" ref="AL377">_xlfn.IFS(
AI377&lt;3,"Ligera",
AI377&lt;=6,"Moderada",
AI377&gt;6,"Vigorosa"
)</f>
        <v>Moderada</v>
      </c>
      <c r="AM377" s="136" t="s">
        <v>48</v>
      </c>
      <c r="AN377" s="135" t="s">
        <v>60</v>
      </c>
      <c r="AO377" s="135" t="s">
        <v>61</v>
      </c>
      <c r="AP377" s="288" t="s">
        <v>155</v>
      </c>
      <c r="AQ377" s="137">
        <v>0</v>
      </c>
      <c r="AS377" s="83" t="s">
        <v>207</v>
      </c>
    </row>
    <row r="378" spans="1:45" ht="60" customHeight="1" thickBot="1">
      <c r="A378" s="138" t="s">
        <v>364</v>
      </c>
      <c r="B378" s="12">
        <v>56</v>
      </c>
      <c r="C378" s="12">
        <v>77</v>
      </c>
      <c r="D378" s="12">
        <v>36.4</v>
      </c>
      <c r="E378" s="12" t="s">
        <v>45</v>
      </c>
      <c r="F378" s="12" t="s">
        <v>45</v>
      </c>
      <c r="G378" s="12" t="s">
        <v>223</v>
      </c>
      <c r="H378" s="12"/>
      <c r="I378" s="12" t="s">
        <v>45</v>
      </c>
      <c r="J378" s="12" t="s">
        <v>47</v>
      </c>
      <c r="K378" s="12" t="s">
        <v>49</v>
      </c>
      <c r="L378" s="12" t="s">
        <v>49</v>
      </c>
      <c r="M378" s="11" t="s">
        <v>56</v>
      </c>
      <c r="N378" s="11" t="s">
        <v>76</v>
      </c>
      <c r="O378" s="11" t="s">
        <v>103</v>
      </c>
      <c r="P378" s="11" t="s">
        <v>86</v>
      </c>
      <c r="Q378" s="50" t="s">
        <v>87</v>
      </c>
      <c r="R378" s="47">
        <v>22</v>
      </c>
      <c r="S378" s="48">
        <v>53</v>
      </c>
      <c r="T378" s="85">
        <v>5.19</v>
      </c>
      <c r="U378" s="47">
        <v>22</v>
      </c>
      <c r="V378" s="47">
        <v>54</v>
      </c>
      <c r="W378" s="85">
        <v>3.11</v>
      </c>
      <c r="X378" s="130">
        <f t="shared" si="64"/>
        <v>1</v>
      </c>
      <c r="Y378" s="16">
        <f t="shared" si="67"/>
        <v>0.9645371004693486</v>
      </c>
      <c r="Z378" s="15">
        <f t="shared" si="68"/>
        <v>-1</v>
      </c>
      <c r="AA378" s="16">
        <f t="shared" si="69"/>
        <v>9.2279536585365847</v>
      </c>
      <c r="AB378" s="16">
        <f t="shared" si="70"/>
        <v>0.92675714387136421</v>
      </c>
      <c r="AC378" s="66" t="s">
        <v>49</v>
      </c>
      <c r="AD378" s="51" t="s">
        <v>366</v>
      </c>
      <c r="AE378" s="13">
        <v>12</v>
      </c>
      <c r="AF378" s="13">
        <v>3</v>
      </c>
      <c r="AG378" s="13">
        <v>72.5</v>
      </c>
      <c r="AH378" s="134">
        <v>211360</v>
      </c>
      <c r="AI378" s="134">
        <v>3.5</v>
      </c>
      <c r="AJ378" s="135">
        <f t="shared" si="65"/>
        <v>253.75</v>
      </c>
      <c r="AK378" s="136">
        <f t="shared" si="66"/>
        <v>761.25</v>
      </c>
      <c r="AL378" s="136" t="str" cm="1">
        <f t="array" ref="AL378">_xlfn.IFS(
AI378&lt;3,"Ligera",
AI378&lt;=6,"Moderada",
AI378&gt;6,"Vigorosa"
)</f>
        <v>Moderada</v>
      </c>
      <c r="AM378" s="45" t="s">
        <v>48</v>
      </c>
      <c r="AN378" s="289" t="s">
        <v>60</v>
      </c>
      <c r="AO378" s="46" t="s">
        <v>61</v>
      </c>
      <c r="AP378" s="289" t="s">
        <v>155</v>
      </c>
      <c r="AQ378" s="139">
        <v>0</v>
      </c>
      <c r="AS378" s="83" t="s">
        <v>207</v>
      </c>
    </row>
    <row r="379" spans="1:45" ht="64.5" customHeight="1" thickBot="1">
      <c r="A379" s="138" t="s">
        <v>364</v>
      </c>
      <c r="B379" s="12">
        <v>56</v>
      </c>
      <c r="C379" s="12">
        <v>73.5</v>
      </c>
      <c r="D379" s="12">
        <v>38</v>
      </c>
      <c r="E379" s="12" t="s">
        <v>45</v>
      </c>
      <c r="F379" s="12" t="s">
        <v>45</v>
      </c>
      <c r="G379" s="12" t="s">
        <v>223</v>
      </c>
      <c r="H379" s="12"/>
      <c r="I379" s="12" t="s">
        <v>45</v>
      </c>
      <c r="J379" s="12" t="s">
        <v>47</v>
      </c>
      <c r="K379" s="12" t="s">
        <v>49</v>
      </c>
      <c r="L379" s="12" t="s">
        <v>49</v>
      </c>
      <c r="M379" s="11" t="s">
        <v>56</v>
      </c>
      <c r="N379" s="11" t="s">
        <v>57</v>
      </c>
      <c r="O379" s="11" t="s">
        <v>208</v>
      </c>
      <c r="P379" s="11" t="s">
        <v>51</v>
      </c>
      <c r="Q379" s="50" t="s">
        <v>64</v>
      </c>
      <c r="R379" s="47">
        <v>21</v>
      </c>
      <c r="S379" s="48">
        <v>11</v>
      </c>
      <c r="T379" s="85">
        <v>4.3</v>
      </c>
      <c r="U379" s="47">
        <v>21</v>
      </c>
      <c r="V379" s="47">
        <v>11</v>
      </c>
      <c r="W379" s="85">
        <v>2.2200000000000002</v>
      </c>
      <c r="X379" s="130">
        <f t="shared" si="64"/>
        <v>0</v>
      </c>
      <c r="Y379" s="16">
        <f t="shared" si="67"/>
        <v>0.81276717219045957</v>
      </c>
      <c r="Z379" s="286" t="s">
        <v>53</v>
      </c>
      <c r="AA379" s="286" t="s">
        <v>53</v>
      </c>
      <c r="AB379" s="287">
        <v>0.81276717219045957</v>
      </c>
      <c r="AC379" s="66" t="s">
        <v>49</v>
      </c>
      <c r="AD379" s="51" t="s">
        <v>367</v>
      </c>
      <c r="AE379" s="13">
        <v>12</v>
      </c>
      <c r="AF379" s="13">
        <v>3</v>
      </c>
      <c r="AG379" s="13">
        <v>52.5</v>
      </c>
      <c r="AH379" s="134">
        <v>205160</v>
      </c>
      <c r="AI379" s="134">
        <v>3</v>
      </c>
      <c r="AJ379" s="135">
        <f t="shared" si="65"/>
        <v>157.5</v>
      </c>
      <c r="AK379" s="136">
        <f t="shared" si="66"/>
        <v>472.5</v>
      </c>
      <c r="AL379" s="136" t="str" cm="1">
        <f t="array" ref="AL379">_xlfn.IFS(
AI379&lt;3,"Ligera",
AI379&lt;=6,"Moderada",
AI379&gt;6,"Vigorosa"
)</f>
        <v>Moderada</v>
      </c>
      <c r="AM379" s="45" t="s">
        <v>48</v>
      </c>
      <c r="AN379" s="46" t="s">
        <v>60</v>
      </c>
      <c r="AO379" s="46" t="s">
        <v>61</v>
      </c>
      <c r="AP379" s="289" t="s">
        <v>155</v>
      </c>
      <c r="AQ379" s="139">
        <v>0</v>
      </c>
      <c r="AS379" s="83" t="s">
        <v>207</v>
      </c>
    </row>
    <row r="380" spans="1:45" ht="60" customHeight="1" thickBot="1">
      <c r="A380" s="138" t="s">
        <v>364</v>
      </c>
      <c r="B380" s="12">
        <v>56</v>
      </c>
      <c r="C380" s="12">
        <v>77</v>
      </c>
      <c r="D380" s="12">
        <v>36.4</v>
      </c>
      <c r="E380" s="12" t="s">
        <v>45</v>
      </c>
      <c r="F380" s="12" t="s">
        <v>45</v>
      </c>
      <c r="G380" s="12" t="s">
        <v>223</v>
      </c>
      <c r="H380" s="12"/>
      <c r="I380" s="12" t="s">
        <v>45</v>
      </c>
      <c r="J380" s="12" t="s">
        <v>47</v>
      </c>
      <c r="K380" s="12" t="s">
        <v>49</v>
      </c>
      <c r="L380" s="12" t="s">
        <v>49</v>
      </c>
      <c r="M380" s="11" t="s">
        <v>56</v>
      </c>
      <c r="N380" s="11" t="s">
        <v>76</v>
      </c>
      <c r="O380" s="11" t="s">
        <v>103</v>
      </c>
      <c r="P380" s="11" t="s">
        <v>51</v>
      </c>
      <c r="Q380" s="50" t="s">
        <v>64</v>
      </c>
      <c r="R380" s="47">
        <v>22</v>
      </c>
      <c r="S380" s="48">
        <v>11</v>
      </c>
      <c r="T380" s="85">
        <v>1.85</v>
      </c>
      <c r="U380" s="47">
        <v>22</v>
      </c>
      <c r="V380" s="47">
        <v>12</v>
      </c>
      <c r="W380" s="85">
        <v>2.96</v>
      </c>
      <c r="X380" s="130">
        <f t="shared" si="64"/>
        <v>1</v>
      </c>
      <c r="Y380" s="16">
        <f t="shared" si="67"/>
        <v>0.55218985536103105</v>
      </c>
      <c r="Z380" s="15">
        <f t="shared" si="68"/>
        <v>1</v>
      </c>
      <c r="AA380" s="16">
        <f t="shared" si="69"/>
        <v>6.8917463414634144</v>
      </c>
      <c r="AB380" s="16">
        <f t="shared" si="70"/>
        <v>0.80089924119816081</v>
      </c>
      <c r="AC380" s="66" t="s">
        <v>49</v>
      </c>
      <c r="AD380" s="51" t="s">
        <v>366</v>
      </c>
      <c r="AE380" s="13">
        <v>12</v>
      </c>
      <c r="AF380" s="13">
        <v>3</v>
      </c>
      <c r="AG380" s="13">
        <v>72.5</v>
      </c>
      <c r="AH380" s="134">
        <v>211360</v>
      </c>
      <c r="AI380" s="134">
        <v>3.5</v>
      </c>
      <c r="AJ380" s="135">
        <f t="shared" si="65"/>
        <v>253.75</v>
      </c>
      <c r="AK380" s="136">
        <f t="shared" si="66"/>
        <v>761.25</v>
      </c>
      <c r="AL380" s="136" t="str" cm="1">
        <f t="array" ref="AL380">_xlfn.IFS(
AI380&lt;3,"Ligera",
AI380&lt;=6,"Moderada",
AI380&gt;6,"Vigorosa"
)</f>
        <v>Moderada</v>
      </c>
      <c r="AM380" s="45" t="s">
        <v>48</v>
      </c>
      <c r="AN380" s="289" t="s">
        <v>60</v>
      </c>
      <c r="AO380" s="46" t="s">
        <v>61</v>
      </c>
      <c r="AP380" s="289" t="s">
        <v>155</v>
      </c>
      <c r="AQ380" s="139">
        <v>0</v>
      </c>
      <c r="AS380" s="83" t="s">
        <v>207</v>
      </c>
    </row>
    <row r="381" spans="1:45" ht="64.5" customHeight="1" thickBot="1">
      <c r="A381" s="138" t="s">
        <v>364</v>
      </c>
      <c r="B381" s="12">
        <v>56</v>
      </c>
      <c r="C381" s="12">
        <v>73.5</v>
      </c>
      <c r="D381" s="12">
        <v>38</v>
      </c>
      <c r="E381" s="12" t="s">
        <v>45</v>
      </c>
      <c r="F381" s="12" t="s">
        <v>45</v>
      </c>
      <c r="G381" s="12" t="s">
        <v>223</v>
      </c>
      <c r="H381" s="12"/>
      <c r="I381" s="12" t="s">
        <v>45</v>
      </c>
      <c r="J381" s="12" t="s">
        <v>47</v>
      </c>
      <c r="K381" s="12" t="s">
        <v>49</v>
      </c>
      <c r="L381" s="12" t="s">
        <v>49</v>
      </c>
      <c r="M381" s="11" t="s">
        <v>56</v>
      </c>
      <c r="N381" s="11" t="s">
        <v>57</v>
      </c>
      <c r="O381" s="11" t="s">
        <v>208</v>
      </c>
      <c r="P381" s="11" t="s">
        <v>51</v>
      </c>
      <c r="Q381" s="50" t="s">
        <v>52</v>
      </c>
      <c r="R381" s="47">
        <v>21</v>
      </c>
      <c r="S381" s="48">
        <v>8.5</v>
      </c>
      <c r="T381" s="85">
        <v>1.78</v>
      </c>
      <c r="U381" s="47">
        <v>21</v>
      </c>
      <c r="V381" s="47">
        <v>7.5</v>
      </c>
      <c r="W381" s="85">
        <v>0.74</v>
      </c>
      <c r="X381" s="130">
        <f t="shared" si="64"/>
        <v>-1</v>
      </c>
      <c r="Y381" s="16">
        <f t="shared" si="67"/>
        <v>0.33797717589886367</v>
      </c>
      <c r="Z381" s="286" t="s">
        <v>53</v>
      </c>
      <c r="AA381" s="286" t="s">
        <v>53</v>
      </c>
      <c r="AB381" s="287">
        <v>0.33797717589886367</v>
      </c>
      <c r="AC381" s="66" t="s">
        <v>48</v>
      </c>
      <c r="AD381" s="51" t="s">
        <v>367</v>
      </c>
      <c r="AE381" s="13">
        <v>12</v>
      </c>
      <c r="AF381" s="13">
        <v>3</v>
      </c>
      <c r="AG381" s="13">
        <v>52.5</v>
      </c>
      <c r="AH381" s="134">
        <v>205160</v>
      </c>
      <c r="AI381" s="134">
        <v>3</v>
      </c>
      <c r="AJ381" s="135">
        <f t="shared" si="65"/>
        <v>157.5</v>
      </c>
      <c r="AK381" s="136">
        <f t="shared" si="66"/>
        <v>472.5</v>
      </c>
      <c r="AL381" s="136" t="str" cm="1">
        <f t="array" ref="AL381">_xlfn.IFS(
AI381&lt;3,"Ligera",
AI381&lt;=6,"Moderada",
AI381&gt;6,"Vigorosa"
)</f>
        <v>Moderada</v>
      </c>
      <c r="AM381" s="45" t="s">
        <v>48</v>
      </c>
      <c r="AN381" s="46" t="s">
        <v>60</v>
      </c>
      <c r="AO381" s="46" t="s">
        <v>61</v>
      </c>
      <c r="AP381" s="289" t="s">
        <v>155</v>
      </c>
      <c r="AQ381" s="139">
        <v>0</v>
      </c>
      <c r="AS381" s="83" t="s">
        <v>207</v>
      </c>
    </row>
    <row r="382" spans="1:45" ht="60" customHeight="1" thickBot="1">
      <c r="A382" s="138" t="s">
        <v>364</v>
      </c>
      <c r="B382" s="12">
        <v>56</v>
      </c>
      <c r="C382" s="12">
        <v>77</v>
      </c>
      <c r="D382" s="12">
        <v>36.4</v>
      </c>
      <c r="E382" s="12" t="s">
        <v>45</v>
      </c>
      <c r="F382" s="12" t="s">
        <v>45</v>
      </c>
      <c r="G382" s="12" t="s">
        <v>223</v>
      </c>
      <c r="H382" s="12"/>
      <c r="I382" s="12" t="s">
        <v>45</v>
      </c>
      <c r="J382" s="12" t="s">
        <v>47</v>
      </c>
      <c r="K382" s="12" t="s">
        <v>49</v>
      </c>
      <c r="L382" s="12" t="s">
        <v>49</v>
      </c>
      <c r="M382" s="11" t="s">
        <v>56</v>
      </c>
      <c r="N382" s="11" t="s">
        <v>76</v>
      </c>
      <c r="O382" s="11" t="s">
        <v>103</v>
      </c>
      <c r="P382" s="11" t="s">
        <v>51</v>
      </c>
      <c r="Q382" s="50" t="s">
        <v>52</v>
      </c>
      <c r="R382" s="47">
        <v>22</v>
      </c>
      <c r="S382" s="48">
        <v>8.5</v>
      </c>
      <c r="T382" s="85">
        <v>1.56</v>
      </c>
      <c r="U382" s="47">
        <v>22</v>
      </c>
      <c r="V382" s="47">
        <v>7.2</v>
      </c>
      <c r="W382" s="85">
        <v>1.7</v>
      </c>
      <c r="X382" s="130">
        <f t="shared" si="64"/>
        <v>-1.2999999999999998</v>
      </c>
      <c r="Y382" s="16">
        <f t="shared" si="67"/>
        <v>0.34847720676733451</v>
      </c>
      <c r="Z382" s="15">
        <f t="shared" si="68"/>
        <v>-0.29999999999999982</v>
      </c>
      <c r="AA382" s="16">
        <f t="shared" si="69"/>
        <v>1.7473658536585366</v>
      </c>
      <c r="AB382" s="16">
        <f t="shared" si="70"/>
        <v>0.4032785866049749</v>
      </c>
      <c r="AC382" s="66" t="s">
        <v>48</v>
      </c>
      <c r="AD382" s="51" t="s">
        <v>366</v>
      </c>
      <c r="AE382" s="13">
        <v>12</v>
      </c>
      <c r="AF382" s="13">
        <v>3</v>
      </c>
      <c r="AG382" s="13">
        <v>72.5</v>
      </c>
      <c r="AH382" s="134">
        <v>211360</v>
      </c>
      <c r="AI382" s="134">
        <v>3.5</v>
      </c>
      <c r="AJ382" s="135">
        <f t="shared" si="65"/>
        <v>253.75</v>
      </c>
      <c r="AK382" s="136">
        <f t="shared" si="66"/>
        <v>761.25</v>
      </c>
      <c r="AL382" s="136" t="str" cm="1">
        <f t="array" ref="AL382">_xlfn.IFS(
AI382&lt;3,"Ligera",
AI382&lt;=6,"Moderada",
AI382&gt;6,"Vigorosa"
)</f>
        <v>Moderada</v>
      </c>
      <c r="AM382" s="45" t="s">
        <v>48</v>
      </c>
      <c r="AN382" s="289" t="s">
        <v>60</v>
      </c>
      <c r="AO382" s="46" t="s">
        <v>61</v>
      </c>
      <c r="AP382" s="289" t="s">
        <v>155</v>
      </c>
      <c r="AQ382" s="139">
        <v>0</v>
      </c>
      <c r="AS382" s="83" t="s">
        <v>207</v>
      </c>
    </row>
    <row r="383" spans="1:45" ht="64.5" customHeight="1" thickBot="1">
      <c r="A383" s="138" t="s">
        <v>364</v>
      </c>
      <c r="B383" s="12">
        <v>56</v>
      </c>
      <c r="C383" s="12">
        <v>73.5</v>
      </c>
      <c r="D383" s="12">
        <v>38</v>
      </c>
      <c r="E383" s="12" t="s">
        <v>45</v>
      </c>
      <c r="F383" s="12" t="s">
        <v>45</v>
      </c>
      <c r="G383" s="12" t="s">
        <v>223</v>
      </c>
      <c r="H383" s="12"/>
      <c r="I383" s="12" t="s">
        <v>45</v>
      </c>
      <c r="J383" s="12" t="s">
        <v>47</v>
      </c>
      <c r="K383" s="12" t="s">
        <v>49</v>
      </c>
      <c r="L383" s="12" t="s">
        <v>49</v>
      </c>
      <c r="M383" s="11" t="s">
        <v>56</v>
      </c>
      <c r="N383" s="11" t="s">
        <v>57</v>
      </c>
      <c r="O383" s="11" t="s">
        <v>208</v>
      </c>
      <c r="P383" s="11" t="s">
        <v>51</v>
      </c>
      <c r="Q383" s="50" t="s">
        <v>307</v>
      </c>
      <c r="R383" s="47">
        <v>21</v>
      </c>
      <c r="S383" s="48">
        <v>2</v>
      </c>
      <c r="T383" s="85">
        <v>9.26</v>
      </c>
      <c r="U383" s="47">
        <v>21</v>
      </c>
      <c r="V383" s="47">
        <v>4.5</v>
      </c>
      <c r="W383" s="85">
        <v>6.3</v>
      </c>
      <c r="X383" s="130">
        <f t="shared" si="64"/>
        <v>2.5</v>
      </c>
      <c r="Y383" s="16">
        <f t="shared" si="67"/>
        <v>1.7875175656812572</v>
      </c>
      <c r="Z383" s="286" t="s">
        <v>53</v>
      </c>
      <c r="AA383" s="286" t="s">
        <v>53</v>
      </c>
      <c r="AB383" s="287">
        <v>1.7875175656812572</v>
      </c>
      <c r="AC383" s="66" t="s">
        <v>49</v>
      </c>
      <c r="AD383" s="51" t="s">
        <v>367</v>
      </c>
      <c r="AE383" s="13">
        <v>12</v>
      </c>
      <c r="AF383" s="13">
        <v>3</v>
      </c>
      <c r="AG383" s="13">
        <v>52.5</v>
      </c>
      <c r="AH383" s="134">
        <v>205160</v>
      </c>
      <c r="AI383" s="134">
        <v>3</v>
      </c>
      <c r="AJ383" s="135">
        <f t="shared" si="65"/>
        <v>157.5</v>
      </c>
      <c r="AK383" s="136">
        <f t="shared" si="66"/>
        <v>472.5</v>
      </c>
      <c r="AL383" s="136" t="str" cm="1">
        <f t="array" ref="AL383">_xlfn.IFS(
AI383&lt;3,"Ligera",
AI383&lt;=6,"Moderada",
AI383&gt;6,"Vigorosa"
)</f>
        <v>Moderada</v>
      </c>
      <c r="AM383" s="45" t="s">
        <v>48</v>
      </c>
      <c r="AN383" s="46" t="s">
        <v>60</v>
      </c>
      <c r="AO383" s="46" t="s">
        <v>61</v>
      </c>
      <c r="AP383" s="289" t="s">
        <v>155</v>
      </c>
      <c r="AQ383" s="139">
        <v>0</v>
      </c>
      <c r="AS383" s="83" t="s">
        <v>207</v>
      </c>
    </row>
    <row r="384" spans="1:45" ht="60" customHeight="1" thickBot="1">
      <c r="A384" s="138" t="s">
        <v>364</v>
      </c>
      <c r="B384" s="12">
        <v>56</v>
      </c>
      <c r="C384" s="12">
        <v>77</v>
      </c>
      <c r="D384" s="12">
        <v>36.4</v>
      </c>
      <c r="E384" s="12" t="s">
        <v>45</v>
      </c>
      <c r="F384" s="12" t="s">
        <v>45</v>
      </c>
      <c r="G384" s="12" t="s">
        <v>223</v>
      </c>
      <c r="H384" s="12"/>
      <c r="I384" s="12" t="s">
        <v>45</v>
      </c>
      <c r="J384" s="12" t="s">
        <v>47</v>
      </c>
      <c r="K384" s="12" t="s">
        <v>49</v>
      </c>
      <c r="L384" s="12" t="s">
        <v>49</v>
      </c>
      <c r="M384" s="11" t="s">
        <v>56</v>
      </c>
      <c r="N384" s="11" t="s">
        <v>76</v>
      </c>
      <c r="O384" s="11" t="s">
        <v>103</v>
      </c>
      <c r="P384" s="11" t="s">
        <v>51</v>
      </c>
      <c r="Q384" s="50" t="s">
        <v>307</v>
      </c>
      <c r="R384" s="47">
        <v>22</v>
      </c>
      <c r="S384" s="48">
        <v>4</v>
      </c>
      <c r="T384" s="85">
        <v>9.7799999999999994</v>
      </c>
      <c r="U384" s="47">
        <v>22</v>
      </c>
      <c r="V384" s="47">
        <v>-1.5</v>
      </c>
      <c r="W384" s="85">
        <v>15.7</v>
      </c>
      <c r="X384" s="130">
        <f t="shared" si="64"/>
        <v>-5.5</v>
      </c>
      <c r="Y384" s="16">
        <f t="shared" si="67"/>
        <v>2.9278630121953819</v>
      </c>
      <c r="Z384" s="15">
        <f t="shared" si="68"/>
        <v>-8</v>
      </c>
      <c r="AA384" s="16">
        <f t="shared" si="69"/>
        <v>145.61195121951221</v>
      </c>
      <c r="AB384" s="16">
        <f t="shared" si="70"/>
        <v>3.6813893429596338</v>
      </c>
      <c r="AC384" s="66" t="s">
        <v>49</v>
      </c>
      <c r="AD384" s="51" t="s">
        <v>366</v>
      </c>
      <c r="AE384" s="13">
        <v>12</v>
      </c>
      <c r="AF384" s="13">
        <v>3</v>
      </c>
      <c r="AG384" s="13">
        <v>72.5</v>
      </c>
      <c r="AH384" s="134">
        <v>211360</v>
      </c>
      <c r="AI384" s="134">
        <v>3.5</v>
      </c>
      <c r="AJ384" s="135">
        <f t="shared" si="65"/>
        <v>253.75</v>
      </c>
      <c r="AK384" s="136">
        <f t="shared" si="66"/>
        <v>761.25</v>
      </c>
      <c r="AL384" s="136" t="str" cm="1">
        <f t="array" ref="AL384">_xlfn.IFS(
AI384&lt;3,"Ligera",
AI384&lt;=6,"Moderada",
AI384&gt;6,"Vigorosa"
)</f>
        <v>Moderada</v>
      </c>
      <c r="AM384" s="45" t="s">
        <v>48</v>
      </c>
      <c r="AN384" s="289" t="s">
        <v>60</v>
      </c>
      <c r="AO384" s="46" t="s">
        <v>61</v>
      </c>
      <c r="AP384" s="289" t="s">
        <v>155</v>
      </c>
      <c r="AQ384" s="139">
        <v>0</v>
      </c>
      <c r="AS384" s="83" t="s">
        <v>207</v>
      </c>
    </row>
    <row r="385" spans="1:45" ht="64.5" customHeight="1" thickBot="1">
      <c r="A385" s="138" t="s">
        <v>364</v>
      </c>
      <c r="B385" s="12">
        <v>56</v>
      </c>
      <c r="C385" s="12">
        <v>73.5</v>
      </c>
      <c r="D385" s="12">
        <v>38</v>
      </c>
      <c r="E385" s="12" t="s">
        <v>45</v>
      </c>
      <c r="F385" s="12" t="s">
        <v>45</v>
      </c>
      <c r="G385" s="12" t="s">
        <v>223</v>
      </c>
      <c r="H385" s="12"/>
      <c r="I385" s="12" t="s">
        <v>45</v>
      </c>
      <c r="J385" s="12" t="s">
        <v>47</v>
      </c>
      <c r="K385" s="12" t="s">
        <v>49</v>
      </c>
      <c r="L385" s="12" t="s">
        <v>49</v>
      </c>
      <c r="M385" s="11" t="s">
        <v>56</v>
      </c>
      <c r="N385" s="11" t="s">
        <v>57</v>
      </c>
      <c r="O385" s="11" t="s">
        <v>208</v>
      </c>
      <c r="P385" s="11" t="s">
        <v>51</v>
      </c>
      <c r="Q385" s="50" t="s">
        <v>368</v>
      </c>
      <c r="R385" s="47">
        <v>21</v>
      </c>
      <c r="S385" s="48">
        <v>3</v>
      </c>
      <c r="T385" s="85">
        <v>7.78</v>
      </c>
      <c r="U385" s="47">
        <v>21</v>
      </c>
      <c r="V385" s="47">
        <v>5.5</v>
      </c>
      <c r="W385" s="85">
        <v>10.15</v>
      </c>
      <c r="X385" s="130">
        <f t="shared" si="64"/>
        <v>2.5</v>
      </c>
      <c r="Y385" s="16">
        <f t="shared" si="67"/>
        <v>2.0069391525167779</v>
      </c>
      <c r="Z385" s="286" t="s">
        <v>53</v>
      </c>
      <c r="AA385" s="286" t="s">
        <v>53</v>
      </c>
      <c r="AB385" s="287">
        <v>2.0069391525167779</v>
      </c>
      <c r="AC385" s="66" t="s">
        <v>49</v>
      </c>
      <c r="AD385" s="51" t="s">
        <v>367</v>
      </c>
      <c r="AE385" s="13">
        <v>12</v>
      </c>
      <c r="AF385" s="13">
        <v>3</v>
      </c>
      <c r="AG385" s="13">
        <v>52.5</v>
      </c>
      <c r="AH385" s="134">
        <v>205160</v>
      </c>
      <c r="AI385" s="134">
        <v>3</v>
      </c>
      <c r="AJ385" s="135">
        <f t="shared" si="65"/>
        <v>157.5</v>
      </c>
      <c r="AK385" s="136">
        <f t="shared" si="66"/>
        <v>472.5</v>
      </c>
      <c r="AL385" s="136" t="str" cm="1">
        <f t="array" ref="AL385">_xlfn.IFS(
AI385&lt;3,"Ligera",
AI385&lt;=6,"Moderada",
AI385&gt;6,"Vigorosa"
)</f>
        <v>Moderada</v>
      </c>
      <c r="AM385" s="45" t="s">
        <v>48</v>
      </c>
      <c r="AN385" s="46" t="s">
        <v>60</v>
      </c>
      <c r="AO385" s="46" t="s">
        <v>61</v>
      </c>
      <c r="AP385" s="289" t="s">
        <v>155</v>
      </c>
      <c r="AQ385" s="139">
        <v>0</v>
      </c>
      <c r="AS385" s="83" t="s">
        <v>207</v>
      </c>
    </row>
    <row r="386" spans="1:45" ht="60" customHeight="1" thickBot="1">
      <c r="A386" s="138" t="s">
        <v>364</v>
      </c>
      <c r="B386" s="12">
        <v>56</v>
      </c>
      <c r="C386" s="12">
        <v>77</v>
      </c>
      <c r="D386" s="12">
        <v>36.4</v>
      </c>
      <c r="E386" s="12" t="s">
        <v>45</v>
      </c>
      <c r="F386" s="12" t="s">
        <v>45</v>
      </c>
      <c r="G386" s="12" t="s">
        <v>223</v>
      </c>
      <c r="H386" s="12"/>
      <c r="I386" s="12" t="s">
        <v>45</v>
      </c>
      <c r="J386" s="12" t="s">
        <v>47</v>
      </c>
      <c r="K386" s="12" t="s">
        <v>49</v>
      </c>
      <c r="L386" s="12" t="s">
        <v>49</v>
      </c>
      <c r="M386" s="11" t="s">
        <v>56</v>
      </c>
      <c r="N386" s="11" t="s">
        <v>76</v>
      </c>
      <c r="O386" s="11" t="s">
        <v>103</v>
      </c>
      <c r="P386" s="11" t="s">
        <v>51</v>
      </c>
      <c r="Q386" s="50" t="s">
        <v>368</v>
      </c>
      <c r="R386" s="47">
        <v>22</v>
      </c>
      <c r="S386" s="48">
        <v>1.5</v>
      </c>
      <c r="T386" s="85">
        <v>12.59</v>
      </c>
      <c r="U386" s="47">
        <v>22</v>
      </c>
      <c r="V386" s="47">
        <v>-1.5</v>
      </c>
      <c r="W386" s="85">
        <v>12.22</v>
      </c>
      <c r="X386" s="130">
        <f t="shared" si="64"/>
        <v>-3</v>
      </c>
      <c r="Y386" s="16">
        <f t="shared" si="67"/>
        <v>2.6456370602456896</v>
      </c>
      <c r="Z386" s="15">
        <f t="shared" si="68"/>
        <v>-5.5</v>
      </c>
      <c r="AA386" s="16">
        <f t="shared" si="69"/>
        <v>126.74015609756098</v>
      </c>
      <c r="AB386" s="16">
        <f t="shared" si="70"/>
        <v>3.4345540780002368</v>
      </c>
      <c r="AC386" s="66" t="s">
        <v>49</v>
      </c>
      <c r="AD386" s="51" t="s">
        <v>366</v>
      </c>
      <c r="AE386" s="13">
        <v>12</v>
      </c>
      <c r="AF386" s="13">
        <v>3</v>
      </c>
      <c r="AG386" s="13">
        <v>72.5</v>
      </c>
      <c r="AH386" s="134">
        <v>211360</v>
      </c>
      <c r="AI386" s="134">
        <v>3.5</v>
      </c>
      <c r="AJ386" s="135">
        <f t="shared" si="65"/>
        <v>253.75</v>
      </c>
      <c r="AK386" s="136">
        <f t="shared" si="66"/>
        <v>761.25</v>
      </c>
      <c r="AL386" s="136" t="str" cm="1">
        <f t="array" ref="AL386">_xlfn.IFS(
AI386&lt;3,"Ligera",
AI386&lt;=6,"Moderada",
AI386&gt;6,"Vigorosa"
)</f>
        <v>Moderada</v>
      </c>
      <c r="AM386" s="45" t="s">
        <v>48</v>
      </c>
      <c r="AN386" s="289" t="s">
        <v>60</v>
      </c>
      <c r="AO386" s="46" t="s">
        <v>61</v>
      </c>
      <c r="AP386" s="289" t="s">
        <v>155</v>
      </c>
      <c r="AQ386" s="139">
        <v>0</v>
      </c>
      <c r="AS386" s="83" t="s">
        <v>207</v>
      </c>
    </row>
    <row r="387" spans="1:45" ht="64.5" customHeight="1" thickBot="1">
      <c r="A387" s="138" t="s">
        <v>364</v>
      </c>
      <c r="B387" s="12">
        <v>56</v>
      </c>
      <c r="C387" s="12">
        <v>73.5</v>
      </c>
      <c r="D387" s="12">
        <v>38</v>
      </c>
      <c r="E387" s="12" t="s">
        <v>45</v>
      </c>
      <c r="F387" s="12" t="s">
        <v>45</v>
      </c>
      <c r="G387" s="12" t="s">
        <v>223</v>
      </c>
      <c r="H387" s="12"/>
      <c r="I387" s="12" t="s">
        <v>45</v>
      </c>
      <c r="J387" s="12" t="s">
        <v>47</v>
      </c>
      <c r="K387" s="12" t="s">
        <v>49</v>
      </c>
      <c r="L387" s="12" t="s">
        <v>49</v>
      </c>
      <c r="M387" s="11" t="s">
        <v>56</v>
      </c>
      <c r="N387" s="11" t="s">
        <v>57</v>
      </c>
      <c r="O387" s="11" t="s">
        <v>208</v>
      </c>
      <c r="P387" s="11" t="s">
        <v>51</v>
      </c>
      <c r="Q387" s="50" t="s">
        <v>166</v>
      </c>
      <c r="R387" s="47">
        <v>21</v>
      </c>
      <c r="S387" s="48">
        <v>70</v>
      </c>
      <c r="T387" s="85">
        <v>20.74</v>
      </c>
      <c r="U387" s="47">
        <v>21</v>
      </c>
      <c r="V387" s="47">
        <v>91.5</v>
      </c>
      <c r="W387" s="85">
        <v>16.809999999999999</v>
      </c>
      <c r="X387" s="130">
        <f t="shared" si="64"/>
        <v>21.5</v>
      </c>
      <c r="Y387" s="16">
        <f t="shared" si="67"/>
        <v>4.1638140711429008</v>
      </c>
      <c r="Z387" s="286" t="s">
        <v>53</v>
      </c>
      <c r="AA387" s="286" t="s">
        <v>53</v>
      </c>
      <c r="AB387" s="287">
        <v>4.1638140711429008</v>
      </c>
      <c r="AC387" s="66" t="s">
        <v>49</v>
      </c>
      <c r="AD387" s="51" t="s">
        <v>367</v>
      </c>
      <c r="AE387" s="13">
        <v>12</v>
      </c>
      <c r="AF387" s="13">
        <v>3</v>
      </c>
      <c r="AG387" s="13">
        <v>52.5</v>
      </c>
      <c r="AH387" s="134">
        <v>205160</v>
      </c>
      <c r="AI387" s="134">
        <v>3</v>
      </c>
      <c r="AJ387" s="135">
        <f t="shared" si="65"/>
        <v>157.5</v>
      </c>
      <c r="AK387" s="136">
        <f t="shared" si="66"/>
        <v>472.5</v>
      </c>
      <c r="AL387" s="136" t="str" cm="1">
        <f t="array" ref="AL387">_xlfn.IFS(
AI387&lt;3,"Ligera",
AI387&lt;=6,"Moderada",
AI387&gt;6,"Vigorosa"
)</f>
        <v>Moderada</v>
      </c>
      <c r="AM387" s="45" t="s">
        <v>48</v>
      </c>
      <c r="AN387" s="46" t="s">
        <v>60</v>
      </c>
      <c r="AO387" s="46" t="s">
        <v>61</v>
      </c>
      <c r="AP387" s="289" t="s">
        <v>155</v>
      </c>
      <c r="AQ387" s="139">
        <v>0</v>
      </c>
      <c r="AS387" s="83" t="s">
        <v>207</v>
      </c>
    </row>
    <row r="388" spans="1:45" ht="60" customHeight="1" thickBot="1">
      <c r="A388" s="138" t="s">
        <v>364</v>
      </c>
      <c r="B388" s="12">
        <v>56</v>
      </c>
      <c r="C388" s="12">
        <v>77</v>
      </c>
      <c r="D388" s="12">
        <v>36.4</v>
      </c>
      <c r="E388" s="12" t="s">
        <v>45</v>
      </c>
      <c r="F388" s="12" t="s">
        <v>45</v>
      </c>
      <c r="G388" s="12" t="s">
        <v>223</v>
      </c>
      <c r="H388" s="12"/>
      <c r="I388" s="12" t="s">
        <v>45</v>
      </c>
      <c r="J388" s="12" t="s">
        <v>47</v>
      </c>
      <c r="K388" s="12" t="s">
        <v>49</v>
      </c>
      <c r="L388" s="12" t="s">
        <v>49</v>
      </c>
      <c r="M388" s="11" t="s">
        <v>56</v>
      </c>
      <c r="N388" s="11" t="s">
        <v>76</v>
      </c>
      <c r="O388" s="11" t="s">
        <v>103</v>
      </c>
      <c r="P388" s="11" t="s">
        <v>51</v>
      </c>
      <c r="Q388" s="50" t="s">
        <v>166</v>
      </c>
      <c r="R388" s="47">
        <v>22</v>
      </c>
      <c r="S388" s="48">
        <v>71.5</v>
      </c>
      <c r="T388" s="85">
        <v>23.56</v>
      </c>
      <c r="U388" s="47">
        <v>22</v>
      </c>
      <c r="V388" s="47">
        <v>91</v>
      </c>
      <c r="W388" s="85">
        <v>18.37</v>
      </c>
      <c r="X388" s="130">
        <f t="shared" si="64"/>
        <v>19.5</v>
      </c>
      <c r="Y388" s="16">
        <f t="shared" si="67"/>
        <v>4.5713201793156184</v>
      </c>
      <c r="Z388" s="15">
        <f t="shared" si="68"/>
        <v>-2</v>
      </c>
      <c r="AA388" s="16">
        <f t="shared" si="69"/>
        <v>310.68577804878049</v>
      </c>
      <c r="AB388" s="16">
        <f t="shared" si="70"/>
        <v>5.3774196116599313</v>
      </c>
      <c r="AC388" s="66" t="s">
        <v>49</v>
      </c>
      <c r="AD388" s="51" t="s">
        <v>366</v>
      </c>
      <c r="AE388" s="13">
        <v>12</v>
      </c>
      <c r="AF388" s="13">
        <v>3</v>
      </c>
      <c r="AG388" s="13">
        <v>72.5</v>
      </c>
      <c r="AH388" s="134">
        <v>211360</v>
      </c>
      <c r="AI388" s="134">
        <v>3.5</v>
      </c>
      <c r="AJ388" s="135">
        <f t="shared" si="65"/>
        <v>253.75</v>
      </c>
      <c r="AK388" s="136">
        <f t="shared" si="66"/>
        <v>761.25</v>
      </c>
      <c r="AL388" s="136" t="str" cm="1">
        <f t="array" ref="AL388">_xlfn.IFS(
AI388&lt;3,"Ligera",
AI388&lt;=6,"Moderada",
AI388&gt;6,"Vigorosa"
)</f>
        <v>Moderada</v>
      </c>
      <c r="AM388" s="45" t="s">
        <v>48</v>
      </c>
      <c r="AN388" s="289" t="s">
        <v>60</v>
      </c>
      <c r="AO388" s="46" t="s">
        <v>61</v>
      </c>
      <c r="AP388" s="289" t="s">
        <v>155</v>
      </c>
      <c r="AQ388" s="139">
        <v>0</v>
      </c>
      <c r="AS388" s="83" t="s">
        <v>207</v>
      </c>
    </row>
    <row r="389" spans="1:45" ht="64.5" customHeight="1" thickBot="1">
      <c r="A389" s="138" t="s">
        <v>364</v>
      </c>
      <c r="B389" s="12">
        <v>56</v>
      </c>
      <c r="C389" s="12">
        <v>73.5</v>
      </c>
      <c r="D389" s="12">
        <v>38</v>
      </c>
      <c r="E389" s="12" t="s">
        <v>45</v>
      </c>
      <c r="F389" s="12" t="s">
        <v>45</v>
      </c>
      <c r="G389" s="12" t="s">
        <v>223</v>
      </c>
      <c r="H389" s="12"/>
      <c r="I389" s="12" t="s">
        <v>45</v>
      </c>
      <c r="J389" s="12" t="s">
        <v>47</v>
      </c>
      <c r="K389" s="12" t="s">
        <v>49</v>
      </c>
      <c r="L389" s="12" t="s">
        <v>49</v>
      </c>
      <c r="M389" s="11" t="s">
        <v>56</v>
      </c>
      <c r="N389" s="11" t="s">
        <v>57</v>
      </c>
      <c r="O389" s="11" t="s">
        <v>208</v>
      </c>
      <c r="P389" s="11" t="s">
        <v>197</v>
      </c>
      <c r="Q389" s="50" t="s">
        <v>198</v>
      </c>
      <c r="R389" s="47">
        <v>21</v>
      </c>
      <c r="S389" s="48">
        <v>20</v>
      </c>
      <c r="T389" s="85">
        <v>29.63</v>
      </c>
      <c r="U389" s="47">
        <v>21</v>
      </c>
      <c r="V389" s="47">
        <v>14.5</v>
      </c>
      <c r="W389" s="85">
        <v>18.149999999999999</v>
      </c>
      <c r="X389" s="130">
        <f t="shared" si="64"/>
        <v>-5.5</v>
      </c>
      <c r="Y389" s="16">
        <f t="shared" si="67"/>
        <v>5.6466378534149895</v>
      </c>
      <c r="Z389" s="286" t="s">
        <v>53</v>
      </c>
      <c r="AA389" s="286" t="s">
        <v>53</v>
      </c>
      <c r="AB389" s="287">
        <v>5.6466378534149895</v>
      </c>
      <c r="AC389" s="66" t="s">
        <v>48</v>
      </c>
      <c r="AD389" s="51" t="s">
        <v>367</v>
      </c>
      <c r="AE389" s="13">
        <v>12</v>
      </c>
      <c r="AF389" s="13">
        <v>3</v>
      </c>
      <c r="AG389" s="13">
        <v>52.5</v>
      </c>
      <c r="AH389" s="134">
        <v>205160</v>
      </c>
      <c r="AI389" s="134">
        <v>3</v>
      </c>
      <c r="AJ389" s="135">
        <f t="shared" si="65"/>
        <v>157.5</v>
      </c>
      <c r="AK389" s="136">
        <f t="shared" si="66"/>
        <v>472.5</v>
      </c>
      <c r="AL389" s="136" t="str" cm="1">
        <f t="array" ref="AL389">_xlfn.IFS(
AI389&lt;3,"Ligera",
AI389&lt;=6,"Moderada",
AI389&gt;6,"Vigorosa"
)</f>
        <v>Moderada</v>
      </c>
      <c r="AM389" s="45" t="s">
        <v>48</v>
      </c>
      <c r="AN389" s="46" t="s">
        <v>60</v>
      </c>
      <c r="AO389" s="46" t="s">
        <v>61</v>
      </c>
      <c r="AP389" s="289" t="s">
        <v>155</v>
      </c>
      <c r="AQ389" s="139">
        <v>0</v>
      </c>
      <c r="AS389" s="83" t="s">
        <v>207</v>
      </c>
    </row>
    <row r="390" spans="1:45" ht="60" customHeight="1" thickBot="1">
      <c r="A390" s="140" t="s">
        <v>364</v>
      </c>
      <c r="B390" s="141">
        <v>56</v>
      </c>
      <c r="C390" s="141">
        <v>77</v>
      </c>
      <c r="D390" s="141">
        <v>36.4</v>
      </c>
      <c r="E390" s="141" t="s">
        <v>45</v>
      </c>
      <c r="F390" s="141" t="s">
        <v>45</v>
      </c>
      <c r="G390" s="141" t="s">
        <v>223</v>
      </c>
      <c r="H390" s="141"/>
      <c r="I390" s="141" t="s">
        <v>45</v>
      </c>
      <c r="J390" s="141" t="s">
        <v>47</v>
      </c>
      <c r="K390" s="141" t="s">
        <v>49</v>
      </c>
      <c r="L390" s="141" t="s">
        <v>49</v>
      </c>
      <c r="M390" s="142" t="s">
        <v>56</v>
      </c>
      <c r="N390" s="142" t="s">
        <v>76</v>
      </c>
      <c r="O390" s="142" t="s">
        <v>103</v>
      </c>
      <c r="P390" s="142" t="s">
        <v>197</v>
      </c>
      <c r="Q390" s="158" t="s">
        <v>198</v>
      </c>
      <c r="R390" s="169">
        <v>22</v>
      </c>
      <c r="S390" s="170">
        <v>15.5</v>
      </c>
      <c r="T390" s="172">
        <v>29.63</v>
      </c>
      <c r="U390" s="169">
        <v>22</v>
      </c>
      <c r="V390" s="169">
        <v>10</v>
      </c>
      <c r="W390" s="172">
        <v>9.81</v>
      </c>
      <c r="X390" s="130">
        <f t="shared" si="64"/>
        <v>-5.5</v>
      </c>
      <c r="Y390" s="16">
        <f t="shared" si="67"/>
        <v>5.5738949169727396</v>
      </c>
      <c r="Z390" s="15">
        <f t="shared" si="68"/>
        <v>0</v>
      </c>
      <c r="AA390" s="16">
        <f t="shared" si="69"/>
        <v>209.98556341463413</v>
      </c>
      <c r="AB390" s="16">
        <f t="shared" si="70"/>
        <v>4.4208721855062532</v>
      </c>
      <c r="AC390" s="66" t="s">
        <v>48</v>
      </c>
      <c r="AD390" s="151" t="s">
        <v>366</v>
      </c>
      <c r="AE390" s="146">
        <v>12</v>
      </c>
      <c r="AF390" s="146">
        <v>3</v>
      </c>
      <c r="AG390" s="146">
        <v>72.5</v>
      </c>
      <c r="AH390" s="134">
        <v>211360</v>
      </c>
      <c r="AI390" s="134">
        <v>3.5</v>
      </c>
      <c r="AJ390" s="135">
        <f t="shared" si="65"/>
        <v>253.75</v>
      </c>
      <c r="AK390" s="136">
        <f t="shared" si="66"/>
        <v>761.25</v>
      </c>
      <c r="AL390" s="136" t="str" cm="1">
        <f t="array" ref="AL390">_xlfn.IFS(
AI390&lt;3,"Ligera",
AI390&lt;=6,"Moderada",
AI390&gt;6,"Vigorosa"
)</f>
        <v>Moderada</v>
      </c>
      <c r="AM390" s="147" t="s">
        <v>48</v>
      </c>
      <c r="AN390" s="290" t="s">
        <v>60</v>
      </c>
      <c r="AO390" s="148" t="s">
        <v>61</v>
      </c>
      <c r="AP390" s="290" t="s">
        <v>155</v>
      </c>
      <c r="AQ390" s="149">
        <v>0</v>
      </c>
      <c r="AS390" s="83" t="s">
        <v>207</v>
      </c>
    </row>
    <row r="391" spans="1:45" ht="54" customHeight="1" thickBot="1">
      <c r="A391" s="124" t="s">
        <v>369</v>
      </c>
      <c r="B391" s="125">
        <v>81</v>
      </c>
      <c r="C391" s="125">
        <v>84.3</v>
      </c>
      <c r="D391" s="125">
        <v>17.899999999999999</v>
      </c>
      <c r="E391" s="125" t="s">
        <v>45</v>
      </c>
      <c r="F391" s="125" t="s">
        <v>45</v>
      </c>
      <c r="G391" s="125" t="s">
        <v>370</v>
      </c>
      <c r="H391" s="125"/>
      <c r="I391" s="125" t="s">
        <v>45</v>
      </c>
      <c r="J391" s="125" t="s">
        <v>47</v>
      </c>
      <c r="K391" s="125" t="s">
        <v>49</v>
      </c>
      <c r="L391" s="125" t="s">
        <v>49</v>
      </c>
      <c r="M391" s="126" t="s">
        <v>50</v>
      </c>
      <c r="N391" s="126" t="s">
        <v>50</v>
      </c>
      <c r="O391" s="126" t="s">
        <v>50</v>
      </c>
      <c r="P391" s="126" t="s">
        <v>94</v>
      </c>
      <c r="Q391" s="159" t="s">
        <v>119</v>
      </c>
      <c r="R391" s="167">
        <v>39</v>
      </c>
      <c r="S391" s="168">
        <v>25.3</v>
      </c>
      <c r="T391" s="179">
        <v>3.3</v>
      </c>
      <c r="U391" s="168">
        <v>34</v>
      </c>
      <c r="V391" s="167">
        <v>22.6</v>
      </c>
      <c r="W391" s="168">
        <v>4.2</v>
      </c>
      <c r="X391" s="130">
        <f t="shared" si="64"/>
        <v>-2.6999999999999993</v>
      </c>
      <c r="Y391" s="16">
        <f t="shared" si="67"/>
        <v>0.6568642083682853</v>
      </c>
      <c r="Z391" s="286" t="s">
        <v>53</v>
      </c>
      <c r="AA391" s="286" t="s">
        <v>53</v>
      </c>
      <c r="AB391" s="287">
        <v>0.6568642083682853</v>
      </c>
      <c r="AC391" s="66" t="s">
        <v>49</v>
      </c>
      <c r="AD391" s="133" t="s">
        <v>371</v>
      </c>
      <c r="AE391" s="134">
        <v>12</v>
      </c>
      <c r="AF391" s="134">
        <v>0</v>
      </c>
      <c r="AG391" s="134">
        <v>0</v>
      </c>
      <c r="AH391" s="134">
        <v>0</v>
      </c>
      <c r="AI391" s="134">
        <v>0</v>
      </c>
      <c r="AJ391" s="135">
        <f t="shared" si="65"/>
        <v>0</v>
      </c>
      <c r="AK391" s="136">
        <f t="shared" si="66"/>
        <v>0</v>
      </c>
      <c r="AL391" s="136" t="str" cm="1">
        <f t="array" ref="AL391">_xlfn.IFS(
AI391&lt;3,"Ligera",
AI391&lt;=6,"Moderada",
AI391&gt;6,"Vigorosa"
)</f>
        <v>Ligera</v>
      </c>
      <c r="AM391" s="136" t="s">
        <v>49</v>
      </c>
      <c r="AN391" s="135" t="s">
        <v>49</v>
      </c>
      <c r="AO391" s="135" t="s">
        <v>49</v>
      </c>
      <c r="AP391" s="135" t="s">
        <v>49</v>
      </c>
      <c r="AQ391" s="137">
        <v>0</v>
      </c>
    </row>
    <row r="392" spans="1:45" ht="54" customHeight="1" thickBot="1">
      <c r="A392" s="138" t="s">
        <v>369</v>
      </c>
      <c r="B392" s="12">
        <v>81</v>
      </c>
      <c r="C392" s="12">
        <v>83.9</v>
      </c>
      <c r="D392" s="12">
        <v>28.6</v>
      </c>
      <c r="E392" s="12" t="s">
        <v>45</v>
      </c>
      <c r="F392" s="12" t="s">
        <v>45</v>
      </c>
      <c r="G392" s="12" t="s">
        <v>370</v>
      </c>
      <c r="H392" s="12"/>
      <c r="I392" s="12" t="s">
        <v>45</v>
      </c>
      <c r="J392" s="12" t="s">
        <v>47</v>
      </c>
      <c r="K392" s="12" t="s">
        <v>49</v>
      </c>
      <c r="L392" s="12" t="s">
        <v>49</v>
      </c>
      <c r="M392" s="11" t="s">
        <v>56</v>
      </c>
      <c r="N392" s="11" t="s">
        <v>57</v>
      </c>
      <c r="O392" s="11" t="s">
        <v>208</v>
      </c>
      <c r="P392" s="11" t="s">
        <v>94</v>
      </c>
      <c r="Q392" s="50" t="s">
        <v>119</v>
      </c>
      <c r="R392" s="47">
        <v>42</v>
      </c>
      <c r="S392" s="48">
        <v>25.9</v>
      </c>
      <c r="T392" s="52">
        <v>2.5</v>
      </c>
      <c r="U392" s="48">
        <v>33</v>
      </c>
      <c r="V392" s="48">
        <v>24.5</v>
      </c>
      <c r="W392" s="52">
        <v>3.3</v>
      </c>
      <c r="X392" s="130">
        <f t="shared" si="64"/>
        <v>-1.3999999999999986</v>
      </c>
      <c r="Y392" s="16">
        <f t="shared" si="67"/>
        <v>0.51903173255008161</v>
      </c>
      <c r="Z392" s="15">
        <f t="shared" si="68"/>
        <v>1.3000000000000007</v>
      </c>
      <c r="AA392" s="16">
        <f t="shared" si="69"/>
        <v>14.316923076923075</v>
      </c>
      <c r="AB392" s="16">
        <f t="shared" si="70"/>
        <v>0.9246253980379473</v>
      </c>
      <c r="AC392" s="66" t="s">
        <v>49</v>
      </c>
      <c r="AD392" s="51" t="s">
        <v>372</v>
      </c>
      <c r="AE392" s="13">
        <v>12</v>
      </c>
      <c r="AF392" s="13">
        <v>3</v>
      </c>
      <c r="AG392" s="13">
        <v>17.5</v>
      </c>
      <c r="AH392" s="134">
        <v>205160</v>
      </c>
      <c r="AI392" s="134">
        <v>3</v>
      </c>
      <c r="AJ392" s="135">
        <f t="shared" si="65"/>
        <v>52.5</v>
      </c>
      <c r="AK392" s="136">
        <f t="shared" si="66"/>
        <v>157.5</v>
      </c>
      <c r="AL392" s="136" t="str" cm="1">
        <f t="array" ref="AL392">_xlfn.IFS(
AI392&lt;3,"Ligera",
AI392&lt;=6,"Moderada",
AI392&gt;6,"Vigorosa"
)</f>
        <v>Moderada</v>
      </c>
      <c r="AM392" s="45" t="s">
        <v>48</v>
      </c>
      <c r="AN392" s="289" t="s">
        <v>60</v>
      </c>
      <c r="AO392" s="46" t="s">
        <v>61</v>
      </c>
      <c r="AP392" s="289" t="s">
        <v>128</v>
      </c>
      <c r="AQ392" s="139">
        <v>0</v>
      </c>
    </row>
    <row r="393" spans="1:45" ht="54" customHeight="1" thickBot="1">
      <c r="A393" s="138" t="s">
        <v>369</v>
      </c>
      <c r="B393" s="12">
        <v>81</v>
      </c>
      <c r="C393" s="12">
        <v>84.3</v>
      </c>
      <c r="D393" s="12">
        <v>17.899999999999999</v>
      </c>
      <c r="E393" s="12" t="s">
        <v>45</v>
      </c>
      <c r="F393" s="12" t="s">
        <v>45</v>
      </c>
      <c r="G393" s="12" t="s">
        <v>370</v>
      </c>
      <c r="H393" s="12"/>
      <c r="I393" s="12" t="s">
        <v>45</v>
      </c>
      <c r="J393" s="12" t="s">
        <v>47</v>
      </c>
      <c r="K393" s="12" t="s">
        <v>49</v>
      </c>
      <c r="L393" s="12" t="s">
        <v>49</v>
      </c>
      <c r="M393" s="11" t="s">
        <v>50</v>
      </c>
      <c r="N393" s="11" t="s">
        <v>50</v>
      </c>
      <c r="O393" s="11" t="s">
        <v>50</v>
      </c>
      <c r="P393" s="11" t="s">
        <v>51</v>
      </c>
      <c r="Q393" s="50" t="s">
        <v>249</v>
      </c>
      <c r="R393" s="47">
        <v>39</v>
      </c>
      <c r="S393" s="48">
        <v>0.33600000000000002</v>
      </c>
      <c r="T393" s="52">
        <v>0.17599999999999999</v>
      </c>
      <c r="U393" s="48">
        <v>34</v>
      </c>
      <c r="V393" s="47">
        <v>0.39700000000000002</v>
      </c>
      <c r="W393" s="48">
        <v>0.28000000000000003</v>
      </c>
      <c r="X393" s="130">
        <f t="shared" si="64"/>
        <v>6.0999999999999999E-2</v>
      </c>
      <c r="Y393" s="16">
        <f t="shared" si="67"/>
        <v>4.2041995810911566E-2</v>
      </c>
      <c r="Z393" s="286" t="s">
        <v>53</v>
      </c>
      <c r="AA393" s="286" t="s">
        <v>53</v>
      </c>
      <c r="AB393" s="287">
        <v>4.2041995810911566E-2</v>
      </c>
      <c r="AC393" s="66" t="s">
        <v>49</v>
      </c>
      <c r="AD393" s="51" t="s">
        <v>371</v>
      </c>
      <c r="AE393" s="13">
        <v>12</v>
      </c>
      <c r="AF393" s="13">
        <v>0</v>
      </c>
      <c r="AG393" s="13">
        <v>0</v>
      </c>
      <c r="AH393" s="134">
        <v>0</v>
      </c>
      <c r="AI393" s="134">
        <v>0</v>
      </c>
      <c r="AJ393" s="135">
        <f t="shared" si="65"/>
        <v>0</v>
      </c>
      <c r="AK393" s="136">
        <f t="shared" si="66"/>
        <v>0</v>
      </c>
      <c r="AL393" s="136" t="str" cm="1">
        <f t="array" ref="AL393">_xlfn.IFS(
AI393&lt;3,"Ligera",
AI393&lt;=6,"Moderada",
AI393&gt;6,"Vigorosa"
)</f>
        <v>Ligera</v>
      </c>
      <c r="AM393" s="45" t="s">
        <v>49</v>
      </c>
      <c r="AN393" s="46" t="s">
        <v>49</v>
      </c>
      <c r="AO393" s="46" t="s">
        <v>49</v>
      </c>
      <c r="AP393" s="46" t="s">
        <v>49</v>
      </c>
      <c r="AQ393" s="139">
        <v>0</v>
      </c>
    </row>
    <row r="394" spans="1:45" ht="54" customHeight="1" thickBot="1">
      <c r="A394" s="138" t="s">
        <v>369</v>
      </c>
      <c r="B394" s="12">
        <v>81</v>
      </c>
      <c r="C394" s="12">
        <v>83.9</v>
      </c>
      <c r="D394" s="12">
        <v>28.6</v>
      </c>
      <c r="E394" s="12" t="s">
        <v>45</v>
      </c>
      <c r="F394" s="12" t="s">
        <v>45</v>
      </c>
      <c r="G394" s="12" t="s">
        <v>370</v>
      </c>
      <c r="H394" s="12"/>
      <c r="I394" s="12" t="s">
        <v>45</v>
      </c>
      <c r="J394" s="12" t="s">
        <v>47</v>
      </c>
      <c r="K394" s="12" t="s">
        <v>49</v>
      </c>
      <c r="L394" s="12" t="s">
        <v>49</v>
      </c>
      <c r="M394" s="11" t="s">
        <v>56</v>
      </c>
      <c r="N394" s="11" t="s">
        <v>57</v>
      </c>
      <c r="O394" s="11" t="s">
        <v>208</v>
      </c>
      <c r="P394" s="11" t="s">
        <v>51</v>
      </c>
      <c r="Q394" s="50" t="s">
        <v>249</v>
      </c>
      <c r="R394" s="47">
        <v>42</v>
      </c>
      <c r="S394" s="48">
        <v>0.40600000000000003</v>
      </c>
      <c r="T394" s="52">
        <v>0.23599999999999999</v>
      </c>
      <c r="U394" s="48">
        <v>33</v>
      </c>
      <c r="V394" s="48">
        <v>0.39500000000000002</v>
      </c>
      <c r="W394" s="52">
        <v>0.27</v>
      </c>
      <c r="X394" s="130">
        <f t="shared" si="64"/>
        <v>-1.100000000000001E-2</v>
      </c>
      <c r="Y394" s="16">
        <f t="shared" si="67"/>
        <v>4.433891511910721E-2</v>
      </c>
      <c r="Z394" s="15">
        <f t="shared" si="68"/>
        <v>-7.2000000000000008E-2</v>
      </c>
      <c r="AA394" s="16">
        <f t="shared" si="69"/>
        <v>7.5692307692307698E-2</v>
      </c>
      <c r="AB394" s="16">
        <f t="shared" si="70"/>
        <v>6.7230578144157713E-2</v>
      </c>
      <c r="AC394" s="66" t="s">
        <v>49</v>
      </c>
      <c r="AD394" s="51" t="s">
        <v>372</v>
      </c>
      <c r="AE394" s="13">
        <v>12</v>
      </c>
      <c r="AF394" s="13">
        <v>3</v>
      </c>
      <c r="AG394" s="13">
        <v>17.5</v>
      </c>
      <c r="AH394" s="134">
        <v>205160</v>
      </c>
      <c r="AI394" s="134">
        <v>3</v>
      </c>
      <c r="AJ394" s="135">
        <f t="shared" si="65"/>
        <v>52.5</v>
      </c>
      <c r="AK394" s="136">
        <f t="shared" si="66"/>
        <v>157.5</v>
      </c>
      <c r="AL394" s="136" t="str" cm="1">
        <f t="array" ref="AL394">_xlfn.IFS(
AI394&lt;3,"Ligera",
AI394&lt;=6,"Moderada",
AI394&gt;6,"Vigorosa"
)</f>
        <v>Moderada</v>
      </c>
      <c r="AM394" s="45" t="s">
        <v>48</v>
      </c>
      <c r="AN394" s="289" t="s">
        <v>60</v>
      </c>
      <c r="AO394" s="46" t="s">
        <v>61</v>
      </c>
      <c r="AP394" s="289" t="s">
        <v>128</v>
      </c>
      <c r="AQ394" s="139">
        <v>0</v>
      </c>
    </row>
    <row r="395" spans="1:45" ht="54" customHeight="1" thickBot="1">
      <c r="A395" s="138" t="s">
        <v>369</v>
      </c>
      <c r="B395" s="12">
        <v>81</v>
      </c>
      <c r="C395" s="12">
        <v>84.3</v>
      </c>
      <c r="D395" s="12">
        <v>17.899999999999999</v>
      </c>
      <c r="E395" s="12" t="s">
        <v>45</v>
      </c>
      <c r="F395" s="12" t="s">
        <v>45</v>
      </c>
      <c r="G395" s="12" t="s">
        <v>370</v>
      </c>
      <c r="H395" s="12"/>
      <c r="I395" s="12" t="s">
        <v>45</v>
      </c>
      <c r="J395" s="12" t="s">
        <v>47</v>
      </c>
      <c r="K395" s="12" t="s">
        <v>49</v>
      </c>
      <c r="L395" s="12" t="s">
        <v>49</v>
      </c>
      <c r="M395" s="11" t="s">
        <v>50</v>
      </c>
      <c r="N395" s="11" t="s">
        <v>50</v>
      </c>
      <c r="O395" s="11" t="s">
        <v>50</v>
      </c>
      <c r="P395" s="11" t="s">
        <v>197</v>
      </c>
      <c r="Q395" s="50" t="s">
        <v>373</v>
      </c>
      <c r="R395" s="47">
        <v>39</v>
      </c>
      <c r="S395" s="48">
        <v>15.4</v>
      </c>
      <c r="T395" s="52">
        <v>3.3</v>
      </c>
      <c r="U395" s="48">
        <v>34</v>
      </c>
      <c r="V395" s="47">
        <v>16.3</v>
      </c>
      <c r="W395" s="48">
        <v>3.8</v>
      </c>
      <c r="X395" s="130">
        <f t="shared" si="64"/>
        <v>0.90000000000000036</v>
      </c>
      <c r="Y395" s="16">
        <f t="shared" si="67"/>
        <v>0.6133322676887587</v>
      </c>
      <c r="Z395" s="286" t="s">
        <v>53</v>
      </c>
      <c r="AA395" s="286" t="s">
        <v>53</v>
      </c>
      <c r="AB395" s="287">
        <v>0.6133322676887587</v>
      </c>
      <c r="AC395" s="66" t="s">
        <v>48</v>
      </c>
      <c r="AD395" s="51" t="s">
        <v>371</v>
      </c>
      <c r="AE395" s="13">
        <v>12</v>
      </c>
      <c r="AF395" s="13">
        <v>0</v>
      </c>
      <c r="AG395" s="13">
        <v>0</v>
      </c>
      <c r="AH395" s="134">
        <v>0</v>
      </c>
      <c r="AI395" s="134">
        <v>0</v>
      </c>
      <c r="AJ395" s="135">
        <f t="shared" si="65"/>
        <v>0</v>
      </c>
      <c r="AK395" s="136">
        <f t="shared" si="66"/>
        <v>0</v>
      </c>
      <c r="AL395" s="136" t="str" cm="1">
        <f t="array" ref="AL395">_xlfn.IFS(
AI395&lt;3,"Ligera",
AI395&lt;=6,"Moderada",
AI395&gt;6,"Vigorosa"
)</f>
        <v>Ligera</v>
      </c>
      <c r="AM395" s="45" t="s">
        <v>49</v>
      </c>
      <c r="AN395" s="46" t="s">
        <v>49</v>
      </c>
      <c r="AO395" s="46" t="s">
        <v>49</v>
      </c>
      <c r="AP395" s="46" t="s">
        <v>49</v>
      </c>
      <c r="AQ395" s="139">
        <v>0</v>
      </c>
    </row>
    <row r="396" spans="1:45" ht="54" customHeight="1" thickBot="1">
      <c r="A396" s="138" t="s">
        <v>369</v>
      </c>
      <c r="B396" s="12">
        <v>81</v>
      </c>
      <c r="C396" s="12">
        <v>83.9</v>
      </c>
      <c r="D396" s="12">
        <v>28.6</v>
      </c>
      <c r="E396" s="12" t="s">
        <v>45</v>
      </c>
      <c r="F396" s="12" t="s">
        <v>45</v>
      </c>
      <c r="G396" s="12" t="s">
        <v>370</v>
      </c>
      <c r="H396" s="12"/>
      <c r="I396" s="12" t="s">
        <v>45</v>
      </c>
      <c r="J396" s="12" t="s">
        <v>47</v>
      </c>
      <c r="K396" s="12" t="s">
        <v>49</v>
      </c>
      <c r="L396" s="12" t="s">
        <v>49</v>
      </c>
      <c r="M396" s="11" t="s">
        <v>56</v>
      </c>
      <c r="N396" s="11" t="s">
        <v>57</v>
      </c>
      <c r="O396" s="11" t="s">
        <v>208</v>
      </c>
      <c r="P396" s="11" t="s">
        <v>197</v>
      </c>
      <c r="Q396" s="50" t="s">
        <v>373</v>
      </c>
      <c r="R396" s="47">
        <v>42</v>
      </c>
      <c r="S396" s="48">
        <v>15.3</v>
      </c>
      <c r="T396" s="52">
        <v>3.3</v>
      </c>
      <c r="U396" s="48">
        <v>33</v>
      </c>
      <c r="V396" s="48">
        <v>15.2</v>
      </c>
      <c r="W396" s="52">
        <v>3.8</v>
      </c>
      <c r="X396" s="130">
        <f t="shared" si="64"/>
        <v>-0.10000000000000142</v>
      </c>
      <c r="Y396" s="16">
        <f t="shared" si="67"/>
        <v>0.62255582687479327</v>
      </c>
      <c r="Z396" s="15">
        <f t="shared" si="68"/>
        <v>-1.0000000000000018</v>
      </c>
      <c r="AA396" s="16">
        <f t="shared" si="69"/>
        <v>14.439999999999998</v>
      </c>
      <c r="AB396" s="16">
        <f t="shared" si="70"/>
        <v>0.92859121249810384</v>
      </c>
      <c r="AC396" s="66" t="s">
        <v>48</v>
      </c>
      <c r="AD396" s="51" t="s">
        <v>372</v>
      </c>
      <c r="AE396" s="13">
        <v>12</v>
      </c>
      <c r="AF396" s="13">
        <v>3</v>
      </c>
      <c r="AG396" s="13">
        <v>17.5</v>
      </c>
      <c r="AH396" s="134">
        <v>205160</v>
      </c>
      <c r="AI396" s="134">
        <v>3</v>
      </c>
      <c r="AJ396" s="135">
        <f t="shared" si="65"/>
        <v>52.5</v>
      </c>
      <c r="AK396" s="136">
        <f t="shared" si="66"/>
        <v>157.5</v>
      </c>
      <c r="AL396" s="136" t="str" cm="1">
        <f t="array" ref="AL396">_xlfn.IFS(
AI396&lt;3,"Ligera",
AI396&lt;=6,"Moderada",
AI396&gt;6,"Vigorosa"
)</f>
        <v>Moderada</v>
      </c>
      <c r="AM396" s="45" t="s">
        <v>48</v>
      </c>
      <c r="AN396" s="289" t="s">
        <v>60</v>
      </c>
      <c r="AO396" s="46" t="s">
        <v>61</v>
      </c>
      <c r="AP396" s="289" t="s">
        <v>128</v>
      </c>
      <c r="AQ396" s="139">
        <v>0</v>
      </c>
    </row>
    <row r="397" spans="1:45" ht="54" customHeight="1" thickBot="1">
      <c r="A397" s="138" t="s">
        <v>369</v>
      </c>
      <c r="B397" s="12">
        <v>81</v>
      </c>
      <c r="C397" s="12">
        <v>84.3</v>
      </c>
      <c r="D397" s="12">
        <v>17.899999999999999</v>
      </c>
      <c r="E397" s="12" t="s">
        <v>45</v>
      </c>
      <c r="F397" s="12" t="s">
        <v>45</v>
      </c>
      <c r="G397" s="12" t="s">
        <v>370</v>
      </c>
      <c r="H397" s="12"/>
      <c r="I397" s="12" t="s">
        <v>45</v>
      </c>
      <c r="J397" s="12" t="s">
        <v>47</v>
      </c>
      <c r="K397" s="12" t="s">
        <v>49</v>
      </c>
      <c r="L397" s="12" t="s">
        <v>49</v>
      </c>
      <c r="M397" s="11" t="s">
        <v>50</v>
      </c>
      <c r="N397" s="11" t="s">
        <v>50</v>
      </c>
      <c r="O397" s="11" t="s">
        <v>50</v>
      </c>
      <c r="P397" s="11" t="s">
        <v>197</v>
      </c>
      <c r="Q397" s="50" t="s">
        <v>374</v>
      </c>
      <c r="R397" s="47">
        <v>39</v>
      </c>
      <c r="S397" s="48">
        <v>77.5</v>
      </c>
      <c r="T397" s="52">
        <v>22.4</v>
      </c>
      <c r="U397" s="48">
        <v>33</v>
      </c>
      <c r="V397" s="47">
        <v>74</v>
      </c>
      <c r="W397" s="48">
        <v>24.1</v>
      </c>
      <c r="X397" s="130">
        <f t="shared" si="64"/>
        <v>-3.5</v>
      </c>
      <c r="Y397" s="16">
        <f t="shared" si="67"/>
        <v>4.055411648200911</v>
      </c>
      <c r="Z397" s="286" t="s">
        <v>53</v>
      </c>
      <c r="AA397" s="286" t="s">
        <v>53</v>
      </c>
      <c r="AB397" s="287">
        <v>4.055411648200911</v>
      </c>
      <c r="AC397" s="66" t="s">
        <v>48</v>
      </c>
      <c r="AD397" s="51" t="s">
        <v>371</v>
      </c>
      <c r="AE397" s="13">
        <v>12</v>
      </c>
      <c r="AF397" s="13">
        <v>0</v>
      </c>
      <c r="AG397" s="13">
        <v>0</v>
      </c>
      <c r="AH397" s="134">
        <v>0</v>
      </c>
      <c r="AI397" s="134">
        <v>0</v>
      </c>
      <c r="AJ397" s="135">
        <f t="shared" si="65"/>
        <v>0</v>
      </c>
      <c r="AK397" s="136">
        <f t="shared" si="66"/>
        <v>0</v>
      </c>
      <c r="AL397" s="136" t="str" cm="1">
        <f t="array" ref="AL397">_xlfn.IFS(
AI397&lt;3,"Ligera",
AI397&lt;=6,"Moderada",
AI397&gt;6,"Vigorosa"
)</f>
        <v>Ligera</v>
      </c>
      <c r="AM397" s="45" t="s">
        <v>49</v>
      </c>
      <c r="AN397" s="46" t="s">
        <v>49</v>
      </c>
      <c r="AO397" s="46" t="s">
        <v>49</v>
      </c>
      <c r="AP397" s="46" t="s">
        <v>49</v>
      </c>
      <c r="AQ397" s="139">
        <v>0</v>
      </c>
    </row>
    <row r="398" spans="1:45" ht="54" customHeight="1" thickBot="1">
      <c r="A398" s="140" t="s">
        <v>369</v>
      </c>
      <c r="B398" s="141">
        <v>81</v>
      </c>
      <c r="C398" s="141">
        <v>83.9</v>
      </c>
      <c r="D398" s="141">
        <v>28.6</v>
      </c>
      <c r="E398" s="141" t="s">
        <v>45</v>
      </c>
      <c r="F398" s="141" t="s">
        <v>45</v>
      </c>
      <c r="G398" s="141" t="s">
        <v>370</v>
      </c>
      <c r="H398" s="141"/>
      <c r="I398" s="141" t="s">
        <v>45</v>
      </c>
      <c r="J398" s="141" t="s">
        <v>47</v>
      </c>
      <c r="K398" s="141" t="s">
        <v>49</v>
      </c>
      <c r="L398" s="141" t="s">
        <v>49</v>
      </c>
      <c r="M398" s="142" t="s">
        <v>56</v>
      </c>
      <c r="N398" s="142" t="s">
        <v>57</v>
      </c>
      <c r="O398" s="142" t="s">
        <v>208</v>
      </c>
      <c r="P398" s="142" t="s">
        <v>197</v>
      </c>
      <c r="Q398" s="158" t="s">
        <v>374</v>
      </c>
      <c r="R398" s="169">
        <v>42</v>
      </c>
      <c r="S398" s="170">
        <v>78.099999999999994</v>
      </c>
      <c r="T398" s="171">
        <v>20.3</v>
      </c>
      <c r="U398" s="170">
        <v>33</v>
      </c>
      <c r="V398" s="170">
        <v>79.599999999999994</v>
      </c>
      <c r="W398" s="171">
        <v>22.3</v>
      </c>
      <c r="X398" s="130">
        <f t="shared" si="64"/>
        <v>1.5</v>
      </c>
      <c r="Y398" s="16">
        <f t="shared" si="67"/>
        <v>3.7200928629660455</v>
      </c>
      <c r="Z398" s="15">
        <f t="shared" si="68"/>
        <v>5</v>
      </c>
      <c r="AA398" s="16">
        <f t="shared" si="69"/>
        <v>539.05000000000007</v>
      </c>
      <c r="AB398" s="16">
        <f t="shared" si="70"/>
        <v>5.7157411566390035</v>
      </c>
      <c r="AC398" s="66" t="s">
        <v>48</v>
      </c>
      <c r="AD398" s="151" t="s">
        <v>372</v>
      </c>
      <c r="AE398" s="146">
        <v>12</v>
      </c>
      <c r="AF398" s="146">
        <v>3</v>
      </c>
      <c r="AG398" s="146">
        <v>17.5</v>
      </c>
      <c r="AH398" s="134">
        <v>205160</v>
      </c>
      <c r="AI398" s="134">
        <v>3</v>
      </c>
      <c r="AJ398" s="135">
        <f t="shared" si="65"/>
        <v>52.5</v>
      </c>
      <c r="AK398" s="136">
        <f t="shared" si="66"/>
        <v>157.5</v>
      </c>
      <c r="AL398" s="136" t="str" cm="1">
        <f t="array" ref="AL398">_xlfn.IFS(
AI398&lt;3,"Ligera",
AI398&lt;=6,"Moderada",
AI398&gt;6,"Vigorosa"
)</f>
        <v>Moderada</v>
      </c>
      <c r="AM398" s="147" t="s">
        <v>48</v>
      </c>
      <c r="AN398" s="290" t="s">
        <v>60</v>
      </c>
      <c r="AO398" s="148" t="s">
        <v>61</v>
      </c>
      <c r="AP398" s="290" t="s">
        <v>128</v>
      </c>
      <c r="AQ398" s="149">
        <v>0</v>
      </c>
    </row>
    <row r="399" spans="1:45" ht="54" customHeight="1" thickBot="1">
      <c r="A399" s="124" t="s">
        <v>375</v>
      </c>
      <c r="B399" s="125">
        <v>30</v>
      </c>
      <c r="C399" s="125">
        <v>75.53</v>
      </c>
      <c r="D399" s="125">
        <v>0</v>
      </c>
      <c r="E399" s="125" t="s">
        <v>45</v>
      </c>
      <c r="F399" s="125" t="s">
        <v>45</v>
      </c>
      <c r="G399" s="125" t="s">
        <v>223</v>
      </c>
      <c r="H399" s="125"/>
      <c r="I399" s="125" t="s">
        <v>45</v>
      </c>
      <c r="J399" s="125" t="s">
        <v>47</v>
      </c>
      <c r="K399" s="125" t="s">
        <v>49</v>
      </c>
      <c r="L399" s="125" t="s">
        <v>49</v>
      </c>
      <c r="M399" s="126" t="s">
        <v>50</v>
      </c>
      <c r="N399" s="126" t="s">
        <v>50</v>
      </c>
      <c r="O399" s="126" t="s">
        <v>50</v>
      </c>
      <c r="P399" s="126" t="s">
        <v>51</v>
      </c>
      <c r="Q399" s="159" t="s">
        <v>376</v>
      </c>
      <c r="R399" s="167">
        <v>15</v>
      </c>
      <c r="S399" s="168">
        <v>14.94</v>
      </c>
      <c r="T399" s="179">
        <v>4.18</v>
      </c>
      <c r="U399" s="168">
        <v>15</v>
      </c>
      <c r="V399" s="168">
        <v>12.01</v>
      </c>
      <c r="W399" s="179">
        <v>3.52</v>
      </c>
      <c r="X399" s="130">
        <f t="shared" si="64"/>
        <v>-2.9299999999999997</v>
      </c>
      <c r="Y399" s="16">
        <f t="shared" si="67"/>
        <v>1.0049610274367193</v>
      </c>
      <c r="Z399" s="286" t="s">
        <v>53</v>
      </c>
      <c r="AA399" s="286" t="s">
        <v>53</v>
      </c>
      <c r="AB399" s="287">
        <v>1.0049610274367193</v>
      </c>
      <c r="AC399" s="66" t="s">
        <v>49</v>
      </c>
      <c r="AD399" s="133" t="s">
        <v>377</v>
      </c>
      <c r="AE399" s="134">
        <v>24</v>
      </c>
      <c r="AF399" s="134">
        <v>0</v>
      </c>
      <c r="AG399" s="134">
        <v>0</v>
      </c>
      <c r="AH399" s="134">
        <v>0</v>
      </c>
      <c r="AI399" s="134">
        <v>0</v>
      </c>
      <c r="AJ399" s="135">
        <f t="shared" si="65"/>
        <v>0</v>
      </c>
      <c r="AK399" s="136">
        <f t="shared" si="66"/>
        <v>0</v>
      </c>
      <c r="AL399" s="136" t="str" cm="1">
        <f t="array" ref="AL399">_xlfn.IFS(
AI399&lt;3,"Ligera",
AI399&lt;=6,"Moderada",
AI399&gt;6,"Vigorosa"
)</f>
        <v>Ligera</v>
      </c>
      <c r="AM399" s="136" t="s">
        <v>49</v>
      </c>
      <c r="AN399" s="135" t="s">
        <v>49</v>
      </c>
      <c r="AO399" s="135" t="s">
        <v>49</v>
      </c>
      <c r="AP399" s="135" t="s">
        <v>49</v>
      </c>
      <c r="AQ399" s="137">
        <v>0</v>
      </c>
    </row>
    <row r="400" spans="1:45" ht="63" customHeight="1" thickBot="1">
      <c r="A400" s="138" t="s">
        <v>375</v>
      </c>
      <c r="B400" s="12">
        <v>30</v>
      </c>
      <c r="C400" s="12">
        <v>74.28</v>
      </c>
      <c r="D400" s="12">
        <v>0</v>
      </c>
      <c r="E400" s="12" t="s">
        <v>45</v>
      </c>
      <c r="F400" s="12" t="s">
        <v>45</v>
      </c>
      <c r="G400" s="12" t="s">
        <v>223</v>
      </c>
      <c r="H400" s="12"/>
      <c r="I400" s="12" t="s">
        <v>45</v>
      </c>
      <c r="J400" s="12" t="s">
        <v>47</v>
      </c>
      <c r="K400" s="12" t="s">
        <v>49</v>
      </c>
      <c r="L400" s="12" t="s">
        <v>49</v>
      </c>
      <c r="M400" s="11" t="s">
        <v>56</v>
      </c>
      <c r="N400" s="11" t="s">
        <v>162</v>
      </c>
      <c r="O400" s="11" t="s">
        <v>163</v>
      </c>
      <c r="P400" s="11" t="s">
        <v>51</v>
      </c>
      <c r="Q400" s="50" t="s">
        <v>376</v>
      </c>
      <c r="R400" s="47">
        <v>15</v>
      </c>
      <c r="S400" s="48">
        <v>13.04</v>
      </c>
      <c r="T400" s="52">
        <v>4.74</v>
      </c>
      <c r="U400" s="48">
        <v>15</v>
      </c>
      <c r="V400" s="48">
        <v>17.440000000000001</v>
      </c>
      <c r="W400" s="52">
        <v>5.17</v>
      </c>
      <c r="X400" s="130">
        <f t="shared" si="64"/>
        <v>4.4000000000000021</v>
      </c>
      <c r="Y400" s="16">
        <f t="shared" si="67"/>
        <v>1.2829835021022937</v>
      </c>
      <c r="Z400" s="15">
        <f t="shared" si="68"/>
        <v>7.3300000000000018</v>
      </c>
      <c r="AA400" s="16">
        <f t="shared" si="69"/>
        <v>19.559650000000001</v>
      </c>
      <c r="AB400" s="16">
        <f t="shared" si="70"/>
        <v>1.6149158904826386</v>
      </c>
      <c r="AC400" s="66" t="s">
        <v>49</v>
      </c>
      <c r="AD400" s="51" t="s">
        <v>378</v>
      </c>
      <c r="AE400" s="13">
        <v>24</v>
      </c>
      <c r="AF400" s="13">
        <v>3</v>
      </c>
      <c r="AG400" s="13">
        <v>52.5</v>
      </c>
      <c r="AH400" s="134">
        <v>1715160</v>
      </c>
      <c r="AI400" s="134">
        <v>3</v>
      </c>
      <c r="AJ400" s="135">
        <f t="shared" si="65"/>
        <v>157.5</v>
      </c>
      <c r="AK400" s="136">
        <f t="shared" si="66"/>
        <v>472.5</v>
      </c>
      <c r="AL400" s="136" t="s">
        <v>379</v>
      </c>
      <c r="AM400" s="45" t="s">
        <v>48</v>
      </c>
      <c r="AN400" s="289" t="s">
        <v>60</v>
      </c>
      <c r="AO400" s="46" t="s">
        <v>61</v>
      </c>
      <c r="AP400" s="289" t="s">
        <v>128</v>
      </c>
      <c r="AQ400" s="139">
        <v>0</v>
      </c>
    </row>
    <row r="401" spans="1:43" ht="54" customHeight="1" thickBot="1">
      <c r="A401" s="138" t="s">
        <v>375</v>
      </c>
      <c r="B401" s="12">
        <v>30</v>
      </c>
      <c r="C401" s="12">
        <v>75.53</v>
      </c>
      <c r="D401" s="12">
        <v>0</v>
      </c>
      <c r="E401" s="12" t="s">
        <v>45</v>
      </c>
      <c r="F401" s="12" t="s">
        <v>45</v>
      </c>
      <c r="G401" s="12" t="s">
        <v>223</v>
      </c>
      <c r="H401" s="12"/>
      <c r="I401" s="12" t="s">
        <v>45</v>
      </c>
      <c r="J401" s="12" t="s">
        <v>47</v>
      </c>
      <c r="K401" s="12" t="s">
        <v>49</v>
      </c>
      <c r="L401" s="12" t="s">
        <v>49</v>
      </c>
      <c r="M401" s="11" t="s">
        <v>50</v>
      </c>
      <c r="N401" s="11" t="s">
        <v>50</v>
      </c>
      <c r="O401" s="11" t="s">
        <v>50</v>
      </c>
      <c r="P401" s="11" t="s">
        <v>51</v>
      </c>
      <c r="Q401" s="50" t="s">
        <v>92</v>
      </c>
      <c r="R401" s="47">
        <v>15</v>
      </c>
      <c r="S401" s="48">
        <v>13.79</v>
      </c>
      <c r="T401" s="52">
        <v>6.04</v>
      </c>
      <c r="U401" s="48">
        <v>15</v>
      </c>
      <c r="V401" s="48">
        <v>13.66</v>
      </c>
      <c r="W401" s="52">
        <v>4.99</v>
      </c>
      <c r="X401" s="130">
        <f t="shared" si="64"/>
        <v>-0.12999999999999901</v>
      </c>
      <c r="Y401" s="16">
        <f t="shared" si="67"/>
        <v>1.443193218757165</v>
      </c>
      <c r="Z401" s="286" t="s">
        <v>53</v>
      </c>
      <c r="AA401" s="286" t="s">
        <v>53</v>
      </c>
      <c r="AB401" s="287">
        <v>1.443193218757165</v>
      </c>
      <c r="AC401" s="66" t="s">
        <v>49</v>
      </c>
      <c r="AD401" s="51" t="s">
        <v>377</v>
      </c>
      <c r="AE401" s="13">
        <v>24</v>
      </c>
      <c r="AF401" s="13">
        <v>0</v>
      </c>
      <c r="AG401" s="13">
        <v>0</v>
      </c>
      <c r="AH401" s="134">
        <v>0</v>
      </c>
      <c r="AI401" s="134">
        <v>0</v>
      </c>
      <c r="AJ401" s="135">
        <f t="shared" si="65"/>
        <v>0</v>
      </c>
      <c r="AK401" s="136">
        <f t="shared" si="66"/>
        <v>0</v>
      </c>
      <c r="AL401" s="136" t="str" cm="1">
        <f t="array" ref="AL401">_xlfn.IFS(
AI401&lt;3,"Ligera",
AI401&lt;=6,"Moderada",
AI401&gt;6,"Vigorosa"
)</f>
        <v>Ligera</v>
      </c>
      <c r="AM401" s="45" t="s">
        <v>49</v>
      </c>
      <c r="AN401" s="46" t="s">
        <v>49</v>
      </c>
      <c r="AO401" s="46" t="s">
        <v>49</v>
      </c>
      <c r="AP401" s="46" t="s">
        <v>49</v>
      </c>
      <c r="AQ401" s="139">
        <v>0</v>
      </c>
    </row>
    <row r="402" spans="1:43" ht="63" customHeight="1" thickBot="1">
      <c r="A402" s="138" t="s">
        <v>375</v>
      </c>
      <c r="B402" s="12">
        <v>30</v>
      </c>
      <c r="C402" s="12">
        <v>74.28</v>
      </c>
      <c r="D402" s="12">
        <v>0</v>
      </c>
      <c r="E402" s="12" t="s">
        <v>45</v>
      </c>
      <c r="F402" s="12" t="s">
        <v>45</v>
      </c>
      <c r="G402" s="12" t="s">
        <v>223</v>
      </c>
      <c r="H402" s="12"/>
      <c r="I402" s="12" t="s">
        <v>45</v>
      </c>
      <c r="J402" s="12" t="s">
        <v>47</v>
      </c>
      <c r="K402" s="12" t="s">
        <v>49</v>
      </c>
      <c r="L402" s="12" t="s">
        <v>49</v>
      </c>
      <c r="M402" s="11" t="s">
        <v>56</v>
      </c>
      <c r="N402" s="11" t="s">
        <v>162</v>
      </c>
      <c r="O402" s="11" t="s">
        <v>163</v>
      </c>
      <c r="P402" s="11" t="s">
        <v>51</v>
      </c>
      <c r="Q402" s="50" t="s">
        <v>92</v>
      </c>
      <c r="R402" s="47">
        <v>15</v>
      </c>
      <c r="S402" s="48">
        <v>13.41</v>
      </c>
      <c r="T402" s="52">
        <v>4.01</v>
      </c>
      <c r="U402" s="48">
        <v>15</v>
      </c>
      <c r="V402" s="48">
        <v>14.81</v>
      </c>
      <c r="W402" s="52">
        <v>2.31</v>
      </c>
      <c r="X402" s="130">
        <f t="shared" si="64"/>
        <v>1.4000000000000004</v>
      </c>
      <c r="Y402" s="16">
        <f t="shared" si="67"/>
        <v>0.9001148074921701</v>
      </c>
      <c r="Z402" s="15">
        <f t="shared" si="68"/>
        <v>1.5299999999999994</v>
      </c>
      <c r="AA402" s="16">
        <f t="shared" si="69"/>
        <v>15.1181</v>
      </c>
      <c r="AB402" s="16">
        <f t="shared" si="70"/>
        <v>1.419769934414258</v>
      </c>
      <c r="AC402" s="66" t="s">
        <v>49</v>
      </c>
      <c r="AD402" s="51" t="s">
        <v>378</v>
      </c>
      <c r="AE402" s="13">
        <v>24</v>
      </c>
      <c r="AF402" s="13">
        <v>3</v>
      </c>
      <c r="AG402" s="13">
        <v>52.5</v>
      </c>
      <c r="AH402" s="134">
        <v>1715160</v>
      </c>
      <c r="AI402" s="134">
        <v>3</v>
      </c>
      <c r="AJ402" s="135">
        <f t="shared" si="65"/>
        <v>157.5</v>
      </c>
      <c r="AK402" s="136">
        <f t="shared" si="66"/>
        <v>472.5</v>
      </c>
      <c r="AL402" s="136" t="s">
        <v>379</v>
      </c>
      <c r="AM402" s="45" t="s">
        <v>48</v>
      </c>
      <c r="AN402" s="289" t="s">
        <v>60</v>
      </c>
      <c r="AO402" s="46" t="s">
        <v>61</v>
      </c>
      <c r="AP402" s="289" t="s">
        <v>128</v>
      </c>
      <c r="AQ402" s="139">
        <v>0</v>
      </c>
    </row>
    <row r="403" spans="1:43" ht="54" customHeight="1" thickBot="1">
      <c r="A403" s="138" t="s">
        <v>375</v>
      </c>
      <c r="B403" s="12">
        <v>30</v>
      </c>
      <c r="C403" s="12">
        <v>75.53</v>
      </c>
      <c r="D403" s="12">
        <v>0</v>
      </c>
      <c r="E403" s="12" t="s">
        <v>45</v>
      </c>
      <c r="F403" s="12" t="s">
        <v>45</v>
      </c>
      <c r="G403" s="12" t="s">
        <v>223</v>
      </c>
      <c r="H403" s="12"/>
      <c r="I403" s="12" t="s">
        <v>45</v>
      </c>
      <c r="J403" s="12" t="s">
        <v>47</v>
      </c>
      <c r="K403" s="12" t="s">
        <v>49</v>
      </c>
      <c r="L403" s="12" t="s">
        <v>49</v>
      </c>
      <c r="M403" s="11" t="s">
        <v>50</v>
      </c>
      <c r="N403" s="11" t="s">
        <v>50</v>
      </c>
      <c r="O403" s="11" t="s">
        <v>50</v>
      </c>
      <c r="P403" s="11" t="s">
        <v>51</v>
      </c>
      <c r="Q403" s="50" t="s">
        <v>124</v>
      </c>
      <c r="R403" s="47">
        <v>15</v>
      </c>
      <c r="S403" s="48">
        <v>16.670000000000002</v>
      </c>
      <c r="T403" s="52">
        <v>4.7300000000000004</v>
      </c>
      <c r="U403" s="48">
        <v>15</v>
      </c>
      <c r="V403" s="48">
        <v>15.83</v>
      </c>
      <c r="W403" s="52">
        <v>6.28</v>
      </c>
      <c r="X403" s="130">
        <f t="shared" si="64"/>
        <v>-0.84000000000000163</v>
      </c>
      <c r="Y403" s="16">
        <f t="shared" si="67"/>
        <v>1.4630311001479086</v>
      </c>
      <c r="Z403" s="286" t="s">
        <v>53</v>
      </c>
      <c r="AA403" s="286" t="s">
        <v>53</v>
      </c>
      <c r="AB403" s="287">
        <v>1.4630311001479086</v>
      </c>
      <c r="AC403" s="66" t="s">
        <v>48</v>
      </c>
      <c r="AD403" s="51" t="s">
        <v>377</v>
      </c>
      <c r="AE403" s="13">
        <v>24</v>
      </c>
      <c r="AF403" s="13">
        <v>0</v>
      </c>
      <c r="AG403" s="13">
        <v>0</v>
      </c>
      <c r="AH403" s="134">
        <v>0</v>
      </c>
      <c r="AI403" s="134">
        <v>0</v>
      </c>
      <c r="AJ403" s="135">
        <f t="shared" si="65"/>
        <v>0</v>
      </c>
      <c r="AK403" s="136">
        <f t="shared" si="66"/>
        <v>0</v>
      </c>
      <c r="AL403" s="136" t="str" cm="1">
        <f t="array" ref="AL403">_xlfn.IFS(
AI403&lt;3,"Ligera",
AI403&lt;=6,"Moderada",
AI403&gt;6,"Vigorosa"
)</f>
        <v>Ligera</v>
      </c>
      <c r="AM403" s="45" t="s">
        <v>49</v>
      </c>
      <c r="AN403" s="46" t="s">
        <v>49</v>
      </c>
      <c r="AO403" s="46" t="s">
        <v>49</v>
      </c>
      <c r="AP403" s="46" t="s">
        <v>49</v>
      </c>
      <c r="AQ403" s="139">
        <v>0</v>
      </c>
    </row>
    <row r="404" spans="1:43" ht="63" customHeight="1" thickBot="1">
      <c r="A404" s="138" t="s">
        <v>375</v>
      </c>
      <c r="B404" s="12">
        <v>30</v>
      </c>
      <c r="C404" s="12">
        <v>74.28</v>
      </c>
      <c r="D404" s="12">
        <v>0</v>
      </c>
      <c r="E404" s="12" t="s">
        <v>45</v>
      </c>
      <c r="F404" s="12" t="s">
        <v>45</v>
      </c>
      <c r="G404" s="12" t="s">
        <v>223</v>
      </c>
      <c r="H404" s="12"/>
      <c r="I404" s="12" t="s">
        <v>45</v>
      </c>
      <c r="J404" s="12" t="s">
        <v>47</v>
      </c>
      <c r="K404" s="12" t="s">
        <v>49</v>
      </c>
      <c r="L404" s="12" t="s">
        <v>49</v>
      </c>
      <c r="M404" s="11" t="s">
        <v>56</v>
      </c>
      <c r="N404" s="11" t="s">
        <v>162</v>
      </c>
      <c r="O404" s="11" t="s">
        <v>163</v>
      </c>
      <c r="P404" s="11" t="s">
        <v>51</v>
      </c>
      <c r="Q404" s="50" t="s">
        <v>124</v>
      </c>
      <c r="R404" s="47">
        <v>15</v>
      </c>
      <c r="S404" s="48">
        <v>15.63</v>
      </c>
      <c r="T404" s="52">
        <v>4.78</v>
      </c>
      <c r="U404" s="48">
        <v>15</v>
      </c>
      <c r="V404" s="48">
        <v>11.17</v>
      </c>
      <c r="W404" s="52">
        <v>3.85</v>
      </c>
      <c r="X404" s="130">
        <f t="shared" si="64"/>
        <v>-4.4600000000000009</v>
      </c>
      <c r="Y404" s="16">
        <f t="shared" si="67"/>
        <v>1.1333696072626382</v>
      </c>
      <c r="Z404" s="15">
        <f t="shared" si="68"/>
        <v>-3.6199999999999992</v>
      </c>
      <c r="AA404" s="16">
        <f t="shared" si="69"/>
        <v>27.13045</v>
      </c>
      <c r="AB404" s="16">
        <f t="shared" si="70"/>
        <v>1.9019446188922886</v>
      </c>
      <c r="AC404" s="66" t="s">
        <v>48</v>
      </c>
      <c r="AD404" s="51" t="s">
        <v>378</v>
      </c>
      <c r="AE404" s="13">
        <v>24</v>
      </c>
      <c r="AF404" s="13">
        <v>3</v>
      </c>
      <c r="AG404" s="13">
        <v>52.5</v>
      </c>
      <c r="AH404" s="134">
        <v>1715160</v>
      </c>
      <c r="AI404" s="134">
        <v>3</v>
      </c>
      <c r="AJ404" s="135">
        <f t="shared" si="65"/>
        <v>157.5</v>
      </c>
      <c r="AK404" s="136">
        <f t="shared" si="66"/>
        <v>472.5</v>
      </c>
      <c r="AL404" s="136" t="s">
        <v>379</v>
      </c>
      <c r="AM404" s="45" t="s">
        <v>48</v>
      </c>
      <c r="AN404" s="289" t="s">
        <v>60</v>
      </c>
      <c r="AO404" s="46" t="s">
        <v>61</v>
      </c>
      <c r="AP404" s="289" t="s">
        <v>128</v>
      </c>
      <c r="AQ404" s="139">
        <v>0</v>
      </c>
    </row>
    <row r="405" spans="1:43" ht="64.5" customHeight="1" thickBot="1">
      <c r="A405" s="124" t="s">
        <v>380</v>
      </c>
      <c r="B405" s="125">
        <v>20</v>
      </c>
      <c r="C405" s="125">
        <v>76.7</v>
      </c>
      <c r="D405" s="125">
        <v>70</v>
      </c>
      <c r="E405" s="125" t="s">
        <v>45</v>
      </c>
      <c r="F405" s="125" t="s">
        <v>45</v>
      </c>
      <c r="G405" s="125" t="s">
        <v>292</v>
      </c>
      <c r="H405" s="125"/>
      <c r="I405" s="125" t="s">
        <v>45</v>
      </c>
      <c r="J405" s="125" t="s">
        <v>47</v>
      </c>
      <c r="K405" s="125" t="s">
        <v>49</v>
      </c>
      <c r="L405" s="125" t="s">
        <v>49</v>
      </c>
      <c r="M405" s="126" t="s">
        <v>50</v>
      </c>
      <c r="N405" s="126" t="s">
        <v>50</v>
      </c>
      <c r="O405" s="126" t="s">
        <v>50</v>
      </c>
      <c r="P405" s="126" t="s">
        <v>51</v>
      </c>
      <c r="Q405" s="159" t="s">
        <v>64</v>
      </c>
      <c r="R405" s="167">
        <v>10</v>
      </c>
      <c r="S405" s="168">
        <v>8.3800000000000008</v>
      </c>
      <c r="T405" s="168">
        <v>3.24</v>
      </c>
      <c r="U405" s="168">
        <v>10</v>
      </c>
      <c r="V405" s="167">
        <v>8.1300000000000008</v>
      </c>
      <c r="W405" s="168">
        <v>3.18</v>
      </c>
      <c r="X405" s="130">
        <f t="shared" ref="X405:X457" si="71">V405-S405</f>
        <v>-0.25</v>
      </c>
      <c r="Y405" s="16">
        <f t="shared" ref="Y405:Y458" si="72">SQRT((T405^2+W405^2-(2*0.5*T405*W405)))/SQRT(U405)</f>
        <v>1.0152241131888073</v>
      </c>
      <c r="Z405" s="286" t="s">
        <v>53</v>
      </c>
      <c r="AA405" s="286" t="s">
        <v>53</v>
      </c>
      <c r="AB405" s="287">
        <v>1.0152241131888073</v>
      </c>
      <c r="AC405" s="66" t="s">
        <v>49</v>
      </c>
      <c r="AD405" s="133" t="s">
        <v>381</v>
      </c>
      <c r="AE405" s="134">
        <v>6</v>
      </c>
      <c r="AF405" s="134">
        <v>0</v>
      </c>
      <c r="AG405" s="134">
        <v>0</v>
      </c>
      <c r="AH405" s="134">
        <v>0</v>
      </c>
      <c r="AI405" s="134">
        <v>0</v>
      </c>
      <c r="AJ405" s="135">
        <f t="shared" ref="AJ405:AJ457" si="73">AI405*AG405</f>
        <v>0</v>
      </c>
      <c r="AK405" s="136">
        <f t="shared" ref="AK405:AK457" si="74">AJ405*AF405</f>
        <v>0</v>
      </c>
      <c r="AL405" s="136" t="str" cm="1">
        <f t="array" ref="AL405">_xlfn.IFS(
AI405&lt;3,"Ligera",
AI405&lt;=6,"Moderada",
AI405&gt;6,"Vigorosa"
)</f>
        <v>Ligera</v>
      </c>
      <c r="AM405" s="136" t="s">
        <v>49</v>
      </c>
      <c r="AN405" s="135" t="s">
        <v>49</v>
      </c>
      <c r="AO405" s="135" t="s">
        <v>49</v>
      </c>
      <c r="AP405" s="135" t="s">
        <v>49</v>
      </c>
      <c r="AQ405" s="137">
        <v>0</v>
      </c>
    </row>
    <row r="406" spans="1:43" ht="64.5" customHeight="1" thickBot="1">
      <c r="A406" s="138" t="s">
        <v>380</v>
      </c>
      <c r="B406" s="12">
        <v>20</v>
      </c>
      <c r="C406" s="12">
        <v>76.7</v>
      </c>
      <c r="D406" s="12">
        <v>70</v>
      </c>
      <c r="E406" s="12" t="s">
        <v>45</v>
      </c>
      <c r="F406" s="12" t="s">
        <v>45</v>
      </c>
      <c r="G406" s="12" t="s">
        <v>292</v>
      </c>
      <c r="H406" s="12"/>
      <c r="I406" s="12" t="s">
        <v>45</v>
      </c>
      <c r="J406" s="12" t="s">
        <v>47</v>
      </c>
      <c r="K406" s="12" t="s">
        <v>49</v>
      </c>
      <c r="L406" s="12" t="s">
        <v>49</v>
      </c>
      <c r="M406" s="11" t="s">
        <v>56</v>
      </c>
      <c r="N406" s="11" t="s">
        <v>57</v>
      </c>
      <c r="O406" s="11" t="s">
        <v>126</v>
      </c>
      <c r="P406" s="11" t="s">
        <v>51</v>
      </c>
      <c r="Q406" s="50" t="s">
        <v>64</v>
      </c>
      <c r="R406" s="47">
        <v>10</v>
      </c>
      <c r="S406" s="48">
        <v>6.6</v>
      </c>
      <c r="T406" s="48">
        <v>3.43</v>
      </c>
      <c r="U406" s="48">
        <v>10</v>
      </c>
      <c r="V406" s="47">
        <v>8.75</v>
      </c>
      <c r="W406" s="48">
        <v>4.05</v>
      </c>
      <c r="X406" s="130">
        <f t="shared" si="71"/>
        <v>2.1500000000000004</v>
      </c>
      <c r="Y406" s="16">
        <f t="shared" si="72"/>
        <v>1.1948179777689989</v>
      </c>
      <c r="Z406" s="15">
        <f t="shared" ref="Z406:Z458" si="75">X406-X405</f>
        <v>2.4000000000000004</v>
      </c>
      <c r="AA406" s="16">
        <f t="shared" ref="AA406:AA458" si="76">((U406-1)*W406^2+(U405-1)*W405^2)/((U406-1)+(U405-1))</f>
        <v>13.25745</v>
      </c>
      <c r="AB406" s="16">
        <f t="shared" ref="AB406:AB458" si="77">SQRT(AA406*((1/U406)+(1/U405)))</f>
        <v>1.6283396451600631</v>
      </c>
      <c r="AC406" s="66" t="s">
        <v>49</v>
      </c>
      <c r="AD406" s="51" t="s">
        <v>382</v>
      </c>
      <c r="AE406" s="13">
        <v>6</v>
      </c>
      <c r="AF406" s="13">
        <v>2</v>
      </c>
      <c r="AG406" s="13">
        <v>25</v>
      </c>
      <c r="AH406" s="134">
        <v>205160</v>
      </c>
      <c r="AI406" s="134">
        <v>3</v>
      </c>
      <c r="AJ406" s="135">
        <f t="shared" si="73"/>
        <v>75</v>
      </c>
      <c r="AK406" s="136">
        <f t="shared" si="74"/>
        <v>150</v>
      </c>
      <c r="AL406" s="136" t="str" cm="1">
        <f t="array" ref="AL406">_xlfn.IFS(
AI406&lt;3,"Ligera",
AI406&lt;=6,"Moderada",
AI406&gt;6,"Vigorosa"
)</f>
        <v>Moderada</v>
      </c>
      <c r="AM406" s="45" t="s">
        <v>48</v>
      </c>
      <c r="AN406" s="289" t="s">
        <v>60</v>
      </c>
      <c r="AO406" s="46" t="s">
        <v>61</v>
      </c>
      <c r="AP406" s="289" t="s">
        <v>62</v>
      </c>
      <c r="AQ406" s="139">
        <v>0</v>
      </c>
    </row>
    <row r="407" spans="1:43" ht="64.5" customHeight="1" thickBot="1">
      <c r="A407" s="138" t="s">
        <v>380</v>
      </c>
      <c r="B407" s="12">
        <v>20</v>
      </c>
      <c r="C407" s="12">
        <v>76.7</v>
      </c>
      <c r="D407" s="12">
        <v>70</v>
      </c>
      <c r="E407" s="12" t="s">
        <v>45</v>
      </c>
      <c r="F407" s="12" t="s">
        <v>45</v>
      </c>
      <c r="G407" s="12" t="s">
        <v>292</v>
      </c>
      <c r="H407" s="12"/>
      <c r="I407" s="12" t="s">
        <v>45</v>
      </c>
      <c r="J407" s="12" t="s">
        <v>47</v>
      </c>
      <c r="K407" s="12" t="s">
        <v>49</v>
      </c>
      <c r="L407" s="12" t="s">
        <v>49</v>
      </c>
      <c r="M407" s="11" t="s">
        <v>50</v>
      </c>
      <c r="N407" s="11" t="s">
        <v>50</v>
      </c>
      <c r="O407" s="11" t="s">
        <v>50</v>
      </c>
      <c r="P407" s="11" t="s">
        <v>51</v>
      </c>
      <c r="Q407" s="50" t="s">
        <v>81</v>
      </c>
      <c r="R407" s="47">
        <v>10</v>
      </c>
      <c r="S407" s="48">
        <v>13</v>
      </c>
      <c r="T407" s="48">
        <v>4.6900000000000004</v>
      </c>
      <c r="U407" s="48">
        <v>10</v>
      </c>
      <c r="V407" s="47">
        <v>12.9</v>
      </c>
      <c r="W407" s="48">
        <v>4.9400000000000004</v>
      </c>
      <c r="X407" s="130">
        <f t="shared" si="71"/>
        <v>-9.9999999999999645E-2</v>
      </c>
      <c r="Y407" s="16">
        <f t="shared" si="72"/>
        <v>1.524175186781362</v>
      </c>
      <c r="Z407" s="286" t="s">
        <v>53</v>
      </c>
      <c r="AA407" s="286" t="s">
        <v>53</v>
      </c>
      <c r="AB407" s="287">
        <v>1.524175186781362</v>
      </c>
      <c r="AC407" s="66" t="s">
        <v>49</v>
      </c>
      <c r="AD407" s="51" t="s">
        <v>381</v>
      </c>
      <c r="AE407" s="13">
        <v>6</v>
      </c>
      <c r="AF407" s="13">
        <v>0</v>
      </c>
      <c r="AG407" s="13">
        <v>0</v>
      </c>
      <c r="AH407" s="134">
        <v>0</v>
      </c>
      <c r="AI407" s="134">
        <v>0</v>
      </c>
      <c r="AJ407" s="135">
        <f t="shared" si="73"/>
        <v>0</v>
      </c>
      <c r="AK407" s="136">
        <f t="shared" si="74"/>
        <v>0</v>
      </c>
      <c r="AL407" s="136" t="str" cm="1">
        <f t="array" ref="AL407">_xlfn.IFS(
AI407&lt;3,"Ligera",
AI407&lt;=6,"Moderada",
AI407&gt;6,"Vigorosa"
)</f>
        <v>Ligera</v>
      </c>
      <c r="AM407" s="45" t="s">
        <v>49</v>
      </c>
      <c r="AN407" s="46" t="s">
        <v>49</v>
      </c>
      <c r="AO407" s="46" t="s">
        <v>49</v>
      </c>
      <c r="AP407" s="46" t="s">
        <v>49</v>
      </c>
      <c r="AQ407" s="139">
        <v>0</v>
      </c>
    </row>
    <row r="408" spans="1:43" ht="64.5" customHeight="1" thickBot="1">
      <c r="A408" s="138" t="s">
        <v>380</v>
      </c>
      <c r="B408" s="12">
        <v>20</v>
      </c>
      <c r="C408" s="12">
        <v>76.7</v>
      </c>
      <c r="D408" s="12">
        <v>70</v>
      </c>
      <c r="E408" s="12" t="s">
        <v>45</v>
      </c>
      <c r="F408" s="12" t="s">
        <v>45</v>
      </c>
      <c r="G408" s="12" t="s">
        <v>292</v>
      </c>
      <c r="H408" s="12"/>
      <c r="I408" s="12" t="s">
        <v>45</v>
      </c>
      <c r="J408" s="12" t="s">
        <v>47</v>
      </c>
      <c r="K408" s="12" t="s">
        <v>49</v>
      </c>
      <c r="L408" s="12" t="s">
        <v>49</v>
      </c>
      <c r="M408" s="11" t="s">
        <v>56</v>
      </c>
      <c r="N408" s="11" t="s">
        <v>57</v>
      </c>
      <c r="O408" s="11" t="s">
        <v>126</v>
      </c>
      <c r="P408" s="11" t="s">
        <v>51</v>
      </c>
      <c r="Q408" s="50" t="s">
        <v>81</v>
      </c>
      <c r="R408" s="47">
        <v>10</v>
      </c>
      <c r="S408" s="48">
        <v>14.6</v>
      </c>
      <c r="T408" s="48">
        <v>6.71</v>
      </c>
      <c r="U408" s="48">
        <v>10</v>
      </c>
      <c r="V408" s="47">
        <v>17.100000000000001</v>
      </c>
      <c r="W408" s="48">
        <v>6.29</v>
      </c>
      <c r="X408" s="130">
        <f t="shared" si="71"/>
        <v>2.5000000000000018</v>
      </c>
      <c r="Y408" s="16">
        <f t="shared" si="72"/>
        <v>2.0586961893392624</v>
      </c>
      <c r="Z408" s="15">
        <f t="shared" si="75"/>
        <v>2.6000000000000014</v>
      </c>
      <c r="AA408" s="16">
        <f t="shared" si="76"/>
        <v>31.983850000000004</v>
      </c>
      <c r="AB408" s="16">
        <f t="shared" si="77"/>
        <v>2.5291836627655178</v>
      </c>
      <c r="AC408" s="66" t="s">
        <v>49</v>
      </c>
      <c r="AD408" s="51" t="s">
        <v>382</v>
      </c>
      <c r="AE408" s="13">
        <v>6</v>
      </c>
      <c r="AF408" s="13">
        <v>2</v>
      </c>
      <c r="AG408" s="13">
        <v>25</v>
      </c>
      <c r="AH408" s="134">
        <v>205160</v>
      </c>
      <c r="AI408" s="134">
        <v>3</v>
      </c>
      <c r="AJ408" s="135">
        <f t="shared" si="73"/>
        <v>75</v>
      </c>
      <c r="AK408" s="136">
        <f t="shared" si="74"/>
        <v>150</v>
      </c>
      <c r="AL408" s="136" t="str" cm="1">
        <f t="array" ref="AL408">_xlfn.IFS(
AI408&lt;3,"Ligera",
AI408&lt;=6,"Moderada",
AI408&gt;6,"Vigorosa"
)</f>
        <v>Moderada</v>
      </c>
      <c r="AM408" s="45" t="s">
        <v>48</v>
      </c>
      <c r="AN408" s="289" t="s">
        <v>60</v>
      </c>
      <c r="AO408" s="46" t="s">
        <v>61</v>
      </c>
      <c r="AP408" s="289" t="s">
        <v>62</v>
      </c>
      <c r="AQ408" s="139">
        <v>0</v>
      </c>
    </row>
    <row r="409" spans="1:43" ht="64.5" customHeight="1" thickBot="1">
      <c r="A409" s="138" t="s">
        <v>380</v>
      </c>
      <c r="B409" s="12">
        <v>20</v>
      </c>
      <c r="C409" s="12">
        <v>76.7</v>
      </c>
      <c r="D409" s="12">
        <v>70</v>
      </c>
      <c r="E409" s="12" t="s">
        <v>45</v>
      </c>
      <c r="F409" s="12" t="s">
        <v>45</v>
      </c>
      <c r="G409" s="12" t="s">
        <v>292</v>
      </c>
      <c r="H409" s="12"/>
      <c r="I409" s="12" t="s">
        <v>45</v>
      </c>
      <c r="J409" s="12" t="s">
        <v>47</v>
      </c>
      <c r="K409" s="12" t="s">
        <v>49</v>
      </c>
      <c r="L409" s="12" t="s">
        <v>49</v>
      </c>
      <c r="M409" s="11" t="s">
        <v>50</v>
      </c>
      <c r="N409" s="11" t="s">
        <v>50</v>
      </c>
      <c r="O409" s="11" t="s">
        <v>50</v>
      </c>
      <c r="P409" s="11" t="s">
        <v>51</v>
      </c>
      <c r="Q409" s="50" t="s">
        <v>52</v>
      </c>
      <c r="R409" s="47">
        <v>10</v>
      </c>
      <c r="S409" s="48">
        <v>12.9</v>
      </c>
      <c r="T409" s="48">
        <v>3.54</v>
      </c>
      <c r="U409" s="48">
        <v>10</v>
      </c>
      <c r="V409" s="47">
        <v>12.6</v>
      </c>
      <c r="W409" s="48">
        <v>3.5</v>
      </c>
      <c r="X409" s="130">
        <f t="shared" si="71"/>
        <v>-0.30000000000000071</v>
      </c>
      <c r="Y409" s="16">
        <f t="shared" si="72"/>
        <v>1.1131756375343471</v>
      </c>
      <c r="Z409" s="286" t="s">
        <v>53</v>
      </c>
      <c r="AA409" s="286" t="s">
        <v>53</v>
      </c>
      <c r="AB409" s="287">
        <v>1.1131756375343471</v>
      </c>
      <c r="AC409" s="66" t="s">
        <v>48</v>
      </c>
      <c r="AD409" s="51" t="s">
        <v>381</v>
      </c>
      <c r="AE409" s="13">
        <v>6</v>
      </c>
      <c r="AF409" s="13">
        <v>0</v>
      </c>
      <c r="AG409" s="13">
        <v>0</v>
      </c>
      <c r="AH409" s="134">
        <v>0</v>
      </c>
      <c r="AI409" s="134">
        <v>0</v>
      </c>
      <c r="AJ409" s="135">
        <f t="shared" si="73"/>
        <v>0</v>
      </c>
      <c r="AK409" s="136">
        <f t="shared" si="74"/>
        <v>0</v>
      </c>
      <c r="AL409" s="136" t="str" cm="1">
        <f t="array" ref="AL409">_xlfn.IFS(
AI409&lt;3,"Ligera",
AI409&lt;=6,"Moderada",
AI409&gt;6,"Vigorosa"
)</f>
        <v>Ligera</v>
      </c>
      <c r="AM409" s="45" t="s">
        <v>49</v>
      </c>
      <c r="AN409" s="46" t="s">
        <v>49</v>
      </c>
      <c r="AO409" s="46" t="s">
        <v>49</v>
      </c>
      <c r="AP409" s="46" t="s">
        <v>49</v>
      </c>
      <c r="AQ409" s="139">
        <v>0</v>
      </c>
    </row>
    <row r="410" spans="1:43" ht="64.5" customHeight="1" thickBot="1">
      <c r="A410" s="138" t="s">
        <v>380</v>
      </c>
      <c r="B410" s="12">
        <v>20</v>
      </c>
      <c r="C410" s="12">
        <v>76.7</v>
      </c>
      <c r="D410" s="12">
        <v>70</v>
      </c>
      <c r="E410" s="12" t="s">
        <v>45</v>
      </c>
      <c r="F410" s="12" t="s">
        <v>45</v>
      </c>
      <c r="G410" s="12" t="s">
        <v>292</v>
      </c>
      <c r="H410" s="12"/>
      <c r="I410" s="12" t="s">
        <v>45</v>
      </c>
      <c r="J410" s="12" t="s">
        <v>47</v>
      </c>
      <c r="K410" s="12" t="s">
        <v>49</v>
      </c>
      <c r="L410" s="12" t="s">
        <v>49</v>
      </c>
      <c r="M410" s="11" t="s">
        <v>56</v>
      </c>
      <c r="N410" s="11" t="s">
        <v>57</v>
      </c>
      <c r="O410" s="11" t="s">
        <v>126</v>
      </c>
      <c r="P410" s="11" t="s">
        <v>51</v>
      </c>
      <c r="Q410" s="50" t="s">
        <v>52</v>
      </c>
      <c r="R410" s="47">
        <v>10</v>
      </c>
      <c r="S410" s="48">
        <v>13.4</v>
      </c>
      <c r="T410" s="48">
        <v>4.2699999999999996</v>
      </c>
      <c r="U410" s="48">
        <v>10</v>
      </c>
      <c r="V410" s="47">
        <v>11.2</v>
      </c>
      <c r="W410" s="48">
        <v>3.01</v>
      </c>
      <c r="X410" s="130">
        <f t="shared" si="71"/>
        <v>-2.2000000000000011</v>
      </c>
      <c r="Y410" s="16">
        <f t="shared" si="72"/>
        <v>1.2016779934741251</v>
      </c>
      <c r="Z410" s="15">
        <f t="shared" si="75"/>
        <v>-1.9000000000000004</v>
      </c>
      <c r="AA410" s="16">
        <f t="shared" si="76"/>
        <v>10.655049999999999</v>
      </c>
      <c r="AB410" s="16">
        <f t="shared" si="77"/>
        <v>1.4597979312219893</v>
      </c>
      <c r="AC410" s="66" t="s">
        <v>48</v>
      </c>
      <c r="AD410" s="51" t="s">
        <v>382</v>
      </c>
      <c r="AE410" s="13">
        <v>6</v>
      </c>
      <c r="AF410" s="13">
        <v>2</v>
      </c>
      <c r="AG410" s="13">
        <v>25</v>
      </c>
      <c r="AH410" s="134">
        <v>205160</v>
      </c>
      <c r="AI410" s="134">
        <v>3</v>
      </c>
      <c r="AJ410" s="135">
        <f t="shared" si="73"/>
        <v>75</v>
      </c>
      <c r="AK410" s="136">
        <f t="shared" si="74"/>
        <v>150</v>
      </c>
      <c r="AL410" s="136" t="str" cm="1">
        <f t="array" ref="AL410">_xlfn.IFS(
AI410&lt;3,"Ligera",
AI410&lt;=6,"Moderada",
AI410&gt;6,"Vigorosa"
)</f>
        <v>Moderada</v>
      </c>
      <c r="AM410" s="45" t="s">
        <v>48</v>
      </c>
      <c r="AN410" s="289" t="s">
        <v>60</v>
      </c>
      <c r="AO410" s="46" t="s">
        <v>61</v>
      </c>
      <c r="AP410" s="289" t="s">
        <v>62</v>
      </c>
      <c r="AQ410" s="139">
        <v>0</v>
      </c>
    </row>
    <row r="411" spans="1:43" ht="64.5" customHeight="1" thickBot="1">
      <c r="A411" s="138" t="s">
        <v>380</v>
      </c>
      <c r="B411" s="12">
        <v>20</v>
      </c>
      <c r="C411" s="12">
        <v>76.7</v>
      </c>
      <c r="D411" s="12">
        <v>70</v>
      </c>
      <c r="E411" s="12" t="s">
        <v>45</v>
      </c>
      <c r="F411" s="12" t="s">
        <v>45</v>
      </c>
      <c r="G411" s="12" t="s">
        <v>292</v>
      </c>
      <c r="H411" s="12"/>
      <c r="I411" s="12" t="s">
        <v>45</v>
      </c>
      <c r="J411" s="12" t="s">
        <v>47</v>
      </c>
      <c r="K411" s="12" t="s">
        <v>49</v>
      </c>
      <c r="L411" s="12" t="s">
        <v>49</v>
      </c>
      <c r="M411" s="11" t="s">
        <v>50</v>
      </c>
      <c r="N411" s="11" t="s">
        <v>50</v>
      </c>
      <c r="O411" s="11" t="s">
        <v>50</v>
      </c>
      <c r="P411" s="11" t="s">
        <v>86</v>
      </c>
      <c r="Q411" s="50" t="s">
        <v>156</v>
      </c>
      <c r="R411" s="47">
        <v>10</v>
      </c>
      <c r="S411" s="48">
        <v>8.1300000000000008</v>
      </c>
      <c r="T411" s="48">
        <v>2.93</v>
      </c>
      <c r="U411" s="48">
        <v>10</v>
      </c>
      <c r="V411" s="47">
        <v>8.3800000000000008</v>
      </c>
      <c r="W411" s="48">
        <v>2.74</v>
      </c>
      <c r="X411" s="130">
        <f t="shared" si="71"/>
        <v>0.25</v>
      </c>
      <c r="Y411" s="16">
        <f t="shared" si="72"/>
        <v>0.8980144764980128</v>
      </c>
      <c r="Z411" s="286" t="s">
        <v>53</v>
      </c>
      <c r="AA411" s="286" t="s">
        <v>53</v>
      </c>
      <c r="AB411" s="287">
        <v>0.8980144764980128</v>
      </c>
      <c r="AC411" s="66" t="s">
        <v>49</v>
      </c>
      <c r="AD411" s="51" t="s">
        <v>381</v>
      </c>
      <c r="AE411" s="13">
        <v>6</v>
      </c>
      <c r="AF411" s="13">
        <v>0</v>
      </c>
      <c r="AG411" s="13">
        <v>0</v>
      </c>
      <c r="AH411" s="134">
        <v>0</v>
      </c>
      <c r="AI411" s="134">
        <v>0</v>
      </c>
      <c r="AJ411" s="135">
        <f t="shared" si="73"/>
        <v>0</v>
      </c>
      <c r="AK411" s="136">
        <f t="shared" si="74"/>
        <v>0</v>
      </c>
      <c r="AL411" s="136" t="str" cm="1">
        <f t="array" ref="AL411">_xlfn.IFS(
AI411&lt;3,"Ligera",
AI411&lt;=6,"Moderada",
AI411&gt;6,"Vigorosa"
)</f>
        <v>Ligera</v>
      </c>
      <c r="AM411" s="45" t="s">
        <v>49</v>
      </c>
      <c r="AN411" s="46" t="s">
        <v>49</v>
      </c>
      <c r="AO411" s="46" t="s">
        <v>49</v>
      </c>
      <c r="AP411" s="46" t="s">
        <v>49</v>
      </c>
      <c r="AQ411" s="139">
        <v>0</v>
      </c>
    </row>
    <row r="412" spans="1:43" ht="64.5" customHeight="1" thickBot="1">
      <c r="A412" s="138" t="s">
        <v>380</v>
      </c>
      <c r="B412" s="12">
        <v>20</v>
      </c>
      <c r="C412" s="12">
        <v>76.7</v>
      </c>
      <c r="D412" s="12">
        <v>70</v>
      </c>
      <c r="E412" s="12" t="s">
        <v>45</v>
      </c>
      <c r="F412" s="12" t="s">
        <v>45</v>
      </c>
      <c r="G412" s="12" t="s">
        <v>292</v>
      </c>
      <c r="H412" s="12"/>
      <c r="I412" s="12" t="s">
        <v>45</v>
      </c>
      <c r="J412" s="12" t="s">
        <v>47</v>
      </c>
      <c r="K412" s="12" t="s">
        <v>49</v>
      </c>
      <c r="L412" s="12" t="s">
        <v>49</v>
      </c>
      <c r="M412" s="11" t="s">
        <v>56</v>
      </c>
      <c r="N412" s="11" t="s">
        <v>57</v>
      </c>
      <c r="O412" s="11" t="s">
        <v>126</v>
      </c>
      <c r="P412" s="11" t="s">
        <v>86</v>
      </c>
      <c r="Q412" s="50" t="s">
        <v>156</v>
      </c>
      <c r="R412" s="47">
        <v>10</v>
      </c>
      <c r="S412" s="48">
        <v>7.63</v>
      </c>
      <c r="T412" s="48">
        <v>2.64</v>
      </c>
      <c r="U412" s="48">
        <v>10</v>
      </c>
      <c r="V412" s="47">
        <v>9.6300000000000008</v>
      </c>
      <c r="W412" s="48">
        <v>3.08</v>
      </c>
      <c r="X412" s="130">
        <f t="shared" si="71"/>
        <v>2.0000000000000009</v>
      </c>
      <c r="Y412" s="16">
        <f t="shared" si="72"/>
        <v>0.91240341954641957</v>
      </c>
      <c r="Z412" s="15">
        <f t="shared" si="75"/>
        <v>1.7500000000000009</v>
      </c>
      <c r="AA412" s="16">
        <f t="shared" si="76"/>
        <v>8.4970000000000017</v>
      </c>
      <c r="AB412" s="16">
        <f t="shared" si="77"/>
        <v>1.3036103712382778</v>
      </c>
      <c r="AC412" s="66" t="s">
        <v>49</v>
      </c>
      <c r="AD412" s="51" t="s">
        <v>382</v>
      </c>
      <c r="AE412" s="13">
        <v>6</v>
      </c>
      <c r="AF412" s="13">
        <v>2</v>
      </c>
      <c r="AG412" s="13">
        <v>25</v>
      </c>
      <c r="AH412" s="134">
        <v>205160</v>
      </c>
      <c r="AI412" s="134">
        <v>3</v>
      </c>
      <c r="AJ412" s="135">
        <f t="shared" si="73"/>
        <v>75</v>
      </c>
      <c r="AK412" s="136">
        <f t="shared" si="74"/>
        <v>150</v>
      </c>
      <c r="AL412" s="136" t="str" cm="1">
        <f t="array" ref="AL412">_xlfn.IFS(
AI412&lt;3,"Ligera",
AI412&lt;=6,"Moderada",
AI412&gt;6,"Vigorosa"
)</f>
        <v>Moderada</v>
      </c>
      <c r="AM412" s="45" t="s">
        <v>48</v>
      </c>
      <c r="AN412" s="289" t="s">
        <v>60</v>
      </c>
      <c r="AO412" s="46" t="s">
        <v>61</v>
      </c>
      <c r="AP412" s="289" t="s">
        <v>62</v>
      </c>
      <c r="AQ412" s="139">
        <v>0</v>
      </c>
    </row>
    <row r="413" spans="1:43" ht="64.5" customHeight="1" thickBot="1">
      <c r="A413" s="138" t="s">
        <v>380</v>
      </c>
      <c r="B413" s="12">
        <v>20</v>
      </c>
      <c r="C413" s="12">
        <v>76.7</v>
      </c>
      <c r="D413" s="12">
        <v>70</v>
      </c>
      <c r="E413" s="12" t="s">
        <v>45</v>
      </c>
      <c r="F413" s="12" t="s">
        <v>45</v>
      </c>
      <c r="G413" s="12" t="s">
        <v>292</v>
      </c>
      <c r="H413" s="12"/>
      <c r="I413" s="12" t="s">
        <v>45</v>
      </c>
      <c r="J413" s="12" t="s">
        <v>47</v>
      </c>
      <c r="K413" s="12" t="s">
        <v>49</v>
      </c>
      <c r="L413" s="12" t="s">
        <v>49</v>
      </c>
      <c r="M413" s="11" t="s">
        <v>50</v>
      </c>
      <c r="N413" s="11" t="s">
        <v>50</v>
      </c>
      <c r="O413" s="11" t="s">
        <v>50</v>
      </c>
      <c r="P413" s="11" t="s">
        <v>86</v>
      </c>
      <c r="Q413" s="50" t="s">
        <v>157</v>
      </c>
      <c r="R413" s="47">
        <v>10</v>
      </c>
      <c r="S413" s="48">
        <v>7.13</v>
      </c>
      <c r="T413" s="48">
        <v>1.62</v>
      </c>
      <c r="U413" s="48">
        <v>10</v>
      </c>
      <c r="V413" s="47">
        <v>7.25</v>
      </c>
      <c r="W413" s="48">
        <v>1.71</v>
      </c>
      <c r="X413" s="130">
        <f t="shared" si="71"/>
        <v>0.12000000000000011</v>
      </c>
      <c r="Y413" s="16">
        <f t="shared" si="72"/>
        <v>0.52709581671646755</v>
      </c>
      <c r="Z413" s="286" t="s">
        <v>53</v>
      </c>
      <c r="AA413" s="286" t="s">
        <v>53</v>
      </c>
      <c r="AB413" s="287">
        <v>0.52709581671646755</v>
      </c>
      <c r="AC413" s="66" t="s">
        <v>49</v>
      </c>
      <c r="AD413" s="51" t="s">
        <v>381</v>
      </c>
      <c r="AE413" s="13">
        <v>6</v>
      </c>
      <c r="AF413" s="13">
        <v>0</v>
      </c>
      <c r="AG413" s="13">
        <v>0</v>
      </c>
      <c r="AH413" s="134">
        <v>0</v>
      </c>
      <c r="AI413" s="134">
        <v>0</v>
      </c>
      <c r="AJ413" s="135">
        <f t="shared" si="73"/>
        <v>0</v>
      </c>
      <c r="AK413" s="136">
        <f t="shared" si="74"/>
        <v>0</v>
      </c>
      <c r="AL413" s="136" t="str" cm="1">
        <f t="array" ref="AL413">_xlfn.IFS(
AI413&lt;3,"Ligera",
AI413&lt;=6,"Moderada",
AI413&gt;6,"Vigorosa"
)</f>
        <v>Ligera</v>
      </c>
      <c r="AM413" s="45" t="s">
        <v>49</v>
      </c>
      <c r="AN413" s="46" t="s">
        <v>49</v>
      </c>
      <c r="AO413" s="46" t="s">
        <v>49</v>
      </c>
      <c r="AP413" s="46" t="s">
        <v>49</v>
      </c>
      <c r="AQ413" s="139">
        <v>0</v>
      </c>
    </row>
    <row r="414" spans="1:43" ht="64.5" customHeight="1" thickBot="1">
      <c r="A414" s="140" t="s">
        <v>380</v>
      </c>
      <c r="B414" s="141">
        <v>20</v>
      </c>
      <c r="C414" s="141">
        <v>76.7</v>
      </c>
      <c r="D414" s="141">
        <v>70</v>
      </c>
      <c r="E414" s="141" t="s">
        <v>45</v>
      </c>
      <c r="F414" s="141" t="s">
        <v>45</v>
      </c>
      <c r="G414" s="141" t="s">
        <v>292</v>
      </c>
      <c r="H414" s="141"/>
      <c r="I414" s="141" t="s">
        <v>45</v>
      </c>
      <c r="J414" s="141" t="s">
        <v>47</v>
      </c>
      <c r="K414" s="141" t="s">
        <v>49</v>
      </c>
      <c r="L414" s="141" t="s">
        <v>49</v>
      </c>
      <c r="M414" s="142" t="s">
        <v>56</v>
      </c>
      <c r="N414" s="142" t="s">
        <v>57</v>
      </c>
      <c r="O414" s="142" t="s">
        <v>126</v>
      </c>
      <c r="P414" s="142" t="s">
        <v>86</v>
      </c>
      <c r="Q414" s="158" t="s">
        <v>157</v>
      </c>
      <c r="R414" s="169">
        <v>10</v>
      </c>
      <c r="S414" s="170">
        <v>7</v>
      </c>
      <c r="T414" s="170">
        <v>1.66</v>
      </c>
      <c r="U414" s="170">
        <v>10</v>
      </c>
      <c r="V414" s="169">
        <v>8.25</v>
      </c>
      <c r="W414" s="170">
        <v>1.79</v>
      </c>
      <c r="X414" s="130">
        <f t="shared" si="71"/>
        <v>1.25</v>
      </c>
      <c r="Y414" s="16">
        <f t="shared" si="72"/>
        <v>0.54665345512490804</v>
      </c>
      <c r="Z414" s="15">
        <f t="shared" si="75"/>
        <v>1.1299999999999999</v>
      </c>
      <c r="AA414" s="16">
        <f t="shared" si="76"/>
        <v>3.0640999999999998</v>
      </c>
      <c r="AB414" s="16">
        <f t="shared" si="77"/>
        <v>0.7828282059302667</v>
      </c>
      <c r="AC414" s="66" t="s">
        <v>49</v>
      </c>
      <c r="AD414" s="151" t="s">
        <v>382</v>
      </c>
      <c r="AE414" s="146">
        <v>6</v>
      </c>
      <c r="AF414" s="146">
        <v>2</v>
      </c>
      <c r="AG414" s="146">
        <v>25</v>
      </c>
      <c r="AH414" s="134">
        <v>205160</v>
      </c>
      <c r="AI414" s="134">
        <v>3</v>
      </c>
      <c r="AJ414" s="135">
        <f t="shared" si="73"/>
        <v>75</v>
      </c>
      <c r="AK414" s="136">
        <f t="shared" si="74"/>
        <v>150</v>
      </c>
      <c r="AL414" s="136" t="str" cm="1">
        <f t="array" ref="AL414">_xlfn.IFS(
AI414&lt;3,"Ligera",
AI414&lt;=6,"Moderada",
AI414&gt;6,"Vigorosa"
)</f>
        <v>Moderada</v>
      </c>
      <c r="AM414" s="147" t="s">
        <v>48</v>
      </c>
      <c r="AN414" s="290" t="s">
        <v>60</v>
      </c>
      <c r="AO414" s="148" t="s">
        <v>61</v>
      </c>
      <c r="AP414" s="290" t="s">
        <v>62</v>
      </c>
      <c r="AQ414" s="149">
        <v>0</v>
      </c>
    </row>
    <row r="415" spans="1:43" ht="60" customHeight="1" thickBot="1">
      <c r="A415" s="124" t="s">
        <v>383</v>
      </c>
      <c r="B415" s="125">
        <v>81</v>
      </c>
      <c r="C415" s="125">
        <v>83.8</v>
      </c>
      <c r="D415" s="125">
        <v>32.5</v>
      </c>
      <c r="E415" s="125" t="s">
        <v>45</v>
      </c>
      <c r="F415" s="125" t="s">
        <v>45</v>
      </c>
      <c r="G415" s="125" t="s">
        <v>46</v>
      </c>
      <c r="H415" s="125"/>
      <c r="I415" s="125" t="s">
        <v>45</v>
      </c>
      <c r="J415" s="125" t="s">
        <v>47</v>
      </c>
      <c r="K415" s="125" t="s">
        <v>49</v>
      </c>
      <c r="L415" s="125" t="s">
        <v>49</v>
      </c>
      <c r="M415" s="126" t="s">
        <v>56</v>
      </c>
      <c r="N415" s="126" t="s">
        <v>162</v>
      </c>
      <c r="O415" s="126" t="s">
        <v>163</v>
      </c>
      <c r="P415" s="126" t="s">
        <v>51</v>
      </c>
      <c r="Q415" s="159" t="s">
        <v>91</v>
      </c>
      <c r="R415" s="167">
        <v>33</v>
      </c>
      <c r="S415" s="168">
        <v>6.9</v>
      </c>
      <c r="T415" s="168">
        <v>2.7</v>
      </c>
      <c r="U415" s="167">
        <v>33</v>
      </c>
      <c r="V415" s="167">
        <v>7.3</v>
      </c>
      <c r="W415" s="168">
        <v>2.8</v>
      </c>
      <c r="X415" s="130">
        <f t="shared" si="71"/>
        <v>0.39999999999999947</v>
      </c>
      <c r="Y415" s="16">
        <f t="shared" si="72"/>
        <v>0.47895087367488887</v>
      </c>
      <c r="Z415" s="286" t="s">
        <v>53</v>
      </c>
      <c r="AA415" s="286" t="s">
        <v>53</v>
      </c>
      <c r="AB415" s="287">
        <v>0.47895087367488887</v>
      </c>
      <c r="AC415" s="66" t="s">
        <v>49</v>
      </c>
      <c r="AD415" s="133" t="s">
        <v>384</v>
      </c>
      <c r="AE415" s="134">
        <v>12</v>
      </c>
      <c r="AF415" s="134">
        <v>5</v>
      </c>
      <c r="AG415" s="134">
        <v>20</v>
      </c>
      <c r="AH415" s="134">
        <v>1715360</v>
      </c>
      <c r="AI415" s="134">
        <v>3.8</v>
      </c>
      <c r="AJ415" s="135">
        <f t="shared" si="73"/>
        <v>76</v>
      </c>
      <c r="AK415" s="136">
        <f t="shared" si="74"/>
        <v>380</v>
      </c>
      <c r="AL415" s="136" t="str" cm="1">
        <f t="array" ref="AL415">_xlfn.IFS(
AI415&lt;3,"Ligera",
AI415&lt;=6,"Moderada",
AI415&gt;6,"Vigorosa"
)</f>
        <v>Moderada</v>
      </c>
      <c r="AM415" s="136" t="s">
        <v>48</v>
      </c>
      <c r="AN415" s="288" t="s">
        <v>60</v>
      </c>
      <c r="AO415" s="135" t="s">
        <v>255</v>
      </c>
      <c r="AP415" s="288" t="s">
        <v>62</v>
      </c>
      <c r="AQ415" s="137">
        <v>0</v>
      </c>
    </row>
    <row r="416" spans="1:43" ht="55.5" customHeight="1" thickBot="1">
      <c r="A416" s="138" t="s">
        <v>383</v>
      </c>
      <c r="B416" s="12">
        <v>81</v>
      </c>
      <c r="C416" s="12">
        <v>84.7</v>
      </c>
      <c r="D416" s="12">
        <v>36.6</v>
      </c>
      <c r="E416" s="12" t="s">
        <v>45</v>
      </c>
      <c r="F416" s="12" t="s">
        <v>45</v>
      </c>
      <c r="G416" s="12" t="s">
        <v>46</v>
      </c>
      <c r="H416" s="12"/>
      <c r="I416" s="12" t="s">
        <v>45</v>
      </c>
      <c r="J416" s="12" t="s">
        <v>47</v>
      </c>
      <c r="K416" s="12" t="s">
        <v>49</v>
      </c>
      <c r="L416" s="12" t="s">
        <v>49</v>
      </c>
      <c r="M416" s="11" t="s">
        <v>56</v>
      </c>
      <c r="N416" s="11" t="s">
        <v>76</v>
      </c>
      <c r="O416" s="11" t="s">
        <v>77</v>
      </c>
      <c r="P416" s="11" t="s">
        <v>51</v>
      </c>
      <c r="Q416" s="50" t="s">
        <v>91</v>
      </c>
      <c r="R416" s="47">
        <v>32</v>
      </c>
      <c r="S416" s="48">
        <v>6.8</v>
      </c>
      <c r="T416" s="48">
        <v>3.2</v>
      </c>
      <c r="U416" s="47">
        <v>32</v>
      </c>
      <c r="V416" s="47">
        <v>8.3000000000000007</v>
      </c>
      <c r="W416" s="48">
        <v>3.2</v>
      </c>
      <c r="X416" s="130">
        <f t="shared" si="71"/>
        <v>1.5000000000000009</v>
      </c>
      <c r="Y416" s="16">
        <f t="shared" si="72"/>
        <v>0.56568542494923801</v>
      </c>
      <c r="Z416" s="15">
        <f t="shared" si="75"/>
        <v>1.1000000000000014</v>
      </c>
      <c r="AA416" s="16">
        <f t="shared" si="76"/>
        <v>9.0209523809523819</v>
      </c>
      <c r="AB416" s="16">
        <f t="shared" si="77"/>
        <v>0.74516236839158445</v>
      </c>
      <c r="AC416" s="66" t="s">
        <v>49</v>
      </c>
      <c r="AD416" s="51" t="s">
        <v>385</v>
      </c>
      <c r="AE416" s="13">
        <v>12</v>
      </c>
      <c r="AF416" s="13">
        <v>2</v>
      </c>
      <c r="AG416" s="13">
        <v>60</v>
      </c>
      <c r="AH416" s="13" t="s">
        <v>386</v>
      </c>
      <c r="AI416" s="13">
        <v>3.9</v>
      </c>
      <c r="AJ416" s="135">
        <f t="shared" si="73"/>
        <v>234</v>
      </c>
      <c r="AK416" s="136">
        <f t="shared" si="74"/>
        <v>468</v>
      </c>
      <c r="AL416" s="136" t="str" cm="1">
        <f t="array" ref="AL416">_xlfn.IFS(
AI416&lt;3,"Ligera",
AI416&lt;=6,"Moderada",
AI416&gt;6,"Vigorosa"
)</f>
        <v>Moderada</v>
      </c>
      <c r="AM416" s="45" t="s">
        <v>48</v>
      </c>
      <c r="AN416" s="289" t="s">
        <v>60</v>
      </c>
      <c r="AO416" s="46" t="s">
        <v>61</v>
      </c>
      <c r="AP416" s="289" t="s">
        <v>62</v>
      </c>
      <c r="AQ416" s="139">
        <v>0</v>
      </c>
    </row>
    <row r="417" spans="1:43" ht="60" customHeight="1" thickBot="1">
      <c r="A417" s="138" t="s">
        <v>383</v>
      </c>
      <c r="B417" s="12">
        <v>81</v>
      </c>
      <c r="C417" s="12">
        <v>83.8</v>
      </c>
      <c r="D417" s="12">
        <v>32.5</v>
      </c>
      <c r="E417" s="12" t="s">
        <v>45</v>
      </c>
      <c r="F417" s="12" t="s">
        <v>45</v>
      </c>
      <c r="G417" s="12" t="s">
        <v>46</v>
      </c>
      <c r="H417" s="12"/>
      <c r="I417" s="12" t="s">
        <v>45</v>
      </c>
      <c r="J417" s="12" t="s">
        <v>47</v>
      </c>
      <c r="K417" s="12" t="s">
        <v>49</v>
      </c>
      <c r="L417" s="12" t="s">
        <v>49</v>
      </c>
      <c r="M417" s="11" t="s">
        <v>56</v>
      </c>
      <c r="N417" s="11" t="s">
        <v>162</v>
      </c>
      <c r="O417" s="11" t="s">
        <v>163</v>
      </c>
      <c r="P417" s="11" t="s">
        <v>51</v>
      </c>
      <c r="Q417" s="50" t="s">
        <v>64</v>
      </c>
      <c r="R417" s="47">
        <v>33</v>
      </c>
      <c r="S417" s="48">
        <v>7</v>
      </c>
      <c r="T417" s="48">
        <v>4</v>
      </c>
      <c r="U417" s="47">
        <v>33</v>
      </c>
      <c r="V417" s="47">
        <v>7.2</v>
      </c>
      <c r="W417" s="48">
        <v>4.2</v>
      </c>
      <c r="X417" s="130">
        <f t="shared" si="71"/>
        <v>0.20000000000000018</v>
      </c>
      <c r="Y417" s="16">
        <f t="shared" si="72"/>
        <v>0.71435497499704614</v>
      </c>
      <c r="Z417" s="286" t="s">
        <v>53</v>
      </c>
      <c r="AA417" s="286" t="s">
        <v>53</v>
      </c>
      <c r="AB417" s="287">
        <v>0.71435497499704614</v>
      </c>
      <c r="AC417" s="66" t="s">
        <v>49</v>
      </c>
      <c r="AD417" s="51" t="s">
        <v>384</v>
      </c>
      <c r="AE417" s="13">
        <v>12</v>
      </c>
      <c r="AF417" s="13">
        <v>5</v>
      </c>
      <c r="AG417" s="13">
        <v>20</v>
      </c>
      <c r="AH417" s="134">
        <v>1715360</v>
      </c>
      <c r="AI417" s="134">
        <v>3.8</v>
      </c>
      <c r="AJ417" s="135">
        <f t="shared" si="73"/>
        <v>76</v>
      </c>
      <c r="AK417" s="136">
        <f t="shared" si="74"/>
        <v>380</v>
      </c>
      <c r="AL417" s="136" t="str" cm="1">
        <f t="array" ref="AL417">_xlfn.IFS(
AI417&lt;3,"Ligera",
AI417&lt;=6,"Moderada",
AI417&gt;6,"Vigorosa"
)</f>
        <v>Moderada</v>
      </c>
      <c r="AM417" s="45" t="s">
        <v>48</v>
      </c>
      <c r="AN417" s="289" t="s">
        <v>60</v>
      </c>
      <c r="AO417" s="46" t="s">
        <v>255</v>
      </c>
      <c r="AP417" s="289" t="s">
        <v>62</v>
      </c>
      <c r="AQ417" s="139">
        <v>0</v>
      </c>
    </row>
    <row r="418" spans="1:43" ht="55.5" customHeight="1" thickBot="1">
      <c r="A418" s="138" t="s">
        <v>383</v>
      </c>
      <c r="B418" s="12">
        <v>81</v>
      </c>
      <c r="C418" s="12">
        <v>84.7</v>
      </c>
      <c r="D418" s="12">
        <v>36.6</v>
      </c>
      <c r="E418" s="12" t="s">
        <v>45</v>
      </c>
      <c r="F418" s="12" t="s">
        <v>45</v>
      </c>
      <c r="G418" s="12" t="s">
        <v>46</v>
      </c>
      <c r="H418" s="12"/>
      <c r="I418" s="12" t="s">
        <v>45</v>
      </c>
      <c r="J418" s="12" t="s">
        <v>47</v>
      </c>
      <c r="K418" s="12" t="s">
        <v>49</v>
      </c>
      <c r="L418" s="12" t="s">
        <v>49</v>
      </c>
      <c r="M418" s="11" t="s">
        <v>56</v>
      </c>
      <c r="N418" s="11" t="s">
        <v>76</v>
      </c>
      <c r="O418" s="11" t="s">
        <v>77</v>
      </c>
      <c r="P418" s="11" t="s">
        <v>51</v>
      </c>
      <c r="Q418" s="50" t="s">
        <v>64</v>
      </c>
      <c r="R418" s="47">
        <v>32</v>
      </c>
      <c r="S418" s="48">
        <v>6.9</v>
      </c>
      <c r="T418" s="48">
        <v>4.5999999999999996</v>
      </c>
      <c r="U418" s="47">
        <v>32</v>
      </c>
      <c r="V418" s="47">
        <v>9.1999999999999993</v>
      </c>
      <c r="W418" s="48">
        <v>4</v>
      </c>
      <c r="X418" s="130">
        <f t="shared" si="71"/>
        <v>2.2999999999999989</v>
      </c>
      <c r="Y418" s="16">
        <f t="shared" si="72"/>
        <v>0.76566964155567763</v>
      </c>
      <c r="Z418" s="15">
        <f t="shared" si="75"/>
        <v>2.0999999999999988</v>
      </c>
      <c r="AA418" s="16">
        <f t="shared" si="76"/>
        <v>16.833015873015874</v>
      </c>
      <c r="AB418" s="16">
        <f t="shared" si="77"/>
        <v>1.0179013390909437</v>
      </c>
      <c r="AC418" s="66" t="s">
        <v>49</v>
      </c>
      <c r="AD418" s="51" t="s">
        <v>385</v>
      </c>
      <c r="AE418" s="13">
        <v>12</v>
      </c>
      <c r="AF418" s="13">
        <v>2</v>
      </c>
      <c r="AG418" s="13">
        <v>60</v>
      </c>
      <c r="AH418" s="13" t="s">
        <v>386</v>
      </c>
      <c r="AI418" s="13">
        <v>3.9</v>
      </c>
      <c r="AJ418" s="135">
        <f t="shared" si="73"/>
        <v>234</v>
      </c>
      <c r="AK418" s="136">
        <f t="shared" si="74"/>
        <v>468</v>
      </c>
      <c r="AL418" s="136" t="str" cm="1">
        <f t="array" ref="AL418">_xlfn.IFS(
AI418&lt;3,"Ligera",
AI418&lt;=6,"Moderada",
AI418&gt;6,"Vigorosa"
)</f>
        <v>Moderada</v>
      </c>
      <c r="AM418" s="45" t="s">
        <v>48</v>
      </c>
      <c r="AN418" s="289" t="s">
        <v>60</v>
      </c>
      <c r="AO418" s="46" t="s">
        <v>61</v>
      </c>
      <c r="AP418" s="289" t="s">
        <v>62</v>
      </c>
      <c r="AQ418" s="139">
        <v>0</v>
      </c>
    </row>
    <row r="419" spans="1:43" ht="60" customHeight="1" thickBot="1">
      <c r="A419" s="138" t="s">
        <v>383</v>
      </c>
      <c r="B419" s="12">
        <v>81</v>
      </c>
      <c r="C419" s="12">
        <v>83.8</v>
      </c>
      <c r="D419" s="12">
        <v>32.5</v>
      </c>
      <c r="E419" s="12" t="s">
        <v>45</v>
      </c>
      <c r="F419" s="12" t="s">
        <v>45</v>
      </c>
      <c r="G419" s="12" t="s">
        <v>46</v>
      </c>
      <c r="H419" s="12"/>
      <c r="I419" s="12" t="s">
        <v>45</v>
      </c>
      <c r="J419" s="12" t="s">
        <v>47</v>
      </c>
      <c r="K419" s="12" t="s">
        <v>49</v>
      </c>
      <c r="L419" s="12" t="s">
        <v>49</v>
      </c>
      <c r="M419" s="11" t="s">
        <v>56</v>
      </c>
      <c r="N419" s="11" t="s">
        <v>162</v>
      </c>
      <c r="O419" s="11" t="s">
        <v>163</v>
      </c>
      <c r="P419" s="11" t="s">
        <v>51</v>
      </c>
      <c r="Q419" s="50" t="s">
        <v>81</v>
      </c>
      <c r="R419" s="47">
        <v>33</v>
      </c>
      <c r="S419" s="48">
        <v>10.8</v>
      </c>
      <c r="T419" s="48">
        <v>4.5</v>
      </c>
      <c r="U419" s="47">
        <v>33</v>
      </c>
      <c r="V419" s="47">
        <v>12.1</v>
      </c>
      <c r="W419" s="48">
        <v>6.1</v>
      </c>
      <c r="X419" s="130">
        <f t="shared" si="71"/>
        <v>1.2999999999999989</v>
      </c>
      <c r="Y419" s="16">
        <f t="shared" si="72"/>
        <v>0.95362148643680378</v>
      </c>
      <c r="Z419" s="286" t="s">
        <v>53</v>
      </c>
      <c r="AA419" s="286" t="s">
        <v>53</v>
      </c>
      <c r="AB419" s="287">
        <v>0.95362148643680378</v>
      </c>
      <c r="AC419" s="66" t="s">
        <v>49</v>
      </c>
      <c r="AD419" s="51" t="s">
        <v>384</v>
      </c>
      <c r="AE419" s="13">
        <v>12</v>
      </c>
      <c r="AF419" s="13">
        <v>5</v>
      </c>
      <c r="AG419" s="13">
        <v>20</v>
      </c>
      <c r="AH419" s="134">
        <v>1715360</v>
      </c>
      <c r="AI419" s="134">
        <v>3.8</v>
      </c>
      <c r="AJ419" s="135">
        <f t="shared" si="73"/>
        <v>76</v>
      </c>
      <c r="AK419" s="136">
        <f t="shared" si="74"/>
        <v>380</v>
      </c>
      <c r="AL419" s="136" t="str" cm="1">
        <f t="array" ref="AL419">_xlfn.IFS(
AI419&lt;3,"Ligera",
AI419&lt;=6,"Moderada",
AI419&gt;6,"Vigorosa"
)</f>
        <v>Moderada</v>
      </c>
      <c r="AM419" s="45" t="s">
        <v>48</v>
      </c>
      <c r="AN419" s="289" t="s">
        <v>60</v>
      </c>
      <c r="AO419" s="46" t="s">
        <v>255</v>
      </c>
      <c r="AP419" s="289" t="s">
        <v>62</v>
      </c>
      <c r="AQ419" s="139">
        <v>0</v>
      </c>
    </row>
    <row r="420" spans="1:43" ht="55.5" customHeight="1" thickBot="1">
      <c r="A420" s="138" t="s">
        <v>383</v>
      </c>
      <c r="B420" s="12">
        <v>81</v>
      </c>
      <c r="C420" s="12">
        <v>84.7</v>
      </c>
      <c r="D420" s="12">
        <v>36.6</v>
      </c>
      <c r="E420" s="12" t="s">
        <v>45</v>
      </c>
      <c r="F420" s="12" t="s">
        <v>45</v>
      </c>
      <c r="G420" s="12" t="s">
        <v>46</v>
      </c>
      <c r="H420" s="12"/>
      <c r="I420" s="12" t="s">
        <v>45</v>
      </c>
      <c r="J420" s="12" t="s">
        <v>47</v>
      </c>
      <c r="K420" s="12" t="s">
        <v>49</v>
      </c>
      <c r="L420" s="12" t="s">
        <v>49</v>
      </c>
      <c r="M420" s="11" t="s">
        <v>56</v>
      </c>
      <c r="N420" s="11" t="s">
        <v>76</v>
      </c>
      <c r="O420" s="11" t="s">
        <v>77</v>
      </c>
      <c r="P420" s="11" t="s">
        <v>51</v>
      </c>
      <c r="Q420" s="50" t="s">
        <v>81</v>
      </c>
      <c r="R420" s="47">
        <v>32</v>
      </c>
      <c r="S420" s="48">
        <v>11.9</v>
      </c>
      <c r="T420" s="48">
        <v>4.9000000000000004</v>
      </c>
      <c r="U420" s="47">
        <v>32</v>
      </c>
      <c r="V420" s="47">
        <v>16</v>
      </c>
      <c r="W420" s="48">
        <v>4.4000000000000004</v>
      </c>
      <c r="X420" s="130">
        <f t="shared" si="71"/>
        <v>4.0999999999999996</v>
      </c>
      <c r="Y420" s="16">
        <f t="shared" si="72"/>
        <v>0.8255679862979185</v>
      </c>
      <c r="Z420" s="15">
        <f t="shared" si="75"/>
        <v>2.8000000000000007</v>
      </c>
      <c r="AA420" s="16">
        <f t="shared" si="76"/>
        <v>28.426666666666666</v>
      </c>
      <c r="AB420" s="16">
        <f t="shared" si="77"/>
        <v>1.3227802065148522</v>
      </c>
      <c r="AC420" s="66" t="s">
        <v>49</v>
      </c>
      <c r="AD420" s="51" t="s">
        <v>385</v>
      </c>
      <c r="AE420" s="13">
        <v>12</v>
      </c>
      <c r="AF420" s="13">
        <v>2</v>
      </c>
      <c r="AG420" s="13">
        <v>60</v>
      </c>
      <c r="AH420" s="13" t="s">
        <v>386</v>
      </c>
      <c r="AI420" s="13">
        <v>3.9</v>
      </c>
      <c r="AJ420" s="135">
        <f t="shared" si="73"/>
        <v>234</v>
      </c>
      <c r="AK420" s="136">
        <f t="shared" si="74"/>
        <v>468</v>
      </c>
      <c r="AL420" s="136" t="str" cm="1">
        <f t="array" ref="AL420">_xlfn.IFS(
AI420&lt;3,"Ligera",
AI420&lt;=6,"Moderada",
AI420&gt;6,"Vigorosa"
)</f>
        <v>Moderada</v>
      </c>
      <c r="AM420" s="45" t="s">
        <v>48</v>
      </c>
      <c r="AN420" s="289" t="s">
        <v>60</v>
      </c>
      <c r="AO420" s="46" t="s">
        <v>61</v>
      </c>
      <c r="AP420" s="289" t="s">
        <v>62</v>
      </c>
      <c r="AQ420" s="139">
        <v>0</v>
      </c>
    </row>
    <row r="421" spans="1:43" ht="60" customHeight="1" thickBot="1">
      <c r="A421" s="138" t="s">
        <v>383</v>
      </c>
      <c r="B421" s="12">
        <v>81</v>
      </c>
      <c r="C421" s="12">
        <v>83.8</v>
      </c>
      <c r="D421" s="12">
        <v>32.5</v>
      </c>
      <c r="E421" s="12" t="s">
        <v>45</v>
      </c>
      <c r="F421" s="12" t="s">
        <v>45</v>
      </c>
      <c r="G421" s="12" t="s">
        <v>46</v>
      </c>
      <c r="H421" s="12"/>
      <c r="I421" s="12" t="s">
        <v>45</v>
      </c>
      <c r="J421" s="12" t="s">
        <v>47</v>
      </c>
      <c r="K421" s="12" t="s">
        <v>49</v>
      </c>
      <c r="L421" s="12" t="s">
        <v>49</v>
      </c>
      <c r="M421" s="11" t="s">
        <v>56</v>
      </c>
      <c r="N421" s="11" t="s">
        <v>162</v>
      </c>
      <c r="O421" s="11" t="s">
        <v>163</v>
      </c>
      <c r="P421" s="11" t="s">
        <v>51</v>
      </c>
      <c r="Q421" s="50" t="s">
        <v>82</v>
      </c>
      <c r="R421" s="47">
        <v>33</v>
      </c>
      <c r="S421" s="48">
        <v>282</v>
      </c>
      <c r="T421" s="48">
        <v>86</v>
      </c>
      <c r="U421" s="63">
        <v>33</v>
      </c>
      <c r="V421" s="47">
        <v>283</v>
      </c>
      <c r="W421" s="47">
        <v>100</v>
      </c>
      <c r="X421" s="130">
        <f t="shared" si="71"/>
        <v>1</v>
      </c>
      <c r="Y421" s="16">
        <f t="shared" si="72"/>
        <v>16.326219848619413</v>
      </c>
      <c r="Z421" s="286" t="s">
        <v>53</v>
      </c>
      <c r="AA421" s="286" t="s">
        <v>53</v>
      </c>
      <c r="AB421" s="287">
        <v>16.326219848619413</v>
      </c>
      <c r="AC421" s="66" t="s">
        <v>49</v>
      </c>
      <c r="AD421" s="51" t="s">
        <v>384</v>
      </c>
      <c r="AE421" s="13">
        <v>12</v>
      </c>
      <c r="AF421" s="13">
        <v>5</v>
      </c>
      <c r="AG421" s="13">
        <v>20</v>
      </c>
      <c r="AH421" s="134">
        <v>1715360</v>
      </c>
      <c r="AI421" s="134">
        <v>3.8</v>
      </c>
      <c r="AJ421" s="135">
        <f t="shared" si="73"/>
        <v>76</v>
      </c>
      <c r="AK421" s="136">
        <f t="shared" si="74"/>
        <v>380</v>
      </c>
      <c r="AL421" s="136" t="str" cm="1">
        <f t="array" ref="AL421">_xlfn.IFS(
AI421&lt;3,"Ligera",
AI421&lt;=6,"Moderada",
AI421&gt;6,"Vigorosa"
)</f>
        <v>Moderada</v>
      </c>
      <c r="AM421" s="45" t="s">
        <v>48</v>
      </c>
      <c r="AN421" s="289" t="s">
        <v>60</v>
      </c>
      <c r="AO421" s="46" t="s">
        <v>255</v>
      </c>
      <c r="AP421" s="289" t="s">
        <v>62</v>
      </c>
      <c r="AQ421" s="139">
        <v>0</v>
      </c>
    </row>
    <row r="422" spans="1:43" ht="55.5" customHeight="1" thickBot="1">
      <c r="A422" s="138" t="s">
        <v>383</v>
      </c>
      <c r="B422" s="12">
        <v>81</v>
      </c>
      <c r="C422" s="12">
        <v>84.7</v>
      </c>
      <c r="D422" s="12">
        <v>36.6</v>
      </c>
      <c r="E422" s="12" t="s">
        <v>45</v>
      </c>
      <c r="F422" s="12" t="s">
        <v>45</v>
      </c>
      <c r="G422" s="12" t="s">
        <v>46</v>
      </c>
      <c r="H422" s="12"/>
      <c r="I422" s="12" t="s">
        <v>45</v>
      </c>
      <c r="J422" s="12" t="s">
        <v>47</v>
      </c>
      <c r="K422" s="12" t="s">
        <v>49</v>
      </c>
      <c r="L422" s="12" t="s">
        <v>49</v>
      </c>
      <c r="M422" s="11" t="s">
        <v>56</v>
      </c>
      <c r="N422" s="11" t="s">
        <v>76</v>
      </c>
      <c r="O422" s="11" t="s">
        <v>77</v>
      </c>
      <c r="P422" s="11" t="s">
        <v>51</v>
      </c>
      <c r="Q422" s="50" t="s">
        <v>82</v>
      </c>
      <c r="R422" s="47">
        <v>32</v>
      </c>
      <c r="S422" s="48">
        <v>265</v>
      </c>
      <c r="T422" s="48">
        <v>120</v>
      </c>
      <c r="U422" s="47">
        <v>32</v>
      </c>
      <c r="V422" s="47">
        <v>283</v>
      </c>
      <c r="W422" s="48">
        <v>113</v>
      </c>
      <c r="X422" s="130">
        <f t="shared" si="71"/>
        <v>18</v>
      </c>
      <c r="Y422" s="16">
        <f t="shared" si="72"/>
        <v>20.622348314389416</v>
      </c>
      <c r="Z422" s="15">
        <f t="shared" si="75"/>
        <v>17</v>
      </c>
      <c r="AA422" s="16">
        <f t="shared" si="76"/>
        <v>11362.523809523809</v>
      </c>
      <c r="AB422" s="16">
        <f t="shared" si="77"/>
        <v>26.446129629239177</v>
      </c>
      <c r="AC422" s="66" t="s">
        <v>49</v>
      </c>
      <c r="AD422" s="51" t="s">
        <v>385</v>
      </c>
      <c r="AE422" s="13">
        <v>12</v>
      </c>
      <c r="AF422" s="13">
        <v>2</v>
      </c>
      <c r="AG422" s="13">
        <v>60</v>
      </c>
      <c r="AH422" s="13" t="s">
        <v>386</v>
      </c>
      <c r="AI422" s="13">
        <v>3.9</v>
      </c>
      <c r="AJ422" s="135">
        <f t="shared" si="73"/>
        <v>234</v>
      </c>
      <c r="AK422" s="136">
        <f t="shared" si="74"/>
        <v>468</v>
      </c>
      <c r="AL422" s="136" t="str" cm="1">
        <f t="array" ref="AL422">_xlfn.IFS(
AI422&lt;3,"Ligera",
AI422&lt;=6,"Moderada",
AI422&gt;6,"Vigorosa"
)</f>
        <v>Moderada</v>
      </c>
      <c r="AM422" s="45" t="s">
        <v>48</v>
      </c>
      <c r="AN422" s="289" t="s">
        <v>60</v>
      </c>
      <c r="AO422" s="46" t="s">
        <v>61</v>
      </c>
      <c r="AP422" s="289" t="s">
        <v>62</v>
      </c>
      <c r="AQ422" s="139">
        <v>0</v>
      </c>
    </row>
    <row r="423" spans="1:43" ht="60" customHeight="1" thickBot="1">
      <c r="A423" s="138" t="s">
        <v>383</v>
      </c>
      <c r="B423" s="12">
        <v>81</v>
      </c>
      <c r="C423" s="12">
        <v>83.8</v>
      </c>
      <c r="D423" s="12">
        <v>32.5</v>
      </c>
      <c r="E423" s="12" t="s">
        <v>45</v>
      </c>
      <c r="F423" s="12" t="s">
        <v>45</v>
      </c>
      <c r="G423" s="12" t="s">
        <v>46</v>
      </c>
      <c r="H423" s="12"/>
      <c r="I423" s="12" t="s">
        <v>45</v>
      </c>
      <c r="J423" s="12" t="s">
        <v>47</v>
      </c>
      <c r="K423" s="12" t="s">
        <v>49</v>
      </c>
      <c r="L423" s="12" t="s">
        <v>49</v>
      </c>
      <c r="M423" s="11" t="s">
        <v>56</v>
      </c>
      <c r="N423" s="11" t="s">
        <v>162</v>
      </c>
      <c r="O423" s="11" t="s">
        <v>163</v>
      </c>
      <c r="P423" s="11" t="s">
        <v>51</v>
      </c>
      <c r="Q423" s="50" t="s">
        <v>85</v>
      </c>
      <c r="R423" s="47">
        <v>33</v>
      </c>
      <c r="S423" s="48">
        <v>0.73</v>
      </c>
      <c r="T423" s="48">
        <v>0.21</v>
      </c>
      <c r="U423" s="47">
        <v>33</v>
      </c>
      <c r="V423" s="47">
        <v>0.79</v>
      </c>
      <c r="W423" s="48">
        <v>0.27</v>
      </c>
      <c r="X423" s="130">
        <f t="shared" si="71"/>
        <v>6.0000000000000053E-2</v>
      </c>
      <c r="Y423" s="16">
        <f t="shared" si="72"/>
        <v>4.2746610710940901E-2</v>
      </c>
      <c r="Z423" s="286" t="s">
        <v>53</v>
      </c>
      <c r="AA423" s="286" t="s">
        <v>53</v>
      </c>
      <c r="AB423" s="287">
        <v>4.2746610710940901E-2</v>
      </c>
      <c r="AC423" s="66" t="s">
        <v>49</v>
      </c>
      <c r="AD423" s="51" t="s">
        <v>384</v>
      </c>
      <c r="AE423" s="13">
        <v>12</v>
      </c>
      <c r="AF423" s="13">
        <v>5</v>
      </c>
      <c r="AG423" s="13">
        <v>20</v>
      </c>
      <c r="AH423" s="134">
        <v>1715360</v>
      </c>
      <c r="AI423" s="134">
        <v>3.8</v>
      </c>
      <c r="AJ423" s="135">
        <f t="shared" si="73"/>
        <v>76</v>
      </c>
      <c r="AK423" s="136">
        <f t="shared" si="74"/>
        <v>380</v>
      </c>
      <c r="AL423" s="136" t="str" cm="1">
        <f t="array" ref="AL423">_xlfn.IFS(
AI423&lt;3,"Ligera",
AI423&lt;=6,"Moderada",
AI423&gt;6,"Vigorosa"
)</f>
        <v>Moderada</v>
      </c>
      <c r="AM423" s="45" t="s">
        <v>48</v>
      </c>
      <c r="AN423" s="289" t="s">
        <v>60</v>
      </c>
      <c r="AO423" s="46" t="s">
        <v>255</v>
      </c>
      <c r="AP423" s="289" t="s">
        <v>62</v>
      </c>
      <c r="AQ423" s="139">
        <v>0</v>
      </c>
    </row>
    <row r="424" spans="1:43" ht="55.5" customHeight="1" thickBot="1">
      <c r="A424" s="138" t="s">
        <v>383</v>
      </c>
      <c r="B424" s="12">
        <v>81</v>
      </c>
      <c r="C424" s="12">
        <v>84.7</v>
      </c>
      <c r="D424" s="12">
        <v>36.6</v>
      </c>
      <c r="E424" s="12" t="s">
        <v>45</v>
      </c>
      <c r="F424" s="12" t="s">
        <v>45</v>
      </c>
      <c r="G424" s="12" t="s">
        <v>46</v>
      </c>
      <c r="H424" s="12"/>
      <c r="I424" s="12" t="s">
        <v>45</v>
      </c>
      <c r="J424" s="12" t="s">
        <v>47</v>
      </c>
      <c r="K424" s="12" t="s">
        <v>49</v>
      </c>
      <c r="L424" s="12" t="s">
        <v>49</v>
      </c>
      <c r="M424" s="11" t="s">
        <v>56</v>
      </c>
      <c r="N424" s="11" t="s">
        <v>76</v>
      </c>
      <c r="O424" s="11" t="s">
        <v>77</v>
      </c>
      <c r="P424" s="11" t="s">
        <v>51</v>
      </c>
      <c r="Q424" s="50" t="s">
        <v>85</v>
      </c>
      <c r="R424" s="47">
        <v>32</v>
      </c>
      <c r="S424" s="48">
        <v>0.69</v>
      </c>
      <c r="T424" s="48">
        <v>0.25</v>
      </c>
      <c r="U424" s="47">
        <v>32</v>
      </c>
      <c r="V424" s="47">
        <v>0.81</v>
      </c>
      <c r="W424" s="48">
        <v>0.3</v>
      </c>
      <c r="X424" s="130">
        <f t="shared" si="71"/>
        <v>0.12000000000000011</v>
      </c>
      <c r="Y424" s="16">
        <f t="shared" si="72"/>
        <v>4.9212549212573821E-2</v>
      </c>
      <c r="Z424" s="15">
        <f t="shared" si="75"/>
        <v>6.0000000000000053E-2</v>
      </c>
      <c r="AA424" s="16">
        <f t="shared" si="76"/>
        <v>8.1314285714285714E-2</v>
      </c>
      <c r="AB424" s="16">
        <f t="shared" si="77"/>
        <v>7.0747018966460296E-2</v>
      </c>
      <c r="AC424" s="66" t="s">
        <v>49</v>
      </c>
      <c r="AD424" s="51" t="s">
        <v>385</v>
      </c>
      <c r="AE424" s="13">
        <v>12</v>
      </c>
      <c r="AF424" s="13">
        <v>2</v>
      </c>
      <c r="AG424" s="13">
        <v>60</v>
      </c>
      <c r="AH424" s="13" t="s">
        <v>386</v>
      </c>
      <c r="AI424" s="13">
        <v>3.9</v>
      </c>
      <c r="AJ424" s="135">
        <f t="shared" si="73"/>
        <v>234</v>
      </c>
      <c r="AK424" s="136">
        <f t="shared" si="74"/>
        <v>468</v>
      </c>
      <c r="AL424" s="136" t="str" cm="1">
        <f t="array" ref="AL424">_xlfn.IFS(
AI424&lt;3,"Ligera",
AI424&lt;=6,"Moderada",
AI424&gt;6,"Vigorosa"
)</f>
        <v>Moderada</v>
      </c>
      <c r="AM424" s="45" t="s">
        <v>48</v>
      </c>
      <c r="AN424" s="289" t="s">
        <v>60</v>
      </c>
      <c r="AO424" s="46" t="s">
        <v>61</v>
      </c>
      <c r="AP424" s="289" t="s">
        <v>62</v>
      </c>
      <c r="AQ424" s="139">
        <v>0</v>
      </c>
    </row>
    <row r="425" spans="1:43" ht="60" customHeight="1" thickBot="1">
      <c r="A425" s="138" t="s">
        <v>383</v>
      </c>
      <c r="B425" s="12">
        <v>81</v>
      </c>
      <c r="C425" s="12">
        <v>83.8</v>
      </c>
      <c r="D425" s="12">
        <v>32.5</v>
      </c>
      <c r="E425" s="12" t="s">
        <v>45</v>
      </c>
      <c r="F425" s="12" t="s">
        <v>45</v>
      </c>
      <c r="G425" s="12" t="s">
        <v>46</v>
      </c>
      <c r="H425" s="12"/>
      <c r="I425" s="12" t="s">
        <v>45</v>
      </c>
      <c r="J425" s="12" t="s">
        <v>47</v>
      </c>
      <c r="K425" s="12" t="s">
        <v>49</v>
      </c>
      <c r="L425" s="12" t="s">
        <v>49</v>
      </c>
      <c r="M425" s="11" t="s">
        <v>56</v>
      </c>
      <c r="N425" s="11" t="s">
        <v>162</v>
      </c>
      <c r="O425" s="11" t="s">
        <v>163</v>
      </c>
      <c r="P425" s="11" t="s">
        <v>86</v>
      </c>
      <c r="Q425" s="50" t="s">
        <v>87</v>
      </c>
      <c r="R425" s="47">
        <v>33</v>
      </c>
      <c r="S425" s="48">
        <v>45.3</v>
      </c>
      <c r="T425" s="48">
        <v>9.6</v>
      </c>
      <c r="U425" s="47">
        <v>33</v>
      </c>
      <c r="V425" s="47">
        <v>44.6</v>
      </c>
      <c r="W425" s="48">
        <v>10.1</v>
      </c>
      <c r="X425" s="130">
        <f t="shared" si="71"/>
        <v>-0.69999999999999574</v>
      </c>
      <c r="Y425" s="16">
        <f t="shared" si="72"/>
        <v>1.7163209419445931</v>
      </c>
      <c r="Z425" s="286" t="s">
        <v>53</v>
      </c>
      <c r="AA425" s="286" t="s">
        <v>53</v>
      </c>
      <c r="AB425" s="287">
        <v>1.7163209419445931</v>
      </c>
      <c r="AC425" s="66" t="s">
        <v>49</v>
      </c>
      <c r="AD425" s="51" t="s">
        <v>384</v>
      </c>
      <c r="AE425" s="13">
        <v>12</v>
      </c>
      <c r="AF425" s="13">
        <v>5</v>
      </c>
      <c r="AG425" s="13">
        <v>20</v>
      </c>
      <c r="AH425" s="134">
        <v>1715360</v>
      </c>
      <c r="AI425" s="134">
        <v>3.8</v>
      </c>
      <c r="AJ425" s="135">
        <f t="shared" si="73"/>
        <v>76</v>
      </c>
      <c r="AK425" s="136">
        <f t="shared" si="74"/>
        <v>380</v>
      </c>
      <c r="AL425" s="136" t="str" cm="1">
        <f t="array" ref="AL425">_xlfn.IFS(
AI425&lt;3,"Ligera",
AI425&lt;=6,"Moderada",
AI425&gt;6,"Vigorosa"
)</f>
        <v>Moderada</v>
      </c>
      <c r="AM425" s="45" t="s">
        <v>48</v>
      </c>
      <c r="AN425" s="289" t="s">
        <v>60</v>
      </c>
      <c r="AO425" s="46" t="s">
        <v>255</v>
      </c>
      <c r="AP425" s="289" t="s">
        <v>62</v>
      </c>
      <c r="AQ425" s="139">
        <v>0</v>
      </c>
    </row>
    <row r="426" spans="1:43" ht="55.5" customHeight="1" thickBot="1">
      <c r="A426" s="138" t="s">
        <v>383</v>
      </c>
      <c r="B426" s="12">
        <v>81</v>
      </c>
      <c r="C426" s="12">
        <v>84.7</v>
      </c>
      <c r="D426" s="12">
        <v>36.6</v>
      </c>
      <c r="E426" s="12" t="s">
        <v>45</v>
      </c>
      <c r="F426" s="12" t="s">
        <v>45</v>
      </c>
      <c r="G426" s="12" t="s">
        <v>46</v>
      </c>
      <c r="H426" s="12"/>
      <c r="I426" s="12" t="s">
        <v>45</v>
      </c>
      <c r="J426" s="12" t="s">
        <v>47</v>
      </c>
      <c r="K426" s="12" t="s">
        <v>49</v>
      </c>
      <c r="L426" s="12" t="s">
        <v>49</v>
      </c>
      <c r="M426" s="11" t="s">
        <v>56</v>
      </c>
      <c r="N426" s="11" t="s">
        <v>76</v>
      </c>
      <c r="O426" s="11" t="s">
        <v>77</v>
      </c>
      <c r="P426" s="11" t="s">
        <v>86</v>
      </c>
      <c r="Q426" s="50" t="s">
        <v>87</v>
      </c>
      <c r="R426" s="47">
        <v>32</v>
      </c>
      <c r="S426" s="48">
        <v>46</v>
      </c>
      <c r="T426" s="48">
        <v>9</v>
      </c>
      <c r="U426" s="47">
        <v>32</v>
      </c>
      <c r="V426" s="47">
        <v>48.1</v>
      </c>
      <c r="W426" s="48">
        <v>8.4</v>
      </c>
      <c r="X426" s="130">
        <f t="shared" si="71"/>
        <v>2.1000000000000014</v>
      </c>
      <c r="Y426" s="16">
        <f t="shared" si="72"/>
        <v>1.54069789381306</v>
      </c>
      <c r="Z426" s="15">
        <f t="shared" si="75"/>
        <v>2.7999999999999972</v>
      </c>
      <c r="AA426" s="16">
        <f t="shared" si="76"/>
        <v>86.534603174603177</v>
      </c>
      <c r="AB426" s="16">
        <f t="shared" si="77"/>
        <v>2.3079140043483104</v>
      </c>
      <c r="AC426" s="66" t="s">
        <v>49</v>
      </c>
      <c r="AD426" s="51" t="s">
        <v>385</v>
      </c>
      <c r="AE426" s="13">
        <v>12</v>
      </c>
      <c r="AF426" s="13">
        <v>2</v>
      </c>
      <c r="AG426" s="13">
        <v>60</v>
      </c>
      <c r="AH426" s="13" t="s">
        <v>386</v>
      </c>
      <c r="AI426" s="13">
        <v>3.9</v>
      </c>
      <c r="AJ426" s="135">
        <f t="shared" si="73"/>
        <v>234</v>
      </c>
      <c r="AK426" s="136">
        <f t="shared" si="74"/>
        <v>468</v>
      </c>
      <c r="AL426" s="136" t="str" cm="1">
        <f t="array" ref="AL426">_xlfn.IFS(
AI426&lt;3,"Ligera",
AI426&lt;=6,"Moderada",
AI426&gt;6,"Vigorosa"
)</f>
        <v>Moderada</v>
      </c>
      <c r="AM426" s="45" t="s">
        <v>48</v>
      </c>
      <c r="AN426" s="289" t="s">
        <v>60</v>
      </c>
      <c r="AO426" s="46" t="s">
        <v>61</v>
      </c>
      <c r="AP426" s="289" t="s">
        <v>62</v>
      </c>
      <c r="AQ426" s="139">
        <v>0</v>
      </c>
    </row>
    <row r="427" spans="1:43" ht="60" customHeight="1" thickBot="1">
      <c r="A427" s="138" t="s">
        <v>383</v>
      </c>
      <c r="B427" s="12">
        <v>81</v>
      </c>
      <c r="C427" s="12">
        <v>83.8</v>
      </c>
      <c r="D427" s="12">
        <v>32.5</v>
      </c>
      <c r="E427" s="12" t="s">
        <v>45</v>
      </c>
      <c r="F427" s="12" t="s">
        <v>45</v>
      </c>
      <c r="G427" s="12" t="s">
        <v>46</v>
      </c>
      <c r="H427" s="12"/>
      <c r="I427" s="12" t="s">
        <v>45</v>
      </c>
      <c r="J427" s="12" t="s">
        <v>47</v>
      </c>
      <c r="K427" s="12" t="s">
        <v>49</v>
      </c>
      <c r="L427" s="12" t="s">
        <v>49</v>
      </c>
      <c r="M427" s="11" t="s">
        <v>56</v>
      </c>
      <c r="N427" s="11" t="s">
        <v>162</v>
      </c>
      <c r="O427" s="11" t="s">
        <v>163</v>
      </c>
      <c r="P427" s="11" t="s">
        <v>94</v>
      </c>
      <c r="Q427" s="50" t="s">
        <v>137</v>
      </c>
      <c r="R427" s="47">
        <v>33</v>
      </c>
      <c r="S427" s="48">
        <v>17.5</v>
      </c>
      <c r="T427" s="48">
        <v>7.3</v>
      </c>
      <c r="U427" s="47">
        <v>33</v>
      </c>
      <c r="V427" s="47">
        <v>18.8</v>
      </c>
      <c r="W427" s="48">
        <v>6.5</v>
      </c>
      <c r="X427" s="130">
        <f t="shared" si="71"/>
        <v>1.3000000000000007</v>
      </c>
      <c r="Y427" s="16">
        <f t="shared" si="72"/>
        <v>1.2071755163491047</v>
      </c>
      <c r="Z427" s="286" t="s">
        <v>53</v>
      </c>
      <c r="AA427" s="286" t="s">
        <v>53</v>
      </c>
      <c r="AB427" s="287">
        <v>1.2071755163491047</v>
      </c>
      <c r="AC427" s="66" t="s">
        <v>49</v>
      </c>
      <c r="AD427" s="51" t="s">
        <v>384</v>
      </c>
      <c r="AE427" s="13">
        <v>12</v>
      </c>
      <c r="AF427" s="13">
        <v>5</v>
      </c>
      <c r="AG427" s="13">
        <v>20</v>
      </c>
      <c r="AH427" s="134">
        <v>1715360</v>
      </c>
      <c r="AI427" s="134">
        <v>3.8</v>
      </c>
      <c r="AJ427" s="135">
        <f t="shared" si="73"/>
        <v>76</v>
      </c>
      <c r="AK427" s="136">
        <f t="shared" si="74"/>
        <v>380</v>
      </c>
      <c r="AL427" s="136" t="str" cm="1">
        <f t="array" ref="AL427">_xlfn.IFS(
AI427&lt;3,"Ligera",
AI427&lt;=6,"Moderada",
AI427&gt;6,"Vigorosa"
)</f>
        <v>Moderada</v>
      </c>
      <c r="AM427" s="45" t="s">
        <v>48</v>
      </c>
      <c r="AN427" s="289" t="s">
        <v>60</v>
      </c>
      <c r="AO427" s="46" t="s">
        <v>255</v>
      </c>
      <c r="AP427" s="289" t="s">
        <v>62</v>
      </c>
      <c r="AQ427" s="139">
        <v>0</v>
      </c>
    </row>
    <row r="428" spans="1:43" ht="55.5" customHeight="1" thickBot="1">
      <c r="A428" s="138" t="s">
        <v>383</v>
      </c>
      <c r="B428" s="12">
        <v>81</v>
      </c>
      <c r="C428" s="12">
        <v>84.7</v>
      </c>
      <c r="D428" s="12">
        <v>36.6</v>
      </c>
      <c r="E428" s="12" t="s">
        <v>45</v>
      </c>
      <c r="F428" s="12" t="s">
        <v>45</v>
      </c>
      <c r="G428" s="12" t="s">
        <v>46</v>
      </c>
      <c r="H428" s="12"/>
      <c r="I428" s="12" t="s">
        <v>45</v>
      </c>
      <c r="J428" s="12" t="s">
        <v>47</v>
      </c>
      <c r="K428" s="12" t="s">
        <v>49</v>
      </c>
      <c r="L428" s="12" t="s">
        <v>49</v>
      </c>
      <c r="M428" s="11" t="s">
        <v>56</v>
      </c>
      <c r="N428" s="11" t="s">
        <v>76</v>
      </c>
      <c r="O428" s="11" t="s">
        <v>77</v>
      </c>
      <c r="P428" s="11" t="s">
        <v>94</v>
      </c>
      <c r="Q428" s="50" t="s">
        <v>137</v>
      </c>
      <c r="R428" s="47">
        <v>32</v>
      </c>
      <c r="S428" s="48">
        <v>19.899999999999999</v>
      </c>
      <c r="T428" s="48">
        <v>8.4</v>
      </c>
      <c r="U428" s="47">
        <v>32</v>
      </c>
      <c r="V428" s="47">
        <v>19.8</v>
      </c>
      <c r="W428" s="48">
        <v>7.1</v>
      </c>
      <c r="X428" s="130">
        <f t="shared" si="71"/>
        <v>-9.9999999999997868E-2</v>
      </c>
      <c r="Y428" s="16">
        <f t="shared" si="72"/>
        <v>1.3843996893960933</v>
      </c>
      <c r="Z428" s="15">
        <f t="shared" si="75"/>
        <v>-1.3999999999999986</v>
      </c>
      <c r="AA428" s="16">
        <f t="shared" si="76"/>
        <v>46.265238095238097</v>
      </c>
      <c r="AB428" s="16">
        <f t="shared" si="77"/>
        <v>1.6875324004157972</v>
      </c>
      <c r="AC428" s="66" t="s">
        <v>49</v>
      </c>
      <c r="AD428" s="51" t="s">
        <v>385</v>
      </c>
      <c r="AE428" s="13">
        <v>12</v>
      </c>
      <c r="AF428" s="13">
        <v>2</v>
      </c>
      <c r="AG428" s="13">
        <v>60</v>
      </c>
      <c r="AH428" s="13" t="s">
        <v>386</v>
      </c>
      <c r="AI428" s="13">
        <v>3.9</v>
      </c>
      <c r="AJ428" s="135">
        <f t="shared" si="73"/>
        <v>234</v>
      </c>
      <c r="AK428" s="136">
        <f t="shared" si="74"/>
        <v>468</v>
      </c>
      <c r="AL428" s="136" t="str" cm="1">
        <f t="array" ref="AL428">_xlfn.IFS(
AI428&lt;3,"Ligera",
AI428&lt;=6,"Moderada",
AI428&gt;6,"Vigorosa"
)</f>
        <v>Moderada</v>
      </c>
      <c r="AM428" s="45" t="s">
        <v>48</v>
      </c>
      <c r="AN428" s="289" t="s">
        <v>60</v>
      </c>
      <c r="AO428" s="46" t="s">
        <v>61</v>
      </c>
      <c r="AP428" s="289" t="s">
        <v>62</v>
      </c>
      <c r="AQ428" s="139">
        <v>0</v>
      </c>
    </row>
    <row r="429" spans="1:43" ht="60" customHeight="1" thickBot="1">
      <c r="A429" s="138" t="s">
        <v>383</v>
      </c>
      <c r="B429" s="12">
        <v>81</v>
      </c>
      <c r="C429" s="12">
        <v>83.8</v>
      </c>
      <c r="D429" s="12">
        <v>32.5</v>
      </c>
      <c r="E429" s="12" t="s">
        <v>45</v>
      </c>
      <c r="F429" s="12" t="s">
        <v>45</v>
      </c>
      <c r="G429" s="12" t="s">
        <v>46</v>
      </c>
      <c r="H429" s="12"/>
      <c r="I429" s="12" t="s">
        <v>45</v>
      </c>
      <c r="J429" s="12" t="s">
        <v>47</v>
      </c>
      <c r="K429" s="12" t="s">
        <v>49</v>
      </c>
      <c r="L429" s="12" t="s">
        <v>49</v>
      </c>
      <c r="M429" s="11" t="s">
        <v>56</v>
      </c>
      <c r="N429" s="11" t="s">
        <v>162</v>
      </c>
      <c r="O429" s="11" t="s">
        <v>163</v>
      </c>
      <c r="P429" s="11" t="s">
        <v>94</v>
      </c>
      <c r="Q429" s="50" t="s">
        <v>136</v>
      </c>
      <c r="R429" s="47">
        <v>33</v>
      </c>
      <c r="S429" s="48">
        <v>12.7</v>
      </c>
      <c r="T429" s="48">
        <v>4.3</v>
      </c>
      <c r="U429" s="47">
        <v>33</v>
      </c>
      <c r="V429" s="47">
        <v>12.5</v>
      </c>
      <c r="W429" s="48">
        <v>4.4000000000000004</v>
      </c>
      <c r="X429" s="130">
        <f t="shared" si="71"/>
        <v>-0.19999999999999929</v>
      </c>
      <c r="Y429" s="16">
        <f t="shared" si="72"/>
        <v>0.75738785548512966</v>
      </c>
      <c r="Z429" s="286" t="s">
        <v>53</v>
      </c>
      <c r="AA429" s="286" t="s">
        <v>53</v>
      </c>
      <c r="AB429" s="287">
        <v>0.75738785548512966</v>
      </c>
      <c r="AC429" s="66" t="s">
        <v>49</v>
      </c>
      <c r="AD429" s="51" t="s">
        <v>384</v>
      </c>
      <c r="AE429" s="13">
        <v>12</v>
      </c>
      <c r="AF429" s="13">
        <v>5</v>
      </c>
      <c r="AG429" s="13">
        <v>20</v>
      </c>
      <c r="AH429" s="134">
        <v>1715360</v>
      </c>
      <c r="AI429" s="134">
        <v>3.8</v>
      </c>
      <c r="AJ429" s="135">
        <f t="shared" si="73"/>
        <v>76</v>
      </c>
      <c r="AK429" s="136">
        <f t="shared" si="74"/>
        <v>380</v>
      </c>
      <c r="AL429" s="136" t="str" cm="1">
        <f t="array" ref="AL429">_xlfn.IFS(
AI429&lt;3,"Ligera",
AI429&lt;=6,"Moderada",
AI429&gt;6,"Vigorosa"
)</f>
        <v>Moderada</v>
      </c>
      <c r="AM429" s="45" t="s">
        <v>48</v>
      </c>
      <c r="AN429" s="289" t="s">
        <v>60</v>
      </c>
      <c r="AO429" s="46" t="s">
        <v>255</v>
      </c>
      <c r="AP429" s="289" t="s">
        <v>62</v>
      </c>
      <c r="AQ429" s="139">
        <v>0</v>
      </c>
    </row>
    <row r="430" spans="1:43" ht="55.5" customHeight="1" thickBot="1">
      <c r="A430" s="138" t="s">
        <v>383</v>
      </c>
      <c r="B430" s="12">
        <v>81</v>
      </c>
      <c r="C430" s="12">
        <v>84.7</v>
      </c>
      <c r="D430" s="12">
        <v>36.6</v>
      </c>
      <c r="E430" s="12" t="s">
        <v>45</v>
      </c>
      <c r="F430" s="12" t="s">
        <v>45</v>
      </c>
      <c r="G430" s="12" t="s">
        <v>46</v>
      </c>
      <c r="H430" s="12"/>
      <c r="I430" s="12" t="s">
        <v>45</v>
      </c>
      <c r="J430" s="12" t="s">
        <v>47</v>
      </c>
      <c r="K430" s="12" t="s">
        <v>49</v>
      </c>
      <c r="L430" s="12" t="s">
        <v>49</v>
      </c>
      <c r="M430" s="11" t="s">
        <v>56</v>
      </c>
      <c r="N430" s="11" t="s">
        <v>76</v>
      </c>
      <c r="O430" s="11" t="s">
        <v>77</v>
      </c>
      <c r="P430" s="11" t="s">
        <v>94</v>
      </c>
      <c r="Q430" s="50" t="s">
        <v>136</v>
      </c>
      <c r="R430" s="47">
        <v>32</v>
      </c>
      <c r="S430" s="48">
        <v>12.1</v>
      </c>
      <c r="T430" s="48">
        <v>4.5</v>
      </c>
      <c r="U430" s="47">
        <v>32</v>
      </c>
      <c r="V430" s="47">
        <v>12.8</v>
      </c>
      <c r="W430" s="48">
        <v>4.8</v>
      </c>
      <c r="X430" s="130">
        <f t="shared" si="71"/>
        <v>0.70000000000000107</v>
      </c>
      <c r="Y430" s="16">
        <f t="shared" si="72"/>
        <v>0.82329369000375563</v>
      </c>
      <c r="Z430" s="15">
        <f t="shared" si="75"/>
        <v>0.90000000000000036</v>
      </c>
      <c r="AA430" s="16">
        <f t="shared" si="76"/>
        <v>21.170793650793655</v>
      </c>
      <c r="AB430" s="16">
        <f t="shared" si="77"/>
        <v>1.1415456640566348</v>
      </c>
      <c r="AC430" s="66" t="s">
        <v>49</v>
      </c>
      <c r="AD430" s="51" t="s">
        <v>385</v>
      </c>
      <c r="AE430" s="13">
        <v>12</v>
      </c>
      <c r="AF430" s="13">
        <v>2</v>
      </c>
      <c r="AG430" s="13">
        <v>60</v>
      </c>
      <c r="AH430" s="13" t="s">
        <v>386</v>
      </c>
      <c r="AI430" s="13">
        <v>3.9</v>
      </c>
      <c r="AJ430" s="135">
        <f t="shared" si="73"/>
        <v>234</v>
      </c>
      <c r="AK430" s="136">
        <f t="shared" si="74"/>
        <v>468</v>
      </c>
      <c r="AL430" s="136" t="str" cm="1">
        <f t="array" ref="AL430">_xlfn.IFS(
AI430&lt;3,"Ligera",
AI430&lt;=6,"Moderada",
AI430&gt;6,"Vigorosa"
)</f>
        <v>Moderada</v>
      </c>
      <c r="AM430" s="45" t="s">
        <v>48</v>
      </c>
      <c r="AN430" s="289" t="s">
        <v>60</v>
      </c>
      <c r="AO430" s="46" t="s">
        <v>61</v>
      </c>
      <c r="AP430" s="289" t="s">
        <v>62</v>
      </c>
      <c r="AQ430" s="139">
        <v>0</v>
      </c>
    </row>
    <row r="431" spans="1:43" ht="59.25" customHeight="1" thickBot="1">
      <c r="A431" s="124" t="s">
        <v>388</v>
      </c>
      <c r="B431" s="125">
        <v>40</v>
      </c>
      <c r="C431" s="125">
        <v>79.3</v>
      </c>
      <c r="D431" s="125">
        <v>30</v>
      </c>
      <c r="E431" s="125" t="s">
        <v>45</v>
      </c>
      <c r="F431" s="125" t="s">
        <v>45</v>
      </c>
      <c r="G431" s="125" t="s">
        <v>389</v>
      </c>
      <c r="H431" s="125"/>
      <c r="I431" s="125" t="s">
        <v>45</v>
      </c>
      <c r="J431" s="125" t="s">
        <v>47</v>
      </c>
      <c r="K431" s="125" t="s">
        <v>49</v>
      </c>
      <c r="L431" s="125" t="s">
        <v>49</v>
      </c>
      <c r="M431" s="126" t="s">
        <v>50</v>
      </c>
      <c r="N431" s="126" t="s">
        <v>50</v>
      </c>
      <c r="O431" s="126" t="s">
        <v>50</v>
      </c>
      <c r="P431" s="126" t="s">
        <v>51</v>
      </c>
      <c r="Q431" s="159" t="s">
        <v>124</v>
      </c>
      <c r="R431" s="167">
        <v>20</v>
      </c>
      <c r="S431" s="168">
        <v>29</v>
      </c>
      <c r="T431" s="168">
        <v>16.75</v>
      </c>
      <c r="U431" s="168">
        <v>20</v>
      </c>
      <c r="V431" s="167">
        <v>31.45</v>
      </c>
      <c r="W431" s="168">
        <v>18.09</v>
      </c>
      <c r="X431" s="130">
        <f t="shared" si="71"/>
        <v>2.4499999999999993</v>
      </c>
      <c r="Y431" s="16">
        <f t="shared" si="72"/>
        <v>3.9038641113645336</v>
      </c>
      <c r="Z431" s="286" t="s">
        <v>53</v>
      </c>
      <c r="AA431" s="286" t="s">
        <v>53</v>
      </c>
      <c r="AB431" s="287">
        <v>3.9038641113645336</v>
      </c>
      <c r="AC431" s="66" t="s">
        <v>48</v>
      </c>
      <c r="AD431" s="133" t="s">
        <v>390</v>
      </c>
      <c r="AE431" s="134">
        <v>8</v>
      </c>
      <c r="AF431" s="134">
        <v>0</v>
      </c>
      <c r="AG431" s="134">
        <v>0</v>
      </c>
      <c r="AH431" s="134">
        <v>0</v>
      </c>
      <c r="AI431" s="134">
        <v>0</v>
      </c>
      <c r="AJ431" s="135">
        <f t="shared" si="73"/>
        <v>0</v>
      </c>
      <c r="AK431" s="136">
        <f t="shared" si="74"/>
        <v>0</v>
      </c>
      <c r="AL431" s="136" t="str" cm="1">
        <f t="array" ref="AL431">_xlfn.IFS(
AI431&lt;3,"Ligera",
AI431&lt;=6,"Moderada",
AI431&gt;6,"Vigorosa"
)</f>
        <v>Ligera</v>
      </c>
      <c r="AM431" s="136" t="s">
        <v>49</v>
      </c>
      <c r="AN431" s="288" t="s">
        <v>49</v>
      </c>
      <c r="AO431" s="135" t="s">
        <v>49</v>
      </c>
      <c r="AP431" s="288" t="s">
        <v>49</v>
      </c>
      <c r="AQ431" s="137">
        <v>0</v>
      </c>
    </row>
    <row r="432" spans="1:43" ht="59.25" customHeight="1" thickBot="1">
      <c r="A432" s="138" t="s">
        <v>388</v>
      </c>
      <c r="B432" s="12">
        <v>40</v>
      </c>
      <c r="C432" s="12">
        <v>79.599999999999994</v>
      </c>
      <c r="D432" s="12">
        <v>35</v>
      </c>
      <c r="E432" s="12" t="s">
        <v>45</v>
      </c>
      <c r="F432" s="12" t="s">
        <v>45</v>
      </c>
      <c r="G432" s="12" t="s">
        <v>389</v>
      </c>
      <c r="H432" s="12"/>
      <c r="I432" s="12" t="s">
        <v>45</v>
      </c>
      <c r="J432" s="12" t="s">
        <v>47</v>
      </c>
      <c r="K432" s="12" t="s">
        <v>49</v>
      </c>
      <c r="L432" s="12" t="s">
        <v>49</v>
      </c>
      <c r="M432" s="11" t="s">
        <v>56</v>
      </c>
      <c r="N432" s="11" t="s">
        <v>76</v>
      </c>
      <c r="O432" s="11" t="s">
        <v>103</v>
      </c>
      <c r="P432" s="11" t="s">
        <v>51</v>
      </c>
      <c r="Q432" s="50" t="s">
        <v>124</v>
      </c>
      <c r="R432" s="47">
        <v>20</v>
      </c>
      <c r="S432" s="48">
        <v>29.7</v>
      </c>
      <c r="T432" s="48">
        <v>18.46</v>
      </c>
      <c r="U432" s="48">
        <v>20</v>
      </c>
      <c r="V432" s="47">
        <v>28.45</v>
      </c>
      <c r="W432" s="48">
        <v>17.62</v>
      </c>
      <c r="X432" s="130">
        <f t="shared" si="71"/>
        <v>-1.25</v>
      </c>
      <c r="Y432" s="16">
        <f t="shared" si="72"/>
        <v>4.0371450308355286</v>
      </c>
      <c r="Z432" s="15">
        <f t="shared" si="75"/>
        <v>-3.6999999999999993</v>
      </c>
      <c r="AA432" s="16">
        <f t="shared" si="76"/>
        <v>318.85625000000005</v>
      </c>
      <c r="AB432" s="16">
        <f t="shared" si="77"/>
        <v>5.6467357827332423</v>
      </c>
      <c r="AC432" s="66" t="s">
        <v>48</v>
      </c>
      <c r="AD432" s="51" t="s">
        <v>391</v>
      </c>
      <c r="AE432" s="13">
        <v>8</v>
      </c>
      <c r="AF432" s="13">
        <v>2</v>
      </c>
      <c r="AG432" s="13">
        <v>50</v>
      </c>
      <c r="AH432" s="134" t="s">
        <v>392</v>
      </c>
      <c r="AI432" s="134">
        <v>3.43</v>
      </c>
      <c r="AJ432" s="135">
        <v>163</v>
      </c>
      <c r="AK432" s="136">
        <f t="shared" si="74"/>
        <v>326</v>
      </c>
      <c r="AL432" s="136" t="str" cm="1">
        <f t="array" ref="AL432">_xlfn.IFS(
AI432&lt;3,"Ligera",
AI432&lt;=6,"Moderada",
AI432&gt;6,"Vigorosa"
)</f>
        <v>Moderada</v>
      </c>
      <c r="AM432" s="45" t="s">
        <v>48</v>
      </c>
      <c r="AN432" s="289" t="s">
        <v>60</v>
      </c>
      <c r="AO432" s="46" t="s">
        <v>61</v>
      </c>
      <c r="AP432" s="289" t="s">
        <v>155</v>
      </c>
      <c r="AQ432" s="139">
        <v>0</v>
      </c>
    </row>
    <row r="433" spans="1:43" ht="59.25" customHeight="1" thickBot="1">
      <c r="A433" s="138" t="s">
        <v>388</v>
      </c>
      <c r="B433" s="12">
        <v>40</v>
      </c>
      <c r="C433" s="12">
        <v>79.3</v>
      </c>
      <c r="D433" s="12">
        <v>30</v>
      </c>
      <c r="E433" s="12" t="s">
        <v>45</v>
      </c>
      <c r="F433" s="12" t="s">
        <v>45</v>
      </c>
      <c r="G433" s="12" t="s">
        <v>389</v>
      </c>
      <c r="H433" s="12"/>
      <c r="I433" s="12" t="s">
        <v>45</v>
      </c>
      <c r="J433" s="12" t="s">
        <v>47</v>
      </c>
      <c r="K433" s="12" t="s">
        <v>49</v>
      </c>
      <c r="L433" s="12" t="s">
        <v>49</v>
      </c>
      <c r="M433" s="11" t="s">
        <v>50</v>
      </c>
      <c r="N433" s="11" t="s">
        <v>50</v>
      </c>
      <c r="O433" s="11" t="s">
        <v>50</v>
      </c>
      <c r="P433" s="11" t="s">
        <v>86</v>
      </c>
      <c r="Q433" s="50" t="s">
        <v>87</v>
      </c>
      <c r="R433" s="47">
        <v>20</v>
      </c>
      <c r="S433" s="48">
        <v>33.950000000000003</v>
      </c>
      <c r="T433" s="48">
        <v>9.25</v>
      </c>
      <c r="U433" s="48">
        <v>20</v>
      </c>
      <c r="V433" s="47">
        <v>32.450000000000003</v>
      </c>
      <c r="W433" s="48">
        <v>8.41</v>
      </c>
      <c r="X433" s="130">
        <f t="shared" si="71"/>
        <v>-1.5</v>
      </c>
      <c r="Y433" s="16">
        <f t="shared" si="72"/>
        <v>1.9811372996337224</v>
      </c>
      <c r="Z433" s="286" t="s">
        <v>53</v>
      </c>
      <c r="AA433" s="286" t="s">
        <v>53</v>
      </c>
      <c r="AB433" s="287">
        <v>1.9811372996337224</v>
      </c>
      <c r="AC433" s="66" t="s">
        <v>49</v>
      </c>
      <c r="AD433" s="51" t="s">
        <v>390</v>
      </c>
      <c r="AE433" s="13">
        <v>8</v>
      </c>
      <c r="AF433" s="13">
        <v>0</v>
      </c>
      <c r="AG433" s="13">
        <v>0</v>
      </c>
      <c r="AH433" s="134">
        <v>0</v>
      </c>
      <c r="AI433" s="134">
        <v>0</v>
      </c>
      <c r="AJ433" s="135">
        <f t="shared" si="73"/>
        <v>0</v>
      </c>
      <c r="AK433" s="136">
        <f t="shared" si="74"/>
        <v>0</v>
      </c>
      <c r="AL433" s="136" t="str" cm="1">
        <f t="array" ref="AL433">_xlfn.IFS(
AI433&lt;3,"Ligera",
AI433&lt;=6,"Moderada",
AI433&gt;6,"Vigorosa"
)</f>
        <v>Ligera</v>
      </c>
      <c r="AM433" s="45" t="s">
        <v>49</v>
      </c>
      <c r="AN433" s="289" t="s">
        <v>49</v>
      </c>
      <c r="AO433" s="46" t="s">
        <v>49</v>
      </c>
      <c r="AP433" s="289" t="s">
        <v>49</v>
      </c>
      <c r="AQ433" s="139">
        <v>0</v>
      </c>
    </row>
    <row r="434" spans="1:43" ht="59.25" customHeight="1" thickBot="1">
      <c r="A434" s="140" t="s">
        <v>388</v>
      </c>
      <c r="B434" s="141">
        <v>40</v>
      </c>
      <c r="C434" s="141">
        <v>79.599999999999994</v>
      </c>
      <c r="D434" s="141">
        <v>35</v>
      </c>
      <c r="E434" s="141" t="s">
        <v>45</v>
      </c>
      <c r="F434" s="141" t="s">
        <v>45</v>
      </c>
      <c r="G434" s="141" t="s">
        <v>389</v>
      </c>
      <c r="H434" s="141"/>
      <c r="I434" s="141" t="s">
        <v>45</v>
      </c>
      <c r="J434" s="141" t="s">
        <v>47</v>
      </c>
      <c r="K434" s="141" t="s">
        <v>49</v>
      </c>
      <c r="L434" s="141" t="s">
        <v>49</v>
      </c>
      <c r="M434" s="142" t="s">
        <v>56</v>
      </c>
      <c r="N434" s="142" t="s">
        <v>76</v>
      </c>
      <c r="O434" s="142" t="s">
        <v>103</v>
      </c>
      <c r="P434" s="11" t="s">
        <v>86</v>
      </c>
      <c r="Q434" s="158" t="s">
        <v>87</v>
      </c>
      <c r="R434" s="169">
        <v>20</v>
      </c>
      <c r="S434" s="170">
        <v>38.200000000000003</v>
      </c>
      <c r="T434" s="170">
        <v>9.25</v>
      </c>
      <c r="U434" s="170">
        <v>20</v>
      </c>
      <c r="V434" s="169">
        <v>40.299999999999997</v>
      </c>
      <c r="W434" s="170">
        <v>8.74</v>
      </c>
      <c r="X434" s="130">
        <f t="shared" si="71"/>
        <v>2.0999999999999943</v>
      </c>
      <c r="Y434" s="16">
        <f t="shared" si="72"/>
        <v>2.0137663717521952</v>
      </c>
      <c r="Z434" s="15">
        <f t="shared" si="75"/>
        <v>3.5999999999999943</v>
      </c>
      <c r="AA434" s="16">
        <f t="shared" si="76"/>
        <v>73.557850000000002</v>
      </c>
      <c r="AB434" s="16">
        <f t="shared" si="77"/>
        <v>2.7121550471903335</v>
      </c>
      <c r="AC434" s="66" t="s">
        <v>49</v>
      </c>
      <c r="AD434" s="151" t="s">
        <v>391</v>
      </c>
      <c r="AE434" s="146">
        <v>8</v>
      </c>
      <c r="AF434" s="146">
        <v>2</v>
      </c>
      <c r="AG434" s="146">
        <v>50</v>
      </c>
      <c r="AH434" s="134" t="s">
        <v>392</v>
      </c>
      <c r="AI434" s="134">
        <v>3.43</v>
      </c>
      <c r="AJ434" s="135">
        <v>163</v>
      </c>
      <c r="AK434" s="136">
        <f t="shared" si="74"/>
        <v>326</v>
      </c>
      <c r="AL434" s="136" t="str" cm="1">
        <f t="array" ref="AL434">_xlfn.IFS(
AI434&lt;3,"Ligera",
AI434&lt;=6,"Moderada",
AI434&gt;6,"Vigorosa"
)</f>
        <v>Moderada</v>
      </c>
      <c r="AM434" s="147" t="s">
        <v>48</v>
      </c>
      <c r="AN434" s="290" t="s">
        <v>60</v>
      </c>
      <c r="AO434" s="148" t="s">
        <v>61</v>
      </c>
      <c r="AP434" s="290" t="s">
        <v>155</v>
      </c>
      <c r="AQ434" s="149">
        <v>0</v>
      </c>
    </row>
    <row r="435" spans="1:43" ht="59.25" customHeight="1" thickBot="1">
      <c r="A435" s="124" t="s">
        <v>393</v>
      </c>
      <c r="B435" s="125">
        <v>40</v>
      </c>
      <c r="C435" s="125">
        <v>79.3</v>
      </c>
      <c r="D435" s="125">
        <v>30</v>
      </c>
      <c r="E435" s="125" t="s">
        <v>45</v>
      </c>
      <c r="F435" s="125" t="s">
        <v>45</v>
      </c>
      <c r="G435" s="125" t="s">
        <v>389</v>
      </c>
      <c r="H435" s="125"/>
      <c r="I435" s="125" t="s">
        <v>45</v>
      </c>
      <c r="J435" s="125" t="s">
        <v>47</v>
      </c>
      <c r="K435" s="125" t="s">
        <v>49</v>
      </c>
      <c r="L435" s="125" t="s">
        <v>49</v>
      </c>
      <c r="M435" s="126" t="s">
        <v>50</v>
      </c>
      <c r="N435" s="126" t="s">
        <v>50</v>
      </c>
      <c r="O435" s="126" t="s">
        <v>50</v>
      </c>
      <c r="P435" s="126" t="s">
        <v>51</v>
      </c>
      <c r="Q435" s="159" t="s">
        <v>92</v>
      </c>
      <c r="R435" s="167">
        <v>20</v>
      </c>
      <c r="S435" s="168">
        <v>18</v>
      </c>
      <c r="T435" s="168">
        <v>5.0999999999999996</v>
      </c>
      <c r="U435" s="168">
        <v>20</v>
      </c>
      <c r="V435" s="167">
        <v>16.899999999999999</v>
      </c>
      <c r="W435" s="168">
        <v>4.8</v>
      </c>
      <c r="X435" s="130">
        <f t="shared" si="71"/>
        <v>-1.1000000000000014</v>
      </c>
      <c r="Y435" s="16">
        <f t="shared" si="72"/>
        <v>1.1083771921146699</v>
      </c>
      <c r="Z435" s="286" t="s">
        <v>53</v>
      </c>
      <c r="AA435" s="286" t="s">
        <v>53</v>
      </c>
      <c r="AB435" s="287">
        <v>1.1083771921146699</v>
      </c>
      <c r="AC435" s="66" t="s">
        <v>49</v>
      </c>
      <c r="AD435" s="133" t="s">
        <v>390</v>
      </c>
      <c r="AE435" s="134">
        <v>8</v>
      </c>
      <c r="AF435" s="134">
        <v>0</v>
      </c>
      <c r="AG435" s="134">
        <v>0</v>
      </c>
      <c r="AH435" s="134">
        <v>0</v>
      </c>
      <c r="AI435" s="134">
        <v>0</v>
      </c>
      <c r="AJ435" s="135">
        <f t="shared" si="73"/>
        <v>0</v>
      </c>
      <c r="AK435" s="136">
        <f t="shared" si="74"/>
        <v>0</v>
      </c>
      <c r="AL435" s="136" t="str" cm="1">
        <f t="array" ref="AL435">_xlfn.IFS(
AI435&lt;3,"Ligera",
AI435&lt;=6,"Moderada",
AI435&gt;6,"Vigorosa"
)</f>
        <v>Ligera</v>
      </c>
      <c r="AM435" s="136" t="s">
        <v>49</v>
      </c>
      <c r="AN435" s="288" t="s">
        <v>49</v>
      </c>
      <c r="AO435" s="135" t="s">
        <v>49</v>
      </c>
      <c r="AP435" s="288" t="s">
        <v>49</v>
      </c>
      <c r="AQ435" s="137">
        <v>0</v>
      </c>
    </row>
    <row r="436" spans="1:43" ht="59.25" customHeight="1" thickBot="1">
      <c r="A436" s="138" t="s">
        <v>393</v>
      </c>
      <c r="B436" s="12">
        <v>40</v>
      </c>
      <c r="C436" s="12">
        <v>79.599999999999994</v>
      </c>
      <c r="D436" s="12">
        <v>35</v>
      </c>
      <c r="E436" s="12" t="s">
        <v>45</v>
      </c>
      <c r="F436" s="12" t="s">
        <v>45</v>
      </c>
      <c r="G436" s="12" t="s">
        <v>389</v>
      </c>
      <c r="H436" s="12"/>
      <c r="I436" s="12" t="s">
        <v>45</v>
      </c>
      <c r="J436" s="12" t="s">
        <v>47</v>
      </c>
      <c r="K436" s="12" t="s">
        <v>49</v>
      </c>
      <c r="L436" s="12" t="s">
        <v>49</v>
      </c>
      <c r="M436" s="11" t="s">
        <v>56</v>
      </c>
      <c r="N436" s="11" t="s">
        <v>76</v>
      </c>
      <c r="O436" s="11" t="s">
        <v>103</v>
      </c>
      <c r="P436" s="11" t="s">
        <v>51</v>
      </c>
      <c r="Q436" s="50" t="s">
        <v>92</v>
      </c>
      <c r="R436" s="47">
        <v>20</v>
      </c>
      <c r="S436" s="48">
        <v>19.899999999999999</v>
      </c>
      <c r="T436" s="48">
        <v>7.2</v>
      </c>
      <c r="U436" s="48">
        <v>20</v>
      </c>
      <c r="V436" s="47">
        <v>20.7</v>
      </c>
      <c r="W436" s="48">
        <v>7.2</v>
      </c>
      <c r="X436" s="130">
        <f t="shared" si="71"/>
        <v>0.80000000000000071</v>
      </c>
      <c r="Y436" s="16">
        <f t="shared" si="72"/>
        <v>1.6099689437998486</v>
      </c>
      <c r="Z436" s="15">
        <f t="shared" si="75"/>
        <v>1.9000000000000021</v>
      </c>
      <c r="AA436" s="16">
        <f t="shared" si="76"/>
        <v>37.44</v>
      </c>
      <c r="AB436" s="16">
        <f t="shared" si="77"/>
        <v>1.9349418595916519</v>
      </c>
      <c r="AC436" s="66" t="s">
        <v>49</v>
      </c>
      <c r="AD436" s="51" t="s">
        <v>391</v>
      </c>
      <c r="AE436" s="13">
        <v>8</v>
      </c>
      <c r="AF436" s="13">
        <v>2</v>
      </c>
      <c r="AG436" s="13">
        <v>50</v>
      </c>
      <c r="AH436" s="134" t="s">
        <v>392</v>
      </c>
      <c r="AI436" s="134">
        <v>3.43</v>
      </c>
      <c r="AJ436" s="135">
        <v>163</v>
      </c>
      <c r="AK436" s="136">
        <f t="shared" si="74"/>
        <v>326</v>
      </c>
      <c r="AL436" s="136" t="str" cm="1">
        <f t="array" ref="AL436">_xlfn.IFS(
AI436&lt;3,"Ligera",
AI436&lt;=6,"Moderada",
AI436&gt;6,"Vigorosa"
)</f>
        <v>Moderada</v>
      </c>
      <c r="AM436" s="45" t="s">
        <v>48</v>
      </c>
      <c r="AN436" s="289" t="s">
        <v>60</v>
      </c>
      <c r="AO436" s="46" t="s">
        <v>61</v>
      </c>
      <c r="AP436" s="289" t="s">
        <v>155</v>
      </c>
      <c r="AQ436" s="139">
        <v>0</v>
      </c>
    </row>
    <row r="437" spans="1:43" ht="59.25" customHeight="1" thickBot="1">
      <c r="A437" s="138" t="s">
        <v>393</v>
      </c>
      <c r="B437" s="12">
        <v>40</v>
      </c>
      <c r="C437" s="12">
        <v>79.3</v>
      </c>
      <c r="D437" s="12">
        <v>30</v>
      </c>
      <c r="E437" s="12" t="s">
        <v>45</v>
      </c>
      <c r="F437" s="12" t="s">
        <v>45</v>
      </c>
      <c r="G437" s="12" t="s">
        <v>389</v>
      </c>
      <c r="H437" s="12"/>
      <c r="I437" s="12" t="s">
        <v>45</v>
      </c>
      <c r="J437" s="12" t="s">
        <v>47</v>
      </c>
      <c r="K437" s="12" t="s">
        <v>49</v>
      </c>
      <c r="L437" s="12" t="s">
        <v>49</v>
      </c>
      <c r="M437" s="11" t="s">
        <v>50</v>
      </c>
      <c r="N437" s="11" t="s">
        <v>50</v>
      </c>
      <c r="O437" s="11" t="s">
        <v>50</v>
      </c>
      <c r="P437" s="11" t="s">
        <v>51</v>
      </c>
      <c r="Q437" s="50" t="s">
        <v>149</v>
      </c>
      <c r="R437" s="47">
        <v>20</v>
      </c>
      <c r="S437" s="48">
        <v>59.3</v>
      </c>
      <c r="T437" s="48">
        <v>7.5</v>
      </c>
      <c r="U437" s="48">
        <v>20</v>
      </c>
      <c r="V437" s="47">
        <v>61.6</v>
      </c>
      <c r="W437" s="48">
        <v>8</v>
      </c>
      <c r="X437" s="130">
        <f t="shared" si="71"/>
        <v>2.3000000000000043</v>
      </c>
      <c r="Y437" s="16">
        <f t="shared" si="72"/>
        <v>1.7356554957709782</v>
      </c>
      <c r="Z437" s="286" t="s">
        <v>53</v>
      </c>
      <c r="AA437" s="286" t="s">
        <v>53</v>
      </c>
      <c r="AB437" s="287">
        <v>1.7356554957709782</v>
      </c>
      <c r="AC437" s="66" t="s">
        <v>48</v>
      </c>
      <c r="AD437" s="51" t="s">
        <v>390</v>
      </c>
      <c r="AE437" s="13">
        <v>8</v>
      </c>
      <c r="AF437" s="13">
        <v>0</v>
      </c>
      <c r="AG437" s="13">
        <v>0</v>
      </c>
      <c r="AH437" s="134">
        <v>0</v>
      </c>
      <c r="AI437" s="134">
        <v>0</v>
      </c>
      <c r="AJ437" s="135">
        <f t="shared" si="73"/>
        <v>0</v>
      </c>
      <c r="AK437" s="136">
        <f t="shared" si="74"/>
        <v>0</v>
      </c>
      <c r="AL437" s="136" t="str" cm="1">
        <f t="array" ref="AL437">_xlfn.IFS(
AI437&lt;3,"Ligera",
AI437&lt;=6,"Moderada",
AI437&gt;6,"Vigorosa"
)</f>
        <v>Ligera</v>
      </c>
      <c r="AM437" s="45" t="s">
        <v>49</v>
      </c>
      <c r="AN437" s="289" t="s">
        <v>49</v>
      </c>
      <c r="AO437" s="46" t="s">
        <v>49</v>
      </c>
      <c r="AP437" s="289" t="s">
        <v>49</v>
      </c>
      <c r="AQ437" s="139">
        <v>0</v>
      </c>
    </row>
    <row r="438" spans="1:43" ht="59.25" customHeight="1" thickBot="1">
      <c r="A438" s="138" t="s">
        <v>393</v>
      </c>
      <c r="B438" s="12">
        <v>40</v>
      </c>
      <c r="C438" s="12">
        <v>79.599999999999994</v>
      </c>
      <c r="D438" s="12">
        <v>35</v>
      </c>
      <c r="E438" s="12" t="s">
        <v>45</v>
      </c>
      <c r="F438" s="12" t="s">
        <v>45</v>
      </c>
      <c r="G438" s="12" t="s">
        <v>389</v>
      </c>
      <c r="H438" s="12"/>
      <c r="I438" s="12" t="s">
        <v>45</v>
      </c>
      <c r="J438" s="12" t="s">
        <v>47</v>
      </c>
      <c r="K438" s="12" t="s">
        <v>49</v>
      </c>
      <c r="L438" s="12" t="s">
        <v>49</v>
      </c>
      <c r="M438" s="11" t="s">
        <v>56</v>
      </c>
      <c r="N438" s="11" t="s">
        <v>76</v>
      </c>
      <c r="O438" s="11" t="s">
        <v>103</v>
      </c>
      <c r="P438" s="11" t="s">
        <v>51</v>
      </c>
      <c r="Q438" s="50" t="s">
        <v>149</v>
      </c>
      <c r="R438" s="47">
        <v>20</v>
      </c>
      <c r="S438" s="48">
        <v>61.7</v>
      </c>
      <c r="T438" s="48">
        <v>7.3</v>
      </c>
      <c r="U438" s="48">
        <v>20</v>
      </c>
      <c r="V438" s="47">
        <v>59.5</v>
      </c>
      <c r="W438" s="48">
        <v>7.2</v>
      </c>
      <c r="X438" s="130">
        <f t="shared" si="71"/>
        <v>-2.2000000000000028</v>
      </c>
      <c r="Y438" s="16">
        <f t="shared" si="72"/>
        <v>1.6212649382503772</v>
      </c>
      <c r="Z438" s="15">
        <f t="shared" si="75"/>
        <v>-4.5000000000000071</v>
      </c>
      <c r="AA438" s="16">
        <f t="shared" si="76"/>
        <v>57.92</v>
      </c>
      <c r="AB438" s="16">
        <f t="shared" si="77"/>
        <v>2.4066574330386117</v>
      </c>
      <c r="AC438" s="66" t="s">
        <v>48</v>
      </c>
      <c r="AD438" s="51" t="s">
        <v>391</v>
      </c>
      <c r="AE438" s="13">
        <v>8</v>
      </c>
      <c r="AF438" s="13">
        <v>2</v>
      </c>
      <c r="AG438" s="13">
        <v>50</v>
      </c>
      <c r="AH438" s="134" t="s">
        <v>392</v>
      </c>
      <c r="AI438" s="134">
        <v>3.43</v>
      </c>
      <c r="AJ438" s="135">
        <v>163</v>
      </c>
      <c r="AK438" s="136">
        <f t="shared" si="74"/>
        <v>326</v>
      </c>
      <c r="AL438" s="136" t="str" cm="1">
        <f t="array" ref="AL438">_xlfn.IFS(
AI438&lt;3,"Ligera",
AI438&lt;=6,"Moderada",
AI438&gt;6,"Vigorosa"
)</f>
        <v>Moderada</v>
      </c>
      <c r="AM438" s="45" t="s">
        <v>48</v>
      </c>
      <c r="AN438" s="289" t="s">
        <v>60</v>
      </c>
      <c r="AO438" s="46" t="s">
        <v>61</v>
      </c>
      <c r="AP438" s="289" t="s">
        <v>155</v>
      </c>
      <c r="AQ438" s="139">
        <v>0</v>
      </c>
    </row>
    <row r="439" spans="1:43" ht="59.25" customHeight="1" thickBot="1">
      <c r="A439" s="138" t="s">
        <v>393</v>
      </c>
      <c r="B439" s="12">
        <v>40</v>
      </c>
      <c r="C439" s="12">
        <v>79.3</v>
      </c>
      <c r="D439" s="12">
        <v>30</v>
      </c>
      <c r="E439" s="12" t="s">
        <v>45</v>
      </c>
      <c r="F439" s="12" t="s">
        <v>45</v>
      </c>
      <c r="G439" s="12" t="s">
        <v>389</v>
      </c>
      <c r="H439" s="12"/>
      <c r="I439" s="12" t="s">
        <v>45</v>
      </c>
      <c r="J439" s="12" t="s">
        <v>47</v>
      </c>
      <c r="K439" s="12" t="s">
        <v>49</v>
      </c>
      <c r="L439" s="12" t="s">
        <v>49</v>
      </c>
      <c r="M439" s="11" t="s">
        <v>50</v>
      </c>
      <c r="N439" s="11" t="s">
        <v>50</v>
      </c>
      <c r="O439" s="11" t="s">
        <v>50</v>
      </c>
      <c r="P439" s="11" t="s">
        <v>51</v>
      </c>
      <c r="Q439" s="50" t="s">
        <v>83</v>
      </c>
      <c r="R439" s="47">
        <v>20</v>
      </c>
      <c r="S439" s="48">
        <v>6.3</v>
      </c>
      <c r="T439" s="48">
        <v>2.2999999999999998</v>
      </c>
      <c r="U439" s="63">
        <v>20</v>
      </c>
      <c r="V439" s="48">
        <v>7.3</v>
      </c>
      <c r="W439" s="47">
        <v>2</v>
      </c>
      <c r="X439" s="130">
        <f t="shared" si="71"/>
        <v>1</v>
      </c>
      <c r="Y439" s="16">
        <f t="shared" si="72"/>
        <v>0.48425200051213002</v>
      </c>
      <c r="Z439" s="286" t="s">
        <v>53</v>
      </c>
      <c r="AA439" s="286" t="s">
        <v>53</v>
      </c>
      <c r="AB439" s="287">
        <v>0.48425200051213002</v>
      </c>
      <c r="AC439" s="66" t="s">
        <v>49</v>
      </c>
      <c r="AD439" s="51" t="s">
        <v>390</v>
      </c>
      <c r="AE439" s="13">
        <v>8</v>
      </c>
      <c r="AF439" s="13">
        <v>0</v>
      </c>
      <c r="AG439" s="13">
        <v>0</v>
      </c>
      <c r="AH439" s="134">
        <v>0</v>
      </c>
      <c r="AI439" s="134">
        <v>0</v>
      </c>
      <c r="AJ439" s="135">
        <f t="shared" si="73"/>
        <v>0</v>
      </c>
      <c r="AK439" s="136">
        <f t="shared" si="74"/>
        <v>0</v>
      </c>
      <c r="AL439" s="136" t="str" cm="1">
        <f t="array" ref="AL439">_xlfn.IFS(
AI439&lt;3,"Ligera",
AI439&lt;=6,"Moderada",
AI439&gt;6,"Vigorosa"
)</f>
        <v>Ligera</v>
      </c>
      <c r="AM439" s="45" t="s">
        <v>49</v>
      </c>
      <c r="AN439" s="289" t="s">
        <v>49</v>
      </c>
      <c r="AO439" s="46" t="s">
        <v>49</v>
      </c>
      <c r="AP439" s="289" t="s">
        <v>49</v>
      </c>
      <c r="AQ439" s="139">
        <v>0</v>
      </c>
    </row>
    <row r="440" spans="1:43" ht="59.25" customHeight="1" thickBot="1">
      <c r="A440" s="140" t="s">
        <v>393</v>
      </c>
      <c r="B440" s="141">
        <v>40</v>
      </c>
      <c r="C440" s="141">
        <v>79.599999999999994</v>
      </c>
      <c r="D440" s="141">
        <v>35</v>
      </c>
      <c r="E440" s="141" t="s">
        <v>45</v>
      </c>
      <c r="F440" s="141" t="s">
        <v>45</v>
      </c>
      <c r="G440" s="141" t="s">
        <v>389</v>
      </c>
      <c r="H440" s="141"/>
      <c r="I440" s="141" t="s">
        <v>45</v>
      </c>
      <c r="J440" s="141" t="s">
        <v>47</v>
      </c>
      <c r="K440" s="141" t="s">
        <v>49</v>
      </c>
      <c r="L440" s="141" t="s">
        <v>49</v>
      </c>
      <c r="M440" s="142" t="s">
        <v>56</v>
      </c>
      <c r="N440" s="142" t="s">
        <v>76</v>
      </c>
      <c r="O440" s="142" t="s">
        <v>103</v>
      </c>
      <c r="P440" s="142" t="s">
        <v>51</v>
      </c>
      <c r="Q440" s="158" t="s">
        <v>83</v>
      </c>
      <c r="R440" s="169">
        <v>20</v>
      </c>
      <c r="S440" s="170">
        <v>4.8</v>
      </c>
      <c r="T440" s="170">
        <v>3.5</v>
      </c>
      <c r="U440" s="170">
        <v>20</v>
      </c>
      <c r="V440" s="169">
        <v>2.4</v>
      </c>
      <c r="W440" s="170">
        <v>1.1000000000000001</v>
      </c>
      <c r="X440" s="130">
        <f t="shared" si="71"/>
        <v>-2.4</v>
      </c>
      <c r="Y440" s="16">
        <f t="shared" si="72"/>
        <v>0.69318107302493481</v>
      </c>
      <c r="Z440" s="15">
        <f t="shared" si="75"/>
        <v>-3.4</v>
      </c>
      <c r="AA440" s="16">
        <f t="shared" si="76"/>
        <v>2.6050000000000004</v>
      </c>
      <c r="AB440" s="16">
        <f t="shared" si="77"/>
        <v>0.51039200620699388</v>
      </c>
      <c r="AC440" s="66" t="s">
        <v>49</v>
      </c>
      <c r="AD440" s="151" t="s">
        <v>391</v>
      </c>
      <c r="AE440" s="146">
        <v>8</v>
      </c>
      <c r="AF440" s="146">
        <v>2</v>
      </c>
      <c r="AG440" s="146">
        <v>50</v>
      </c>
      <c r="AH440" s="134" t="s">
        <v>392</v>
      </c>
      <c r="AI440" s="134">
        <v>3.43</v>
      </c>
      <c r="AJ440" s="135">
        <v>163</v>
      </c>
      <c r="AK440" s="136">
        <f t="shared" si="74"/>
        <v>326</v>
      </c>
      <c r="AL440" s="136" t="str" cm="1">
        <f t="array" ref="AL440">_xlfn.IFS(
AI440&lt;3,"Ligera",
AI440&lt;=6,"Moderada",
AI440&gt;6,"Vigorosa"
)</f>
        <v>Moderada</v>
      </c>
      <c r="AM440" s="147" t="s">
        <v>48</v>
      </c>
      <c r="AN440" s="290" t="s">
        <v>60</v>
      </c>
      <c r="AO440" s="148" t="s">
        <v>61</v>
      </c>
      <c r="AP440" s="290" t="s">
        <v>155</v>
      </c>
      <c r="AQ440" s="149">
        <v>0</v>
      </c>
    </row>
    <row r="441" spans="1:43" ht="59.25" customHeight="1" thickBot="1">
      <c r="A441" s="124" t="s">
        <v>394</v>
      </c>
      <c r="B441" s="125">
        <v>45</v>
      </c>
      <c r="C441" s="125">
        <v>82.3</v>
      </c>
      <c r="D441" s="125">
        <v>0</v>
      </c>
      <c r="E441" s="125" t="s">
        <v>45</v>
      </c>
      <c r="F441" s="125" t="s">
        <v>45</v>
      </c>
      <c r="G441" s="125" t="s">
        <v>395</v>
      </c>
      <c r="H441" s="125"/>
      <c r="I441" s="125" t="s">
        <v>45</v>
      </c>
      <c r="J441" s="125" t="s">
        <v>47</v>
      </c>
      <c r="K441" s="125" t="s">
        <v>48</v>
      </c>
      <c r="L441" s="125" t="s">
        <v>49</v>
      </c>
      <c r="M441" s="126" t="s">
        <v>50</v>
      </c>
      <c r="N441" s="126" t="s">
        <v>50</v>
      </c>
      <c r="O441" s="126" t="s">
        <v>50</v>
      </c>
      <c r="P441" s="126" t="s">
        <v>94</v>
      </c>
      <c r="Q441" s="159" t="s">
        <v>136</v>
      </c>
      <c r="R441" s="167">
        <v>21</v>
      </c>
      <c r="S441" s="168">
        <v>20.2</v>
      </c>
      <c r="T441" s="168">
        <v>2.2999999999999998</v>
      </c>
      <c r="U441" s="167">
        <v>21</v>
      </c>
      <c r="V441" s="167">
        <v>20</v>
      </c>
      <c r="W441" s="168">
        <v>2.2000000000000002</v>
      </c>
      <c r="X441" s="130">
        <f t="shared" si="71"/>
        <v>-0.19999999999999929</v>
      </c>
      <c r="Y441" s="16">
        <f t="shared" si="72"/>
        <v>0.49135381491199537</v>
      </c>
      <c r="Z441" s="286" t="s">
        <v>53</v>
      </c>
      <c r="AA441" s="286" t="s">
        <v>53</v>
      </c>
      <c r="AB441" s="287">
        <v>0.49135381491199537</v>
      </c>
      <c r="AC441" s="66" t="s">
        <v>49</v>
      </c>
      <c r="AD441" s="133" t="s">
        <v>396</v>
      </c>
      <c r="AE441" s="134">
        <v>16</v>
      </c>
      <c r="AF441" s="134">
        <v>0</v>
      </c>
      <c r="AG441" s="134">
        <v>0</v>
      </c>
      <c r="AH441" s="134">
        <v>0</v>
      </c>
      <c r="AI441" s="134">
        <v>0</v>
      </c>
      <c r="AJ441" s="135">
        <f t="shared" si="73"/>
        <v>0</v>
      </c>
      <c r="AK441" s="136">
        <f t="shared" si="74"/>
        <v>0</v>
      </c>
      <c r="AL441" s="136" t="str" cm="1">
        <f t="array" ref="AL441">_xlfn.IFS(
AI441&lt;3,"Ligera",
AI441&lt;=6,"Moderada",
AI441&gt;6,"Vigorosa"
)</f>
        <v>Ligera</v>
      </c>
      <c r="AM441" s="136" t="s">
        <v>49</v>
      </c>
      <c r="AN441" s="288" t="s">
        <v>49</v>
      </c>
      <c r="AO441" s="135" t="s">
        <v>49</v>
      </c>
      <c r="AP441" s="288" t="s">
        <v>49</v>
      </c>
      <c r="AQ441" s="137">
        <v>0</v>
      </c>
    </row>
    <row r="442" spans="1:43" ht="59.25" customHeight="1" thickBot="1">
      <c r="A442" s="138" t="s">
        <v>394</v>
      </c>
      <c r="B442" s="12">
        <v>45</v>
      </c>
      <c r="C442" s="12">
        <v>84.83</v>
      </c>
      <c r="D442" s="12">
        <v>0</v>
      </c>
      <c r="E442" s="12" t="s">
        <v>45</v>
      </c>
      <c r="F442" s="12" t="s">
        <v>45</v>
      </c>
      <c r="G442" s="12" t="s">
        <v>395</v>
      </c>
      <c r="H442" s="12"/>
      <c r="I442" s="12" t="s">
        <v>45</v>
      </c>
      <c r="J442" s="12" t="s">
        <v>47</v>
      </c>
      <c r="K442" s="12" t="s">
        <v>48</v>
      </c>
      <c r="L442" s="12" t="s">
        <v>49</v>
      </c>
      <c r="M442" s="11" t="s">
        <v>56</v>
      </c>
      <c r="N442" s="11" t="s">
        <v>76</v>
      </c>
      <c r="O442" s="11" t="s">
        <v>77</v>
      </c>
      <c r="P442" s="11" t="s">
        <v>94</v>
      </c>
      <c r="Q442" s="50" t="s">
        <v>136</v>
      </c>
      <c r="R442" s="47">
        <v>24</v>
      </c>
      <c r="S442" s="48">
        <v>19</v>
      </c>
      <c r="T442" s="48">
        <v>2.6</v>
      </c>
      <c r="U442" s="63">
        <v>24</v>
      </c>
      <c r="V442" s="47">
        <v>22.5</v>
      </c>
      <c r="W442" s="47">
        <v>2.2999999999999998</v>
      </c>
      <c r="X442" s="130">
        <f t="shared" si="71"/>
        <v>3.5</v>
      </c>
      <c r="Y442" s="16">
        <f t="shared" si="72"/>
        <v>0.50290820898715383</v>
      </c>
      <c r="Z442" s="15">
        <f t="shared" si="75"/>
        <v>3.6999999999999993</v>
      </c>
      <c r="AA442" s="16">
        <f t="shared" si="76"/>
        <v>5.0806976744186043</v>
      </c>
      <c r="AB442" s="16">
        <f t="shared" si="77"/>
        <v>0.67352336331431928</v>
      </c>
      <c r="AC442" s="66" t="s">
        <v>49</v>
      </c>
      <c r="AD442" s="51" t="s">
        <v>397</v>
      </c>
      <c r="AE442" s="13">
        <v>16</v>
      </c>
      <c r="AF442" s="13">
        <v>3</v>
      </c>
      <c r="AG442" s="13">
        <v>50</v>
      </c>
      <c r="AH442" s="134" t="s">
        <v>392</v>
      </c>
      <c r="AI442" s="134">
        <v>3.43</v>
      </c>
      <c r="AJ442" s="135">
        <v>168</v>
      </c>
      <c r="AK442" s="136">
        <f t="shared" si="74"/>
        <v>504</v>
      </c>
      <c r="AL442" s="136" t="str" cm="1">
        <f t="array" ref="AL442">_xlfn.IFS(
AI442&lt;3,"Ligera",
AI442&lt;=6,"Moderada",
AI442&gt;6,"Vigorosa"
)</f>
        <v>Moderada</v>
      </c>
      <c r="AM442" s="45" t="s">
        <v>48</v>
      </c>
      <c r="AN442" s="289" t="s">
        <v>60</v>
      </c>
      <c r="AO442" s="46" t="s">
        <v>61</v>
      </c>
      <c r="AP442" s="289" t="s">
        <v>62</v>
      </c>
      <c r="AQ442" s="139">
        <v>0</v>
      </c>
    </row>
    <row r="443" spans="1:43" ht="59.25" customHeight="1" thickBot="1">
      <c r="A443" s="138" t="s">
        <v>394</v>
      </c>
      <c r="B443" s="12">
        <v>45</v>
      </c>
      <c r="C443" s="12">
        <v>82.3</v>
      </c>
      <c r="D443" s="12">
        <v>0</v>
      </c>
      <c r="E443" s="12" t="s">
        <v>45</v>
      </c>
      <c r="F443" s="12" t="s">
        <v>45</v>
      </c>
      <c r="G443" s="12" t="s">
        <v>395</v>
      </c>
      <c r="H443" s="12"/>
      <c r="I443" s="12" t="s">
        <v>45</v>
      </c>
      <c r="J443" s="12" t="s">
        <v>47</v>
      </c>
      <c r="K443" s="12" t="s">
        <v>48</v>
      </c>
      <c r="L443" s="12" t="s">
        <v>49</v>
      </c>
      <c r="M443" s="11" t="s">
        <v>50</v>
      </c>
      <c r="N443" s="11" t="s">
        <v>50</v>
      </c>
      <c r="O443" s="11" t="s">
        <v>50</v>
      </c>
      <c r="P443" s="11" t="s">
        <v>86</v>
      </c>
      <c r="Q443" s="50" t="s">
        <v>87</v>
      </c>
      <c r="R443" s="47">
        <v>21</v>
      </c>
      <c r="S443" s="48">
        <v>42.1</v>
      </c>
      <c r="T443" s="48">
        <v>2</v>
      </c>
      <c r="U443" s="47">
        <v>21</v>
      </c>
      <c r="V443" s="47">
        <v>41.8</v>
      </c>
      <c r="W443" s="48">
        <v>1.7</v>
      </c>
      <c r="X443" s="130">
        <f t="shared" si="71"/>
        <v>-0.30000000000000426</v>
      </c>
      <c r="Y443" s="16">
        <f t="shared" si="72"/>
        <v>0.40766466144427604</v>
      </c>
      <c r="Z443" s="286" t="s">
        <v>53</v>
      </c>
      <c r="AA443" s="286" t="s">
        <v>53</v>
      </c>
      <c r="AB443" s="287">
        <v>0.40766466144427604</v>
      </c>
      <c r="AC443" s="66" t="s">
        <v>49</v>
      </c>
      <c r="AD443" s="51" t="s">
        <v>396</v>
      </c>
      <c r="AE443" s="13">
        <v>16</v>
      </c>
      <c r="AF443" s="13">
        <v>0</v>
      </c>
      <c r="AG443" s="13">
        <v>0</v>
      </c>
      <c r="AH443" s="134">
        <v>0</v>
      </c>
      <c r="AI443" s="134">
        <v>0</v>
      </c>
      <c r="AJ443" s="135">
        <f t="shared" si="73"/>
        <v>0</v>
      </c>
      <c r="AK443" s="136">
        <f t="shared" si="74"/>
        <v>0</v>
      </c>
      <c r="AL443" s="136" t="str" cm="1">
        <f t="array" ref="AL443">_xlfn.IFS(
AI443&lt;3,"Ligera",
AI443&lt;=6,"Moderada",
AI443&gt;6,"Vigorosa"
)</f>
        <v>Ligera</v>
      </c>
      <c r="AM443" s="45" t="s">
        <v>49</v>
      </c>
      <c r="AN443" s="289" t="s">
        <v>49</v>
      </c>
      <c r="AO443" s="46" t="s">
        <v>49</v>
      </c>
      <c r="AP443" s="289" t="s">
        <v>49</v>
      </c>
      <c r="AQ443" s="139">
        <v>0</v>
      </c>
    </row>
    <row r="444" spans="1:43" ht="59.25" customHeight="1" thickBot="1">
      <c r="A444" s="138" t="s">
        <v>394</v>
      </c>
      <c r="B444" s="12">
        <v>45</v>
      </c>
      <c r="C444" s="12">
        <v>84.83</v>
      </c>
      <c r="D444" s="12">
        <v>0</v>
      </c>
      <c r="E444" s="12" t="s">
        <v>45</v>
      </c>
      <c r="F444" s="12" t="s">
        <v>45</v>
      </c>
      <c r="G444" s="12" t="s">
        <v>395</v>
      </c>
      <c r="H444" s="12"/>
      <c r="I444" s="12" t="s">
        <v>45</v>
      </c>
      <c r="J444" s="12" t="s">
        <v>47</v>
      </c>
      <c r="K444" s="12" t="s">
        <v>48</v>
      </c>
      <c r="L444" s="12" t="s">
        <v>49</v>
      </c>
      <c r="M444" s="11" t="s">
        <v>56</v>
      </c>
      <c r="N444" s="11" t="s">
        <v>76</v>
      </c>
      <c r="O444" s="11" t="s">
        <v>77</v>
      </c>
      <c r="P444" s="11" t="s">
        <v>86</v>
      </c>
      <c r="Q444" s="50" t="s">
        <v>87</v>
      </c>
      <c r="R444" s="47">
        <v>24</v>
      </c>
      <c r="S444" s="48">
        <v>41.8</v>
      </c>
      <c r="T444" s="48">
        <v>2.2999999999999998</v>
      </c>
      <c r="U444" s="47">
        <v>24</v>
      </c>
      <c r="V444" s="47">
        <v>44.3</v>
      </c>
      <c r="W444" s="48">
        <v>3.3</v>
      </c>
      <c r="X444" s="130">
        <f t="shared" si="71"/>
        <v>2.5</v>
      </c>
      <c r="Y444" s="16">
        <f t="shared" si="72"/>
        <v>0.59826136985991896</v>
      </c>
      <c r="Z444" s="15">
        <f t="shared" si="75"/>
        <v>2.8000000000000043</v>
      </c>
      <c r="AA444" s="16">
        <f t="shared" si="76"/>
        <v>7.1690697674418598</v>
      </c>
      <c r="AB444" s="16">
        <f t="shared" si="77"/>
        <v>0.80005969461669912</v>
      </c>
      <c r="AC444" s="66" t="s">
        <v>49</v>
      </c>
      <c r="AD444" s="51" t="s">
        <v>397</v>
      </c>
      <c r="AE444" s="13">
        <v>16</v>
      </c>
      <c r="AF444" s="13">
        <v>3</v>
      </c>
      <c r="AG444" s="13">
        <v>50</v>
      </c>
      <c r="AH444" s="134" t="s">
        <v>392</v>
      </c>
      <c r="AI444" s="134">
        <v>3.43</v>
      </c>
      <c r="AJ444" s="135">
        <v>168</v>
      </c>
      <c r="AK444" s="136">
        <f t="shared" si="74"/>
        <v>504</v>
      </c>
      <c r="AL444" s="136" t="str" cm="1">
        <f t="array" ref="AL444">_xlfn.IFS(
AI444&lt;3,"Ligera",
AI444&lt;=6,"Moderada",
AI444&gt;6,"Vigorosa"
)</f>
        <v>Moderada</v>
      </c>
      <c r="AM444" s="45" t="s">
        <v>48</v>
      </c>
      <c r="AN444" s="289" t="s">
        <v>60</v>
      </c>
      <c r="AO444" s="46" t="s">
        <v>61</v>
      </c>
      <c r="AP444" s="289" t="s">
        <v>62</v>
      </c>
      <c r="AQ444" s="139">
        <v>0</v>
      </c>
    </row>
    <row r="445" spans="1:43" ht="59.25" customHeight="1" thickBot="1">
      <c r="A445" s="138" t="s">
        <v>394</v>
      </c>
      <c r="B445" s="12">
        <v>45</v>
      </c>
      <c r="C445" s="12">
        <v>82.3</v>
      </c>
      <c r="D445" s="12">
        <v>0</v>
      </c>
      <c r="E445" s="12" t="s">
        <v>45</v>
      </c>
      <c r="F445" s="12" t="s">
        <v>45</v>
      </c>
      <c r="G445" s="12" t="s">
        <v>395</v>
      </c>
      <c r="H445" s="12"/>
      <c r="I445" s="12" t="s">
        <v>45</v>
      </c>
      <c r="J445" s="12" t="s">
        <v>47</v>
      </c>
      <c r="K445" s="12" t="s">
        <v>48</v>
      </c>
      <c r="L445" s="12" t="s">
        <v>49</v>
      </c>
      <c r="M445" s="11" t="s">
        <v>50</v>
      </c>
      <c r="N445" s="11" t="s">
        <v>50</v>
      </c>
      <c r="O445" s="11" t="s">
        <v>50</v>
      </c>
      <c r="P445" s="11" t="s">
        <v>51</v>
      </c>
      <c r="Q445" s="50" t="s">
        <v>124</v>
      </c>
      <c r="R445" s="47">
        <v>21</v>
      </c>
      <c r="S445" s="48">
        <v>15.9</v>
      </c>
      <c r="T445" s="48">
        <v>4.5</v>
      </c>
      <c r="U445" s="47">
        <v>21</v>
      </c>
      <c r="V445" s="47">
        <v>16.399999999999999</v>
      </c>
      <c r="W445" s="48">
        <v>4.2</v>
      </c>
      <c r="X445" s="130">
        <f t="shared" si="71"/>
        <v>0.49999999999999822</v>
      </c>
      <c r="Y445" s="16">
        <f t="shared" si="72"/>
        <v>0.95093938517957821</v>
      </c>
      <c r="Z445" s="286" t="s">
        <v>53</v>
      </c>
      <c r="AA445" s="286" t="s">
        <v>53</v>
      </c>
      <c r="AB445" s="287">
        <v>0.95093938517957821</v>
      </c>
      <c r="AC445" s="66" t="s">
        <v>48</v>
      </c>
      <c r="AD445" s="51" t="s">
        <v>396</v>
      </c>
      <c r="AE445" s="13">
        <v>16</v>
      </c>
      <c r="AF445" s="13">
        <v>0</v>
      </c>
      <c r="AG445" s="13">
        <v>0</v>
      </c>
      <c r="AH445" s="134">
        <v>0</v>
      </c>
      <c r="AI445" s="134">
        <v>0</v>
      </c>
      <c r="AJ445" s="135">
        <f t="shared" si="73"/>
        <v>0</v>
      </c>
      <c r="AK445" s="136">
        <f t="shared" si="74"/>
        <v>0</v>
      </c>
      <c r="AL445" s="136" t="str" cm="1">
        <f t="array" ref="AL445">_xlfn.IFS(
AI445&lt;3,"Ligera",
AI445&lt;=6,"Moderada",
AI445&gt;6,"Vigorosa"
)</f>
        <v>Ligera</v>
      </c>
      <c r="AM445" s="45" t="s">
        <v>49</v>
      </c>
      <c r="AN445" s="289" t="s">
        <v>49</v>
      </c>
      <c r="AO445" s="46" t="s">
        <v>49</v>
      </c>
      <c r="AP445" s="289" t="s">
        <v>49</v>
      </c>
      <c r="AQ445" s="139">
        <v>0</v>
      </c>
    </row>
    <row r="446" spans="1:43" ht="59.25" customHeight="1" thickBot="1">
      <c r="A446" s="140" t="s">
        <v>394</v>
      </c>
      <c r="B446" s="141">
        <v>45</v>
      </c>
      <c r="C446" s="141">
        <v>84.83</v>
      </c>
      <c r="D446" s="141">
        <v>0</v>
      </c>
      <c r="E446" s="141" t="s">
        <v>45</v>
      </c>
      <c r="F446" s="141" t="s">
        <v>45</v>
      </c>
      <c r="G446" s="141" t="s">
        <v>395</v>
      </c>
      <c r="H446" s="141"/>
      <c r="I446" s="141" t="s">
        <v>45</v>
      </c>
      <c r="J446" s="141" t="s">
        <v>47</v>
      </c>
      <c r="K446" s="141" t="s">
        <v>48</v>
      </c>
      <c r="L446" s="141" t="s">
        <v>49</v>
      </c>
      <c r="M446" s="142" t="s">
        <v>56</v>
      </c>
      <c r="N446" s="142" t="s">
        <v>76</v>
      </c>
      <c r="O446" s="142" t="s">
        <v>77</v>
      </c>
      <c r="P446" s="142" t="s">
        <v>51</v>
      </c>
      <c r="Q446" s="158" t="s">
        <v>124</v>
      </c>
      <c r="R446" s="169">
        <v>24</v>
      </c>
      <c r="S446" s="170">
        <v>16.2</v>
      </c>
      <c r="T446" s="170">
        <v>4.9000000000000004</v>
      </c>
      <c r="U446" s="169">
        <v>24</v>
      </c>
      <c r="V446" s="169">
        <v>13.4</v>
      </c>
      <c r="W446" s="170">
        <v>1.8</v>
      </c>
      <c r="X446" s="130">
        <f t="shared" si="71"/>
        <v>-2.7999999999999989</v>
      </c>
      <c r="Y446" s="16">
        <f t="shared" si="72"/>
        <v>0.87630854535755098</v>
      </c>
      <c r="Z446" s="15">
        <f t="shared" si="75"/>
        <v>-3.2999999999999972</v>
      </c>
      <c r="AA446" s="16">
        <f t="shared" si="76"/>
        <v>9.9376744186046526</v>
      </c>
      <c r="AB446" s="16">
        <f t="shared" si="77"/>
        <v>0.94196197311992735</v>
      </c>
      <c r="AC446" s="66" t="s">
        <v>48</v>
      </c>
      <c r="AD446" s="151" t="s">
        <v>398</v>
      </c>
      <c r="AE446" s="146">
        <v>16</v>
      </c>
      <c r="AF446" s="146">
        <v>3</v>
      </c>
      <c r="AG446" s="146">
        <v>50</v>
      </c>
      <c r="AH446" s="134" t="s">
        <v>392</v>
      </c>
      <c r="AI446" s="134">
        <v>3.43</v>
      </c>
      <c r="AJ446" s="135">
        <v>168</v>
      </c>
      <c r="AK446" s="136">
        <f t="shared" si="74"/>
        <v>504</v>
      </c>
      <c r="AL446" s="136" t="str" cm="1">
        <f t="array" ref="AL446">_xlfn.IFS(
AI446&lt;3,"Ligera",
AI446&lt;=6,"Moderada",
AI446&gt;6,"Vigorosa"
)</f>
        <v>Moderada</v>
      </c>
      <c r="AM446" s="147" t="s">
        <v>48</v>
      </c>
      <c r="AN446" s="290" t="s">
        <v>60</v>
      </c>
      <c r="AO446" s="148" t="s">
        <v>61</v>
      </c>
      <c r="AP446" s="290" t="s">
        <v>62</v>
      </c>
      <c r="AQ446" s="149">
        <v>0</v>
      </c>
    </row>
    <row r="447" spans="1:43" ht="59.25" customHeight="1" thickBot="1">
      <c r="A447" s="124" t="s">
        <v>399</v>
      </c>
      <c r="B447" s="125">
        <v>26</v>
      </c>
      <c r="C447" s="125">
        <v>88.2</v>
      </c>
      <c r="D447" s="125">
        <v>0</v>
      </c>
      <c r="E447" s="125" t="s">
        <v>45</v>
      </c>
      <c r="F447" s="125" t="s">
        <v>45</v>
      </c>
      <c r="G447" s="125" t="s">
        <v>46</v>
      </c>
      <c r="H447" s="125"/>
      <c r="I447" s="125" t="s">
        <v>45</v>
      </c>
      <c r="J447" s="125" t="s">
        <v>47</v>
      </c>
      <c r="K447" s="125" t="s">
        <v>49</v>
      </c>
      <c r="L447" s="125" t="s">
        <v>49</v>
      </c>
      <c r="M447" s="126" t="s">
        <v>56</v>
      </c>
      <c r="N447" s="126" t="s">
        <v>57</v>
      </c>
      <c r="O447" s="126" t="s">
        <v>126</v>
      </c>
      <c r="P447" s="126" t="s">
        <v>51</v>
      </c>
      <c r="Q447" s="159" t="s">
        <v>82</v>
      </c>
      <c r="R447" s="167">
        <v>12</v>
      </c>
      <c r="S447" s="168">
        <v>195</v>
      </c>
      <c r="T447" s="168">
        <v>50.76</v>
      </c>
      <c r="U447" s="168">
        <v>12</v>
      </c>
      <c r="V447" s="167">
        <v>212.5</v>
      </c>
      <c r="W447" s="168">
        <v>57.22</v>
      </c>
      <c r="X447" s="130">
        <f t="shared" si="71"/>
        <v>17.5</v>
      </c>
      <c r="Y447" s="16">
        <f t="shared" si="72"/>
        <v>15.669021454236807</v>
      </c>
      <c r="Z447" s="286" t="s">
        <v>53</v>
      </c>
      <c r="AA447" s="286" t="s">
        <v>53</v>
      </c>
      <c r="AB447" s="287">
        <v>15.669021454236807</v>
      </c>
      <c r="AC447" s="66" t="s">
        <v>49</v>
      </c>
      <c r="AD447" s="133" t="s">
        <v>400</v>
      </c>
      <c r="AE447" s="134">
        <v>8</v>
      </c>
      <c r="AF447" s="134">
        <v>5</v>
      </c>
      <c r="AG447" s="134">
        <v>30</v>
      </c>
      <c r="AH447" s="134">
        <v>205160</v>
      </c>
      <c r="AI447" s="134">
        <v>3</v>
      </c>
      <c r="AJ447" s="135">
        <f t="shared" si="73"/>
        <v>90</v>
      </c>
      <c r="AK447" s="136">
        <f t="shared" si="74"/>
        <v>450</v>
      </c>
      <c r="AL447" s="136" t="str" cm="1">
        <f t="array" ref="AL447">_xlfn.IFS(
AI447&lt;3,"Ligera",
AI447&lt;=6,"Moderada",
AI447&gt;6,"Vigorosa"
)</f>
        <v>Moderada</v>
      </c>
      <c r="AM447" s="136" t="s">
        <v>48</v>
      </c>
      <c r="AN447" s="288" t="s">
        <v>60</v>
      </c>
      <c r="AO447" s="135" t="s">
        <v>61</v>
      </c>
      <c r="AP447" s="288" t="s">
        <v>128</v>
      </c>
      <c r="AQ447" s="137">
        <v>0</v>
      </c>
    </row>
    <row r="448" spans="1:43" ht="59.25" customHeight="1" thickBot="1">
      <c r="A448" s="140" t="s">
        <v>399</v>
      </c>
      <c r="B448" s="141">
        <v>26</v>
      </c>
      <c r="C448" s="141">
        <v>87.8</v>
      </c>
      <c r="D448" s="141">
        <v>0</v>
      </c>
      <c r="E448" s="141" t="s">
        <v>45</v>
      </c>
      <c r="F448" s="141" t="s">
        <v>45</v>
      </c>
      <c r="G448" s="141" t="s">
        <v>46</v>
      </c>
      <c r="H448" s="141"/>
      <c r="I448" s="141" t="s">
        <v>45</v>
      </c>
      <c r="J448" s="141" t="s">
        <v>47</v>
      </c>
      <c r="K448" s="141" t="s">
        <v>49</v>
      </c>
      <c r="L448" s="141" t="s">
        <v>49</v>
      </c>
      <c r="M448" s="142" t="s">
        <v>56</v>
      </c>
      <c r="N448" s="142" t="s">
        <v>57</v>
      </c>
      <c r="O448" s="142" t="s">
        <v>126</v>
      </c>
      <c r="P448" s="142" t="s">
        <v>51</v>
      </c>
      <c r="Q448" s="158" t="s">
        <v>82</v>
      </c>
      <c r="R448" s="169">
        <v>14</v>
      </c>
      <c r="S448" s="170">
        <v>198.57</v>
      </c>
      <c r="T448" s="170">
        <v>72.819999999999993</v>
      </c>
      <c r="U448" s="170">
        <v>14</v>
      </c>
      <c r="V448" s="169">
        <v>212.86</v>
      </c>
      <c r="W448" s="170">
        <v>70.92</v>
      </c>
      <c r="X448" s="130">
        <f t="shared" si="71"/>
        <v>14.29000000000002</v>
      </c>
      <c r="Y448" s="16">
        <f t="shared" si="72"/>
        <v>19.213098954322056</v>
      </c>
      <c r="Z448" s="15">
        <f t="shared" si="75"/>
        <v>-3.2099999999999795</v>
      </c>
      <c r="AA448" s="16">
        <f t="shared" si="76"/>
        <v>4225.0339833333337</v>
      </c>
      <c r="AB448" s="16">
        <f t="shared" si="77"/>
        <v>25.570966093295038</v>
      </c>
      <c r="AC448" s="66" t="s">
        <v>49</v>
      </c>
      <c r="AD448" s="151" t="s">
        <v>401</v>
      </c>
      <c r="AE448" s="146">
        <v>8</v>
      </c>
      <c r="AF448" s="146">
        <v>5</v>
      </c>
      <c r="AG448" s="146">
        <v>30</v>
      </c>
      <c r="AH448" s="134">
        <v>205460</v>
      </c>
      <c r="AI448" s="134">
        <v>4.3</v>
      </c>
      <c r="AJ448" s="135">
        <f t="shared" si="73"/>
        <v>129</v>
      </c>
      <c r="AK448" s="136">
        <f t="shared" si="74"/>
        <v>645</v>
      </c>
      <c r="AL448" s="136" t="str" cm="1">
        <f t="array" ref="AL448">_xlfn.IFS(
AI448&lt;3,"Ligera",
AI448&lt;=6,"Moderada",
AI448&gt;6,"Vigorosa"
)</f>
        <v>Moderada</v>
      </c>
      <c r="AM448" s="147" t="s">
        <v>48</v>
      </c>
      <c r="AN448" s="290" t="s">
        <v>60</v>
      </c>
      <c r="AO448" s="148" t="s">
        <v>61</v>
      </c>
      <c r="AP448" s="290" t="s">
        <v>128</v>
      </c>
      <c r="AQ448" s="149">
        <v>0</v>
      </c>
    </row>
    <row r="449" spans="1:43" ht="59.25" customHeight="1" thickBot="1">
      <c r="A449" s="124" t="s">
        <v>402</v>
      </c>
      <c r="B449" s="125">
        <v>52</v>
      </c>
      <c r="C449" s="125">
        <v>82.8</v>
      </c>
      <c r="D449" s="125">
        <v>16</v>
      </c>
      <c r="E449" s="125" t="s">
        <v>45</v>
      </c>
      <c r="F449" s="125" t="s">
        <v>45</v>
      </c>
      <c r="G449" s="125" t="s">
        <v>403</v>
      </c>
      <c r="H449" s="125"/>
      <c r="I449" s="125" t="s">
        <v>45</v>
      </c>
      <c r="J449" s="125" t="s">
        <v>47</v>
      </c>
      <c r="K449" s="125" t="s">
        <v>49</v>
      </c>
      <c r="L449" s="125" t="s">
        <v>49</v>
      </c>
      <c r="M449" s="126" t="s">
        <v>50</v>
      </c>
      <c r="N449" s="126" t="s">
        <v>50</v>
      </c>
      <c r="O449" s="126" t="s">
        <v>50</v>
      </c>
      <c r="P449" s="126" t="s">
        <v>51</v>
      </c>
      <c r="Q449" s="159" t="s">
        <v>64</v>
      </c>
      <c r="R449" s="167">
        <v>25</v>
      </c>
      <c r="S449" s="168">
        <v>8.44</v>
      </c>
      <c r="T449" s="168">
        <v>3.64</v>
      </c>
      <c r="U449" s="167">
        <v>25</v>
      </c>
      <c r="V449" s="167">
        <v>7.2</v>
      </c>
      <c r="W449" s="168">
        <v>3.55</v>
      </c>
      <c r="X449" s="130">
        <f t="shared" si="71"/>
        <v>-1.2399999999999993</v>
      </c>
      <c r="Y449" s="16">
        <f t="shared" si="72"/>
        <v>0.71916896484762183</v>
      </c>
      <c r="Z449" s="286" t="s">
        <v>53</v>
      </c>
      <c r="AA449" s="286" t="s">
        <v>53</v>
      </c>
      <c r="AB449" s="287">
        <v>0.71916896484762183</v>
      </c>
      <c r="AC449" s="66" t="s">
        <v>49</v>
      </c>
      <c r="AD449" s="133" t="s">
        <v>404</v>
      </c>
      <c r="AE449" s="134">
        <v>12</v>
      </c>
      <c r="AF449" s="134">
        <v>0</v>
      </c>
      <c r="AG449" s="134">
        <v>0</v>
      </c>
      <c r="AH449" s="134">
        <v>0</v>
      </c>
      <c r="AI449" s="134">
        <v>0</v>
      </c>
      <c r="AJ449" s="135">
        <f t="shared" si="73"/>
        <v>0</v>
      </c>
      <c r="AK449" s="136">
        <f t="shared" si="74"/>
        <v>0</v>
      </c>
      <c r="AL449" s="136" t="str" cm="1">
        <f t="array" ref="AL449">_xlfn.IFS(
AI449&lt;3,"Ligera",
AI449&lt;=6,"Moderada",
AI449&gt;6,"Vigorosa"
)</f>
        <v>Ligera</v>
      </c>
      <c r="AM449" s="136" t="s">
        <v>49</v>
      </c>
      <c r="AN449" s="288" t="s">
        <v>49</v>
      </c>
      <c r="AO449" s="135" t="s">
        <v>49</v>
      </c>
      <c r="AP449" s="288" t="s">
        <v>49</v>
      </c>
      <c r="AQ449" s="137">
        <v>0</v>
      </c>
    </row>
    <row r="450" spans="1:43" ht="59.25" customHeight="1" thickBot="1">
      <c r="A450" s="138" t="s">
        <v>402</v>
      </c>
      <c r="B450" s="12">
        <v>52</v>
      </c>
      <c r="C450" s="12">
        <v>81</v>
      </c>
      <c r="D450" s="12">
        <v>8</v>
      </c>
      <c r="E450" s="12" t="s">
        <v>45</v>
      </c>
      <c r="F450" s="12" t="s">
        <v>45</v>
      </c>
      <c r="G450" s="12" t="s">
        <v>403</v>
      </c>
      <c r="H450" s="12"/>
      <c r="I450" s="12" t="s">
        <v>45</v>
      </c>
      <c r="J450" s="12" t="s">
        <v>47</v>
      </c>
      <c r="K450" s="12" t="s">
        <v>49</v>
      </c>
      <c r="L450" s="12" t="s">
        <v>49</v>
      </c>
      <c r="M450" s="11" t="s">
        <v>56</v>
      </c>
      <c r="N450" s="11" t="s">
        <v>162</v>
      </c>
      <c r="O450" s="11" t="s">
        <v>297</v>
      </c>
      <c r="P450" s="11" t="s">
        <v>51</v>
      </c>
      <c r="Q450" s="50" t="s">
        <v>64</v>
      </c>
      <c r="R450" s="47">
        <v>27</v>
      </c>
      <c r="S450" s="48">
        <v>7.62</v>
      </c>
      <c r="T450" s="48">
        <v>3.81</v>
      </c>
      <c r="U450" s="47">
        <v>27</v>
      </c>
      <c r="V450" s="47">
        <v>10.27</v>
      </c>
      <c r="W450" s="48">
        <v>4.2</v>
      </c>
      <c r="X450" s="130">
        <f t="shared" si="71"/>
        <v>2.6499999999999995</v>
      </c>
      <c r="Y450" s="16">
        <f t="shared" si="72"/>
        <v>0.77349854557070752</v>
      </c>
      <c r="Z450" s="15">
        <f t="shared" si="75"/>
        <v>3.8899999999999988</v>
      </c>
      <c r="AA450" s="16">
        <f t="shared" si="76"/>
        <v>15.221999999999998</v>
      </c>
      <c r="AB450" s="16">
        <f t="shared" si="77"/>
        <v>1.0828932439431773</v>
      </c>
      <c r="AC450" s="66" t="s">
        <v>49</v>
      </c>
      <c r="AD450" s="51" t="s">
        <v>405</v>
      </c>
      <c r="AE450" s="13">
        <v>12</v>
      </c>
      <c r="AF450" s="13">
        <v>3</v>
      </c>
      <c r="AG450" s="13">
        <v>60</v>
      </c>
      <c r="AH450" s="13">
        <v>303060</v>
      </c>
      <c r="AI450" s="13">
        <v>6</v>
      </c>
      <c r="AJ450" s="135">
        <f t="shared" si="73"/>
        <v>360</v>
      </c>
      <c r="AK450" s="136">
        <f t="shared" si="74"/>
        <v>1080</v>
      </c>
      <c r="AL450" s="136" t="str" cm="1">
        <f t="array" ref="AL450">_xlfn.IFS(
AI450&lt;3,"Ligera",
AI450&lt;=6,"Moderada",
AI450&gt;6,"Vigorosa"
)</f>
        <v>Moderada</v>
      </c>
      <c r="AM450" s="45" t="s">
        <v>48</v>
      </c>
      <c r="AN450" s="289" t="s">
        <v>60</v>
      </c>
      <c r="AO450" s="46" t="s">
        <v>61</v>
      </c>
      <c r="AP450" s="289" t="s">
        <v>173</v>
      </c>
      <c r="AQ450" s="139">
        <v>0</v>
      </c>
    </row>
    <row r="451" spans="1:43" ht="59.25" customHeight="1" thickBot="1">
      <c r="A451" s="138" t="s">
        <v>402</v>
      </c>
      <c r="B451" s="12">
        <v>52</v>
      </c>
      <c r="C451" s="12">
        <v>82.8</v>
      </c>
      <c r="D451" s="12">
        <v>16</v>
      </c>
      <c r="E451" s="12" t="s">
        <v>45</v>
      </c>
      <c r="F451" s="12" t="s">
        <v>45</v>
      </c>
      <c r="G451" s="12" t="s">
        <v>403</v>
      </c>
      <c r="H451" s="12"/>
      <c r="I451" s="12" t="s">
        <v>45</v>
      </c>
      <c r="J451" s="12" t="s">
        <v>47</v>
      </c>
      <c r="K451" s="12" t="s">
        <v>49</v>
      </c>
      <c r="L451" s="12" t="s">
        <v>49</v>
      </c>
      <c r="M451" s="11" t="s">
        <v>50</v>
      </c>
      <c r="N451" s="11" t="s">
        <v>50</v>
      </c>
      <c r="O451" s="11" t="s">
        <v>50</v>
      </c>
      <c r="P451" s="11" t="s">
        <v>51</v>
      </c>
      <c r="Q451" s="50" t="s">
        <v>81</v>
      </c>
      <c r="R451" s="47">
        <v>25</v>
      </c>
      <c r="S451" s="48">
        <v>12.08</v>
      </c>
      <c r="T451" s="48">
        <v>5.52</v>
      </c>
      <c r="U451" s="47">
        <v>25</v>
      </c>
      <c r="V451" s="47">
        <v>11.52</v>
      </c>
      <c r="W451" s="48">
        <v>6.19</v>
      </c>
      <c r="X451" s="130">
        <f t="shared" si="71"/>
        <v>-0.5600000000000005</v>
      </c>
      <c r="Y451" s="16">
        <f t="shared" si="72"/>
        <v>1.1767361641421581</v>
      </c>
      <c r="Z451" s="286" t="s">
        <v>53</v>
      </c>
      <c r="AA451" s="286" t="s">
        <v>53</v>
      </c>
      <c r="AB451" s="287">
        <v>1.1767361641421581</v>
      </c>
      <c r="AC451" s="66" t="s">
        <v>49</v>
      </c>
      <c r="AD451" s="51" t="s">
        <v>404</v>
      </c>
      <c r="AE451" s="13">
        <v>12</v>
      </c>
      <c r="AF451" s="13">
        <v>0</v>
      </c>
      <c r="AG451" s="13">
        <v>0</v>
      </c>
      <c r="AH451" s="134">
        <v>0</v>
      </c>
      <c r="AI451" s="134">
        <v>0</v>
      </c>
      <c r="AJ451" s="135">
        <f t="shared" si="73"/>
        <v>0</v>
      </c>
      <c r="AK451" s="136">
        <f t="shared" si="74"/>
        <v>0</v>
      </c>
      <c r="AL451" s="136" t="str" cm="1">
        <f t="array" ref="AL451">_xlfn.IFS(
AI451&lt;3,"Ligera",
AI451&lt;=6,"Moderada",
AI451&gt;6,"Vigorosa"
)</f>
        <v>Ligera</v>
      </c>
      <c r="AM451" s="45" t="s">
        <v>49</v>
      </c>
      <c r="AN451" s="289" t="s">
        <v>49</v>
      </c>
      <c r="AO451" s="46" t="s">
        <v>49</v>
      </c>
      <c r="AP451" s="289" t="s">
        <v>49</v>
      </c>
      <c r="AQ451" s="139">
        <v>0</v>
      </c>
    </row>
    <row r="452" spans="1:43" ht="59.25" customHeight="1" thickBot="1">
      <c r="A452" s="138" t="s">
        <v>402</v>
      </c>
      <c r="B452" s="12">
        <v>52</v>
      </c>
      <c r="C452" s="12">
        <v>81</v>
      </c>
      <c r="D452" s="12">
        <v>8</v>
      </c>
      <c r="E452" s="12" t="s">
        <v>45</v>
      </c>
      <c r="F452" s="12" t="s">
        <v>45</v>
      </c>
      <c r="G452" s="12" t="s">
        <v>403</v>
      </c>
      <c r="H452" s="12"/>
      <c r="I452" s="12" t="s">
        <v>45</v>
      </c>
      <c r="J452" s="12" t="s">
        <v>47</v>
      </c>
      <c r="K452" s="12" t="s">
        <v>49</v>
      </c>
      <c r="L452" s="12" t="s">
        <v>49</v>
      </c>
      <c r="M452" s="11" t="s">
        <v>56</v>
      </c>
      <c r="N452" s="11" t="s">
        <v>162</v>
      </c>
      <c r="O452" s="11" t="s">
        <v>297</v>
      </c>
      <c r="P452" s="11" t="s">
        <v>51</v>
      </c>
      <c r="Q452" s="50" t="s">
        <v>81</v>
      </c>
      <c r="R452" s="47">
        <v>27</v>
      </c>
      <c r="S452" s="48">
        <v>12.63</v>
      </c>
      <c r="T452" s="48">
        <v>4.21</v>
      </c>
      <c r="U452" s="47">
        <v>27</v>
      </c>
      <c r="V452" s="47">
        <v>13.81</v>
      </c>
      <c r="W452" s="48">
        <v>4.38</v>
      </c>
      <c r="X452" s="130">
        <f t="shared" si="71"/>
        <v>1.1799999999999997</v>
      </c>
      <c r="Y452" s="16">
        <f t="shared" si="72"/>
        <v>0.82705859884649413</v>
      </c>
      <c r="Z452" s="15">
        <f t="shared" si="75"/>
        <v>1.7400000000000002</v>
      </c>
      <c r="AA452" s="16">
        <f t="shared" si="76"/>
        <v>28.367616000000002</v>
      </c>
      <c r="AB452" s="16">
        <f t="shared" si="77"/>
        <v>1.4782953305900837</v>
      </c>
      <c r="AC452" s="66" t="s">
        <v>49</v>
      </c>
      <c r="AD452" s="51" t="s">
        <v>406</v>
      </c>
      <c r="AE452" s="13">
        <v>12</v>
      </c>
      <c r="AF452" s="13">
        <v>3</v>
      </c>
      <c r="AG452" s="13">
        <v>60</v>
      </c>
      <c r="AH452" s="13">
        <v>303060</v>
      </c>
      <c r="AI452" s="13">
        <v>6</v>
      </c>
      <c r="AJ452" s="135">
        <f t="shared" si="73"/>
        <v>360</v>
      </c>
      <c r="AK452" s="136">
        <f t="shared" si="74"/>
        <v>1080</v>
      </c>
      <c r="AL452" s="136" t="str" cm="1">
        <f t="array" ref="AL452">_xlfn.IFS(
AI452&lt;3,"Ligera",
AI452&lt;=6,"Moderada",
AI452&gt;6,"Vigorosa"
)</f>
        <v>Moderada</v>
      </c>
      <c r="AM452" s="45" t="s">
        <v>48</v>
      </c>
      <c r="AN452" s="289" t="s">
        <v>60</v>
      </c>
      <c r="AO452" s="46" t="s">
        <v>61</v>
      </c>
      <c r="AP452" s="289" t="s">
        <v>173</v>
      </c>
      <c r="AQ452" s="139">
        <v>0</v>
      </c>
    </row>
    <row r="453" spans="1:43" ht="59.25" customHeight="1" thickBot="1">
      <c r="A453" s="138" t="s">
        <v>402</v>
      </c>
      <c r="B453" s="12">
        <v>52</v>
      </c>
      <c r="C453" s="12">
        <v>82.8</v>
      </c>
      <c r="D453" s="12">
        <v>16</v>
      </c>
      <c r="E453" s="12" t="s">
        <v>45</v>
      </c>
      <c r="F453" s="12" t="s">
        <v>45</v>
      </c>
      <c r="G453" s="12" t="s">
        <v>403</v>
      </c>
      <c r="H453" s="12"/>
      <c r="I453" s="12" t="s">
        <v>45</v>
      </c>
      <c r="J453" s="12" t="s">
        <v>47</v>
      </c>
      <c r="K453" s="12" t="s">
        <v>49</v>
      </c>
      <c r="L453" s="12" t="s">
        <v>49</v>
      </c>
      <c r="M453" s="11" t="s">
        <v>50</v>
      </c>
      <c r="N453" s="11" t="s">
        <v>50</v>
      </c>
      <c r="O453" s="11" t="s">
        <v>50</v>
      </c>
      <c r="P453" s="11" t="s">
        <v>51</v>
      </c>
      <c r="Q453" s="50" t="s">
        <v>166</v>
      </c>
      <c r="R453" s="47">
        <v>25</v>
      </c>
      <c r="S453" s="48">
        <v>30</v>
      </c>
      <c r="T453" s="48">
        <v>25.41</v>
      </c>
      <c r="U453" s="47">
        <v>25</v>
      </c>
      <c r="V453" s="47">
        <v>21.76</v>
      </c>
      <c r="W453" s="48">
        <v>21.19</v>
      </c>
      <c r="X453" s="130">
        <f t="shared" si="71"/>
        <v>-8.2399999999999984</v>
      </c>
      <c r="Y453" s="16">
        <f t="shared" si="72"/>
        <v>4.7169748780335903</v>
      </c>
      <c r="Z453" s="286" t="s">
        <v>53</v>
      </c>
      <c r="AA453" s="286" t="s">
        <v>53</v>
      </c>
      <c r="AB453" s="287">
        <v>4.7169748780335903</v>
      </c>
      <c r="AC453" s="66" t="s">
        <v>49</v>
      </c>
      <c r="AD453" s="51" t="s">
        <v>404</v>
      </c>
      <c r="AE453" s="13">
        <v>12</v>
      </c>
      <c r="AF453" s="13">
        <v>0</v>
      </c>
      <c r="AG453" s="13">
        <v>0</v>
      </c>
      <c r="AH453" s="134">
        <v>0</v>
      </c>
      <c r="AI453" s="134">
        <v>0</v>
      </c>
      <c r="AJ453" s="135">
        <f t="shared" si="73"/>
        <v>0</v>
      </c>
      <c r="AK453" s="136">
        <f t="shared" si="74"/>
        <v>0</v>
      </c>
      <c r="AL453" s="136" t="str" cm="1">
        <f t="array" ref="AL453">_xlfn.IFS(
AI453&lt;3,"Ligera",
AI453&lt;=6,"Moderada",
AI453&gt;6,"Vigorosa"
)</f>
        <v>Ligera</v>
      </c>
      <c r="AM453" s="45" t="s">
        <v>49</v>
      </c>
      <c r="AN453" s="289" t="s">
        <v>49</v>
      </c>
      <c r="AO453" s="46" t="s">
        <v>49</v>
      </c>
      <c r="AP453" s="289" t="s">
        <v>49</v>
      </c>
      <c r="AQ453" s="139">
        <v>0</v>
      </c>
    </row>
    <row r="454" spans="1:43" ht="59.25" customHeight="1" thickBot="1">
      <c r="A454" s="138" t="s">
        <v>402</v>
      </c>
      <c r="B454" s="12">
        <v>52</v>
      </c>
      <c r="C454" s="12">
        <v>81</v>
      </c>
      <c r="D454" s="12">
        <v>8</v>
      </c>
      <c r="E454" s="12" t="s">
        <v>45</v>
      </c>
      <c r="F454" s="12" t="s">
        <v>45</v>
      </c>
      <c r="G454" s="12" t="s">
        <v>403</v>
      </c>
      <c r="H454" s="12"/>
      <c r="I454" s="12" t="s">
        <v>45</v>
      </c>
      <c r="J454" s="12" t="s">
        <v>47</v>
      </c>
      <c r="K454" s="12" t="s">
        <v>49</v>
      </c>
      <c r="L454" s="12" t="s">
        <v>49</v>
      </c>
      <c r="M454" s="11" t="s">
        <v>56</v>
      </c>
      <c r="N454" s="11" t="s">
        <v>162</v>
      </c>
      <c r="O454" s="11" t="s">
        <v>297</v>
      </c>
      <c r="P454" s="11" t="s">
        <v>51</v>
      </c>
      <c r="Q454" s="50" t="s">
        <v>166</v>
      </c>
      <c r="R454" s="47">
        <v>27</v>
      </c>
      <c r="S454" s="48">
        <v>35.33</v>
      </c>
      <c r="T454" s="48">
        <v>21.46</v>
      </c>
      <c r="U454" s="47">
        <v>27</v>
      </c>
      <c r="V454" s="47">
        <v>38.700000000000003</v>
      </c>
      <c r="W454" s="48">
        <v>22.85</v>
      </c>
      <c r="X454" s="130">
        <f t="shared" si="71"/>
        <v>3.3700000000000045</v>
      </c>
      <c r="Y454" s="16">
        <f t="shared" si="72"/>
        <v>4.2700208170192537</v>
      </c>
      <c r="Z454" s="15">
        <f t="shared" si="75"/>
        <v>11.610000000000003</v>
      </c>
      <c r="AA454" s="16">
        <f t="shared" si="76"/>
        <v>487.03142800000001</v>
      </c>
      <c r="AB454" s="16">
        <f t="shared" si="77"/>
        <v>6.1253129027860318</v>
      </c>
      <c r="AC454" s="66" t="s">
        <v>49</v>
      </c>
      <c r="AD454" s="51" t="s">
        <v>406</v>
      </c>
      <c r="AE454" s="13">
        <v>12</v>
      </c>
      <c r="AF454" s="13">
        <v>3</v>
      </c>
      <c r="AG454" s="13">
        <v>60</v>
      </c>
      <c r="AH454" s="13">
        <v>303060</v>
      </c>
      <c r="AI454" s="13">
        <v>6</v>
      </c>
      <c r="AJ454" s="135">
        <f t="shared" si="73"/>
        <v>360</v>
      </c>
      <c r="AK454" s="136">
        <f t="shared" si="74"/>
        <v>1080</v>
      </c>
      <c r="AL454" s="136" t="str" cm="1">
        <f t="array" ref="AL454">_xlfn.IFS(
AI454&lt;3,"Ligera",
AI454&lt;=6,"Moderada",
AI454&gt;6,"Vigorosa"
)</f>
        <v>Moderada</v>
      </c>
      <c r="AM454" s="45" t="s">
        <v>48</v>
      </c>
      <c r="AN454" s="289" t="s">
        <v>60</v>
      </c>
      <c r="AO454" s="46" t="s">
        <v>61</v>
      </c>
      <c r="AP454" s="289" t="s">
        <v>173</v>
      </c>
      <c r="AQ454" s="139">
        <v>0</v>
      </c>
    </row>
    <row r="455" spans="1:43" ht="59.25" customHeight="1" thickBot="1">
      <c r="A455" s="138" t="s">
        <v>402</v>
      </c>
      <c r="B455" s="12">
        <v>52</v>
      </c>
      <c r="C455" s="12">
        <v>82.8</v>
      </c>
      <c r="D455" s="12">
        <v>16</v>
      </c>
      <c r="E455" s="12" t="s">
        <v>45</v>
      </c>
      <c r="F455" s="12" t="s">
        <v>45</v>
      </c>
      <c r="G455" s="12" t="s">
        <v>403</v>
      </c>
      <c r="H455" s="12"/>
      <c r="I455" s="12" t="s">
        <v>45</v>
      </c>
      <c r="J455" s="12" t="s">
        <v>47</v>
      </c>
      <c r="K455" s="12" t="s">
        <v>49</v>
      </c>
      <c r="L455" s="12" t="s">
        <v>49</v>
      </c>
      <c r="M455" s="11" t="s">
        <v>50</v>
      </c>
      <c r="N455" s="11" t="s">
        <v>50</v>
      </c>
      <c r="O455" s="11" t="s">
        <v>50</v>
      </c>
      <c r="P455" s="11" t="s">
        <v>51</v>
      </c>
      <c r="Q455" s="50" t="s">
        <v>83</v>
      </c>
      <c r="R455" s="47">
        <v>25</v>
      </c>
      <c r="S455" s="48">
        <v>-7.56</v>
      </c>
      <c r="T455" s="48">
        <v>13.57</v>
      </c>
      <c r="U455" s="47">
        <v>25</v>
      </c>
      <c r="V455" s="47">
        <v>-8.48</v>
      </c>
      <c r="W455" s="48">
        <v>11.04</v>
      </c>
      <c r="X455" s="130">
        <f t="shared" si="71"/>
        <v>-0.92000000000000082</v>
      </c>
      <c r="Y455" s="16">
        <f t="shared" si="72"/>
        <v>2.499709583131609</v>
      </c>
      <c r="Z455" s="286" t="s">
        <v>53</v>
      </c>
      <c r="AA455" s="286" t="s">
        <v>53</v>
      </c>
      <c r="AB455" s="287">
        <v>2.499709583131609</v>
      </c>
      <c r="AC455" s="66" t="s">
        <v>49</v>
      </c>
      <c r="AD455" s="51" t="s">
        <v>404</v>
      </c>
      <c r="AE455" s="13">
        <v>12</v>
      </c>
      <c r="AF455" s="13">
        <v>0</v>
      </c>
      <c r="AG455" s="13">
        <v>0</v>
      </c>
      <c r="AH455" s="134">
        <v>0</v>
      </c>
      <c r="AI455" s="134">
        <v>0</v>
      </c>
      <c r="AJ455" s="135">
        <f t="shared" si="73"/>
        <v>0</v>
      </c>
      <c r="AK455" s="136">
        <f t="shared" si="74"/>
        <v>0</v>
      </c>
      <c r="AL455" s="136" t="str" cm="1">
        <f t="array" ref="AL455">_xlfn.IFS(
AI455&lt;3,"Ligera",
AI455&lt;=6,"Moderada",
AI455&gt;6,"Vigorosa"
)</f>
        <v>Ligera</v>
      </c>
      <c r="AM455" s="45" t="s">
        <v>49</v>
      </c>
      <c r="AN455" s="289" t="s">
        <v>49</v>
      </c>
      <c r="AO455" s="46" t="s">
        <v>49</v>
      </c>
      <c r="AP455" s="289" t="s">
        <v>49</v>
      </c>
      <c r="AQ455" s="139">
        <v>0</v>
      </c>
    </row>
    <row r="456" spans="1:43" ht="59.25" customHeight="1" thickBot="1">
      <c r="A456" s="138" t="s">
        <v>402</v>
      </c>
      <c r="B456" s="12">
        <v>52</v>
      </c>
      <c r="C456" s="12">
        <v>81</v>
      </c>
      <c r="D456" s="12">
        <v>8</v>
      </c>
      <c r="E456" s="12" t="s">
        <v>45</v>
      </c>
      <c r="F456" s="12" t="s">
        <v>45</v>
      </c>
      <c r="G456" s="12" t="s">
        <v>403</v>
      </c>
      <c r="H456" s="12"/>
      <c r="I456" s="12" t="s">
        <v>45</v>
      </c>
      <c r="J456" s="12" t="s">
        <v>47</v>
      </c>
      <c r="K456" s="12" t="s">
        <v>49</v>
      </c>
      <c r="L456" s="12" t="s">
        <v>49</v>
      </c>
      <c r="M456" s="11" t="s">
        <v>56</v>
      </c>
      <c r="N456" s="11" t="s">
        <v>162</v>
      </c>
      <c r="O456" s="11" t="s">
        <v>297</v>
      </c>
      <c r="P456" s="11" t="s">
        <v>51</v>
      </c>
      <c r="Q456" s="50" t="s">
        <v>83</v>
      </c>
      <c r="R456" s="47">
        <v>27</v>
      </c>
      <c r="S456" s="48">
        <v>-4.3</v>
      </c>
      <c r="T456" s="48">
        <v>9.26</v>
      </c>
      <c r="U456" s="47">
        <v>27</v>
      </c>
      <c r="V456" s="47">
        <v>-1.337</v>
      </c>
      <c r="W456" s="48">
        <v>7.36</v>
      </c>
      <c r="X456" s="130">
        <f t="shared" si="71"/>
        <v>2.9630000000000001</v>
      </c>
      <c r="Y456" s="16">
        <f t="shared" si="72"/>
        <v>1.6303101272798102</v>
      </c>
      <c r="Z456" s="15">
        <f t="shared" si="75"/>
        <v>3.8830000000000009</v>
      </c>
      <c r="AA456" s="16">
        <f t="shared" si="76"/>
        <v>86.671359999999993</v>
      </c>
      <c r="AB456" s="16">
        <f t="shared" si="77"/>
        <v>2.5839707371350724</v>
      </c>
      <c r="AC456" s="66" t="s">
        <v>49</v>
      </c>
      <c r="AD456" s="51" t="s">
        <v>406</v>
      </c>
      <c r="AE456" s="13">
        <v>12</v>
      </c>
      <c r="AF456" s="13">
        <v>3</v>
      </c>
      <c r="AG456" s="13">
        <v>60</v>
      </c>
      <c r="AH456" s="13">
        <v>303060</v>
      </c>
      <c r="AI456" s="13">
        <v>6</v>
      </c>
      <c r="AJ456" s="135">
        <f t="shared" si="73"/>
        <v>360</v>
      </c>
      <c r="AK456" s="136">
        <f t="shared" si="74"/>
        <v>1080</v>
      </c>
      <c r="AL456" s="136" t="str" cm="1">
        <f t="array" ref="AL456">_xlfn.IFS(
AI456&lt;3,"Ligera",
AI456&lt;=6,"Moderada",
AI456&gt;6,"Vigorosa"
)</f>
        <v>Moderada</v>
      </c>
      <c r="AM456" s="45" t="s">
        <v>48</v>
      </c>
      <c r="AN456" s="289" t="s">
        <v>60</v>
      </c>
      <c r="AO456" s="46" t="s">
        <v>61</v>
      </c>
      <c r="AP456" s="289" t="s">
        <v>173</v>
      </c>
      <c r="AQ456" s="139">
        <v>0</v>
      </c>
    </row>
    <row r="457" spans="1:43" ht="59.25" customHeight="1" thickBot="1">
      <c r="A457" s="138" t="s">
        <v>402</v>
      </c>
      <c r="B457" s="12">
        <v>52</v>
      </c>
      <c r="C457" s="12">
        <v>82.8</v>
      </c>
      <c r="D457" s="12">
        <v>16</v>
      </c>
      <c r="E457" s="12" t="s">
        <v>45</v>
      </c>
      <c r="F457" s="12" t="s">
        <v>45</v>
      </c>
      <c r="G457" s="12" t="s">
        <v>403</v>
      </c>
      <c r="H457" s="12"/>
      <c r="I457" s="12" t="s">
        <v>45</v>
      </c>
      <c r="J457" s="12" t="s">
        <v>47</v>
      </c>
      <c r="K457" s="12" t="s">
        <v>49</v>
      </c>
      <c r="L457" s="12" t="s">
        <v>49</v>
      </c>
      <c r="M457" s="11" t="s">
        <v>50</v>
      </c>
      <c r="N457" s="11" t="s">
        <v>50</v>
      </c>
      <c r="O457" s="11" t="s">
        <v>50</v>
      </c>
      <c r="P457" s="11" t="s">
        <v>51</v>
      </c>
      <c r="Q457" s="50" t="s">
        <v>52</v>
      </c>
      <c r="R457" s="47">
        <v>25</v>
      </c>
      <c r="S457" s="48">
        <v>20.2</v>
      </c>
      <c r="T457" s="48">
        <v>13.6</v>
      </c>
      <c r="U457" s="47">
        <v>25</v>
      </c>
      <c r="V457" s="47">
        <v>23.4</v>
      </c>
      <c r="W457" s="48">
        <v>14.5</v>
      </c>
      <c r="X457" s="130">
        <f t="shared" si="71"/>
        <v>3.1999999999999993</v>
      </c>
      <c r="Y457" s="16">
        <f t="shared" si="72"/>
        <v>2.8143205219022227</v>
      </c>
      <c r="Z457" s="286" t="s">
        <v>53</v>
      </c>
      <c r="AA457" s="286" t="s">
        <v>53</v>
      </c>
      <c r="AB457" s="287">
        <v>2.8143205219022227</v>
      </c>
      <c r="AC457" s="66" t="s">
        <v>48</v>
      </c>
      <c r="AD457" s="51" t="s">
        <v>404</v>
      </c>
      <c r="AE457" s="13">
        <v>12</v>
      </c>
      <c r="AF457" s="13">
        <v>0</v>
      </c>
      <c r="AG457" s="13">
        <v>0</v>
      </c>
      <c r="AH457" s="134">
        <v>0</v>
      </c>
      <c r="AI457" s="134">
        <v>0</v>
      </c>
      <c r="AJ457" s="135">
        <f t="shared" si="73"/>
        <v>0</v>
      </c>
      <c r="AK457" s="136">
        <f t="shared" si="74"/>
        <v>0</v>
      </c>
      <c r="AL457" s="136" t="str" cm="1">
        <f t="array" ref="AL457">_xlfn.IFS(
AI457&lt;3,"Ligera",
AI457&lt;=6,"Moderada",
AI457&gt;6,"Vigorosa"
)</f>
        <v>Ligera</v>
      </c>
      <c r="AM457" s="45" t="s">
        <v>49</v>
      </c>
      <c r="AN457" s="289" t="s">
        <v>49</v>
      </c>
      <c r="AO457" s="46" t="s">
        <v>49</v>
      </c>
      <c r="AP457" s="289" t="s">
        <v>49</v>
      </c>
      <c r="AQ457" s="139">
        <v>0</v>
      </c>
    </row>
    <row r="458" spans="1:43" ht="59.25" customHeight="1" thickBot="1">
      <c r="A458" s="140" t="s">
        <v>402</v>
      </c>
      <c r="B458" s="141">
        <v>52</v>
      </c>
      <c r="C458" s="141">
        <v>81</v>
      </c>
      <c r="D458" s="141">
        <v>8</v>
      </c>
      <c r="E458" s="141" t="s">
        <v>45</v>
      </c>
      <c r="F458" s="141" t="s">
        <v>45</v>
      </c>
      <c r="G458" s="141" t="s">
        <v>403</v>
      </c>
      <c r="H458" s="141"/>
      <c r="I458" s="141" t="s">
        <v>45</v>
      </c>
      <c r="J458" s="141" t="s">
        <v>47</v>
      </c>
      <c r="K458" s="141" t="s">
        <v>49</v>
      </c>
      <c r="L458" s="141" t="s">
        <v>49</v>
      </c>
      <c r="M458" s="142" t="s">
        <v>56</v>
      </c>
      <c r="N458" s="142" t="s">
        <v>162</v>
      </c>
      <c r="O458" s="142" t="s">
        <v>297</v>
      </c>
      <c r="P458" s="142" t="s">
        <v>51</v>
      </c>
      <c r="Q458" s="158" t="s">
        <v>52</v>
      </c>
      <c r="R458" s="169">
        <v>27</v>
      </c>
      <c r="S458" s="170">
        <v>12.7</v>
      </c>
      <c r="T458" s="170">
        <v>7.7</v>
      </c>
      <c r="U458" s="169">
        <v>27</v>
      </c>
      <c r="V458" s="169">
        <v>11.7</v>
      </c>
      <c r="W458" s="170">
        <v>5.9</v>
      </c>
      <c r="X458" s="130">
        <f t="shared" ref="X458:X511" si="78">V458-S458</f>
        <v>-1</v>
      </c>
      <c r="Y458" s="16">
        <f t="shared" si="72"/>
        <v>1.3426066410503832</v>
      </c>
      <c r="Z458" s="15">
        <f t="shared" si="75"/>
        <v>-4.1999999999999993</v>
      </c>
      <c r="AA458" s="16">
        <f t="shared" si="76"/>
        <v>119.02120000000001</v>
      </c>
      <c r="AB458" s="16">
        <f t="shared" si="77"/>
        <v>3.0280423696825305</v>
      </c>
      <c r="AC458" s="66" t="s">
        <v>48</v>
      </c>
      <c r="AD458" s="151" t="s">
        <v>406</v>
      </c>
      <c r="AE458" s="146">
        <v>12</v>
      </c>
      <c r="AF458" s="146">
        <v>3</v>
      </c>
      <c r="AG458" s="146">
        <v>60</v>
      </c>
      <c r="AH458" s="13">
        <v>303060</v>
      </c>
      <c r="AI458" s="13">
        <v>6</v>
      </c>
      <c r="AJ458" s="135">
        <f t="shared" ref="AJ458:AJ509" si="79">AI458*AG458</f>
        <v>360</v>
      </c>
      <c r="AK458" s="136">
        <f t="shared" ref="AK458:AK511" si="80">AJ458*AF458</f>
        <v>1080</v>
      </c>
      <c r="AL458" s="136" t="str" cm="1">
        <f t="array" ref="AL458">_xlfn.IFS(
AI458&lt;3,"Ligera",
AI458&lt;=6,"Moderada",
AI458&gt;6,"Vigorosa"
)</f>
        <v>Moderada</v>
      </c>
      <c r="AM458" s="147" t="s">
        <v>48</v>
      </c>
      <c r="AN458" s="290" t="s">
        <v>60</v>
      </c>
      <c r="AO458" s="148" t="s">
        <v>61</v>
      </c>
      <c r="AP458" s="290" t="s">
        <v>173</v>
      </c>
      <c r="AQ458" s="149">
        <v>0</v>
      </c>
    </row>
    <row r="459" spans="1:43" ht="59.25" customHeight="1" thickBot="1">
      <c r="A459" s="124" t="s">
        <v>407</v>
      </c>
      <c r="B459" s="125">
        <v>146</v>
      </c>
      <c r="C459" s="125">
        <v>80.739999999999995</v>
      </c>
      <c r="D459" s="125">
        <v>35.29</v>
      </c>
      <c r="E459" s="125" t="s">
        <v>45</v>
      </c>
      <c r="F459" s="125" t="s">
        <v>45</v>
      </c>
      <c r="G459" s="125" t="s">
        <v>408</v>
      </c>
      <c r="H459" s="125"/>
      <c r="I459" s="125" t="s">
        <v>98</v>
      </c>
      <c r="J459" s="125" t="s">
        <v>47</v>
      </c>
      <c r="K459" s="125" t="s">
        <v>49</v>
      </c>
      <c r="L459" s="125" t="s">
        <v>49</v>
      </c>
      <c r="M459" s="126" t="s">
        <v>50</v>
      </c>
      <c r="N459" s="126" t="s">
        <v>50</v>
      </c>
      <c r="O459" s="126" t="s">
        <v>50</v>
      </c>
      <c r="P459" s="126" t="s">
        <v>94</v>
      </c>
      <c r="Q459" s="159" t="s">
        <v>119</v>
      </c>
      <c r="R459" s="167">
        <v>68</v>
      </c>
      <c r="S459" s="168">
        <v>23.65</v>
      </c>
      <c r="T459" s="168">
        <v>1.66</v>
      </c>
      <c r="U459" s="167">
        <v>68</v>
      </c>
      <c r="V459" s="167">
        <v>23.15</v>
      </c>
      <c r="W459" s="168">
        <v>1.41</v>
      </c>
      <c r="X459" s="130">
        <f t="shared" si="78"/>
        <v>-0.5</v>
      </c>
      <c r="Y459" s="16">
        <f t="shared" ref="Y459:Y512" si="81">SQRT((T459^2+W459^2-(2*0.5*T459*W459)))/SQRT(U459)</f>
        <v>0.1879885791274378</v>
      </c>
      <c r="Z459" s="286" t="s">
        <v>53</v>
      </c>
      <c r="AA459" s="286" t="s">
        <v>53</v>
      </c>
      <c r="AB459" s="287">
        <v>0.1879885791274378</v>
      </c>
      <c r="AC459" s="66" t="s">
        <v>49</v>
      </c>
      <c r="AD459" s="133" t="s">
        <v>409</v>
      </c>
      <c r="AE459" s="134">
        <v>52</v>
      </c>
      <c r="AF459" s="134">
        <v>0</v>
      </c>
      <c r="AG459" s="134">
        <v>0</v>
      </c>
      <c r="AH459" s="134">
        <v>0</v>
      </c>
      <c r="AI459" s="134">
        <v>0</v>
      </c>
      <c r="AJ459" s="135">
        <f t="shared" si="79"/>
        <v>0</v>
      </c>
      <c r="AK459" s="136">
        <f t="shared" si="80"/>
        <v>0</v>
      </c>
      <c r="AL459" s="136" t="str" cm="1">
        <f t="array" ref="AL459">_xlfn.IFS(
AI459&lt;3,"Ligera",
AI459&lt;=6,"Moderada",
AI459&gt;6,"Vigorosa"
)</f>
        <v>Ligera</v>
      </c>
      <c r="AM459" s="136" t="s">
        <v>49</v>
      </c>
      <c r="AN459" s="288" t="s">
        <v>49</v>
      </c>
      <c r="AO459" s="135" t="s">
        <v>49</v>
      </c>
      <c r="AP459" s="288" t="s">
        <v>49</v>
      </c>
      <c r="AQ459" s="137">
        <v>0</v>
      </c>
    </row>
    <row r="460" spans="1:43" ht="59.25" customHeight="1" thickBot="1">
      <c r="A460" s="138" t="s">
        <v>407</v>
      </c>
      <c r="B460" s="12">
        <v>146</v>
      </c>
      <c r="C460" s="12">
        <v>80.75</v>
      </c>
      <c r="D460" s="12">
        <v>23.88</v>
      </c>
      <c r="E460" s="12" t="s">
        <v>45</v>
      </c>
      <c r="F460" s="12" t="s">
        <v>45</v>
      </c>
      <c r="G460" s="12" t="s">
        <v>408</v>
      </c>
      <c r="H460" s="12"/>
      <c r="I460" s="12" t="s">
        <v>98</v>
      </c>
      <c r="J460" s="12" t="s">
        <v>47</v>
      </c>
      <c r="K460" s="12" t="s">
        <v>49</v>
      </c>
      <c r="L460" s="12" t="s">
        <v>49</v>
      </c>
      <c r="M460" s="11" t="s">
        <v>56</v>
      </c>
      <c r="N460" s="11" t="s">
        <v>410</v>
      </c>
      <c r="O460" s="50" t="s">
        <v>411</v>
      </c>
      <c r="P460" s="11" t="s">
        <v>94</v>
      </c>
      <c r="Q460" s="50" t="s">
        <v>119</v>
      </c>
      <c r="R460" s="47">
        <v>67</v>
      </c>
      <c r="S460" s="48">
        <v>23.18</v>
      </c>
      <c r="T460" s="48">
        <v>2.2400000000000002</v>
      </c>
      <c r="U460" s="47">
        <v>67</v>
      </c>
      <c r="V460" s="47">
        <v>24.58</v>
      </c>
      <c r="W460" s="48">
        <v>2.14</v>
      </c>
      <c r="X460" s="130">
        <f t="shared" si="78"/>
        <v>1.3999999999999986</v>
      </c>
      <c r="Y460" s="16">
        <f t="shared" si="81"/>
        <v>0.26776019567527154</v>
      </c>
      <c r="Z460" s="15">
        <f t="shared" ref="Z460:Z512" si="82">X460-X459</f>
        <v>1.8999999999999986</v>
      </c>
      <c r="AA460" s="16">
        <f t="shared" ref="AA460:AA512" si="83">((U460-1)*W460^2+(U459-1)*W459^2)/((U460-1)+(U459-1))</f>
        <v>3.2741075187969924</v>
      </c>
      <c r="AB460" s="16">
        <f t="shared" ref="AB460:AB512" si="84">SQRT(AA460*((1/U460)+(1/U459)))</f>
        <v>0.3114737812116195</v>
      </c>
      <c r="AC460" s="66" t="s">
        <v>49</v>
      </c>
      <c r="AD460" s="51" t="s">
        <v>412</v>
      </c>
      <c r="AE460" s="13">
        <v>52</v>
      </c>
      <c r="AF460" s="13">
        <v>5</v>
      </c>
      <c r="AG460" s="13">
        <v>55</v>
      </c>
      <c r="AH460" s="134">
        <v>221060</v>
      </c>
      <c r="AI460" s="134">
        <v>3.8</v>
      </c>
      <c r="AJ460" s="135">
        <f t="shared" si="79"/>
        <v>209</v>
      </c>
      <c r="AK460" s="136">
        <f t="shared" si="80"/>
        <v>1045</v>
      </c>
      <c r="AL460" s="136" t="str" cm="1">
        <f t="array" ref="AL460">_xlfn.IFS(
AI460&lt;3,"Ligera",
AI460&lt;=6,"Moderada",
AI460&gt;6,"Vigorosa"
)</f>
        <v>Moderada</v>
      </c>
      <c r="AM460" s="45" t="s">
        <v>48</v>
      </c>
      <c r="AN460" s="289" t="s">
        <v>60</v>
      </c>
      <c r="AO460" s="46" t="s">
        <v>61</v>
      </c>
      <c r="AP460" s="289" t="s">
        <v>413</v>
      </c>
      <c r="AQ460" s="139">
        <v>0</v>
      </c>
    </row>
    <row r="461" spans="1:43" ht="59.25" customHeight="1" thickBot="1">
      <c r="A461" s="124" t="s">
        <v>415</v>
      </c>
      <c r="B461" s="125">
        <v>191</v>
      </c>
      <c r="C461" s="125">
        <v>84.2</v>
      </c>
      <c r="D461" s="125">
        <v>28</v>
      </c>
      <c r="E461" s="125" t="s">
        <v>45</v>
      </c>
      <c r="F461" s="125" t="s">
        <v>45</v>
      </c>
      <c r="G461" s="125" t="s">
        <v>416</v>
      </c>
      <c r="H461" s="125"/>
      <c r="I461" s="125" t="s">
        <v>45</v>
      </c>
      <c r="J461" s="125" t="s">
        <v>47</v>
      </c>
      <c r="K461" s="125" t="s">
        <v>48</v>
      </c>
      <c r="L461" s="125" t="s">
        <v>48</v>
      </c>
      <c r="M461" s="126" t="s">
        <v>50</v>
      </c>
      <c r="N461" s="126" t="s">
        <v>50</v>
      </c>
      <c r="O461" s="126" t="s">
        <v>50</v>
      </c>
      <c r="P461" s="11" t="s">
        <v>86</v>
      </c>
      <c r="Q461" s="159" t="s">
        <v>87</v>
      </c>
      <c r="R461" s="167">
        <v>100</v>
      </c>
      <c r="S461" s="168">
        <v>26.6</v>
      </c>
      <c r="T461" s="168">
        <v>14.4</v>
      </c>
      <c r="U461" s="168">
        <v>100</v>
      </c>
      <c r="V461" s="167" t="s">
        <v>47</v>
      </c>
      <c r="W461" s="168" t="s">
        <v>47</v>
      </c>
      <c r="X461" s="130"/>
      <c r="Y461" s="16"/>
      <c r="Z461" s="286"/>
      <c r="AA461" s="286"/>
      <c r="AB461" s="287"/>
      <c r="AC461" s="66" t="s">
        <v>49</v>
      </c>
      <c r="AD461" s="133" t="s">
        <v>417</v>
      </c>
      <c r="AE461" s="134">
        <v>13</v>
      </c>
      <c r="AF461" s="134">
        <v>0</v>
      </c>
      <c r="AG461" s="134">
        <v>0</v>
      </c>
      <c r="AH461" s="134">
        <v>0</v>
      </c>
      <c r="AI461" s="134">
        <v>0</v>
      </c>
      <c r="AJ461" s="135">
        <f t="shared" si="79"/>
        <v>0</v>
      </c>
      <c r="AK461" s="136">
        <f t="shared" si="80"/>
        <v>0</v>
      </c>
      <c r="AL461" s="136" t="str" cm="1">
        <f t="array" ref="AL461">_xlfn.IFS(
AI461&lt;3,"Ligera",
AI461&lt;=6,"Moderada",
AI461&gt;6,"Vigorosa"
)</f>
        <v>Ligera</v>
      </c>
      <c r="AM461" s="136" t="s">
        <v>49</v>
      </c>
      <c r="AN461" s="288" t="s">
        <v>49</v>
      </c>
      <c r="AO461" s="135" t="s">
        <v>49</v>
      </c>
      <c r="AP461" s="288" t="s">
        <v>49</v>
      </c>
      <c r="AQ461" s="137">
        <v>0</v>
      </c>
    </row>
    <row r="462" spans="1:43" ht="59.25" customHeight="1" thickBot="1">
      <c r="A462" s="138" t="s">
        <v>415</v>
      </c>
      <c r="B462" s="12">
        <v>191</v>
      </c>
      <c r="C462" s="12">
        <v>85.3</v>
      </c>
      <c r="D462" s="12">
        <v>26</v>
      </c>
      <c r="E462" s="12" t="s">
        <v>45</v>
      </c>
      <c r="F462" s="12" t="s">
        <v>45</v>
      </c>
      <c r="G462" s="12" t="s">
        <v>416</v>
      </c>
      <c r="H462" s="12"/>
      <c r="I462" s="12" t="s">
        <v>45</v>
      </c>
      <c r="J462" s="12" t="s">
        <v>47</v>
      </c>
      <c r="K462" s="12" t="s">
        <v>48</v>
      </c>
      <c r="L462" s="12" t="s">
        <v>48</v>
      </c>
      <c r="M462" s="11" t="s">
        <v>56</v>
      </c>
      <c r="N462" s="11" t="s">
        <v>76</v>
      </c>
      <c r="O462" s="284" t="s">
        <v>77</v>
      </c>
      <c r="P462" s="11" t="s">
        <v>86</v>
      </c>
      <c r="Q462" s="50" t="s">
        <v>87</v>
      </c>
      <c r="R462" s="47">
        <v>91</v>
      </c>
      <c r="S462" s="48">
        <v>26.6</v>
      </c>
      <c r="T462" s="48">
        <v>15.3</v>
      </c>
      <c r="U462" s="48">
        <v>91</v>
      </c>
      <c r="V462" s="47" t="s">
        <v>47</v>
      </c>
      <c r="W462" s="48" t="s">
        <v>47</v>
      </c>
      <c r="X462" s="130"/>
      <c r="Y462" s="16"/>
      <c r="Z462" s="15"/>
      <c r="AA462" s="16"/>
      <c r="AB462" s="16"/>
      <c r="AC462" s="66" t="s">
        <v>49</v>
      </c>
      <c r="AD462" s="51" t="s">
        <v>418</v>
      </c>
      <c r="AE462" s="13">
        <v>13</v>
      </c>
      <c r="AF462" s="13">
        <v>2.5</v>
      </c>
      <c r="AG462" s="13">
        <v>45</v>
      </c>
      <c r="AH462" s="134" t="s">
        <v>419</v>
      </c>
      <c r="AI462" s="134">
        <v>3.6</v>
      </c>
      <c r="AJ462" s="135">
        <f t="shared" si="79"/>
        <v>162</v>
      </c>
      <c r="AK462" s="136">
        <f t="shared" si="80"/>
        <v>405</v>
      </c>
      <c r="AL462" s="136" t="str" cm="1">
        <f t="array" ref="AL462">_xlfn.IFS(
AI462&lt;3,"Ligera",
AI462&lt;=6,"Moderada",
AI462&gt;6,"Vigorosa"
)</f>
        <v>Moderada</v>
      </c>
      <c r="AM462" s="45" t="s">
        <v>48</v>
      </c>
      <c r="AN462" s="289" t="s">
        <v>60</v>
      </c>
      <c r="AO462" s="46" t="s">
        <v>61</v>
      </c>
      <c r="AP462" s="289" t="s">
        <v>128</v>
      </c>
      <c r="AQ462" s="139">
        <v>0</v>
      </c>
    </row>
    <row r="463" spans="1:43" ht="59.25" customHeight="1" thickBot="1">
      <c r="A463" s="138" t="s">
        <v>415</v>
      </c>
      <c r="B463" s="12">
        <v>191</v>
      </c>
      <c r="C463" s="12">
        <v>84.2</v>
      </c>
      <c r="D463" s="12">
        <v>28</v>
      </c>
      <c r="E463" s="12" t="s">
        <v>45</v>
      </c>
      <c r="F463" s="12" t="s">
        <v>45</v>
      </c>
      <c r="G463" s="12" t="s">
        <v>416</v>
      </c>
      <c r="H463" s="12"/>
      <c r="I463" s="12" t="s">
        <v>45</v>
      </c>
      <c r="J463" s="12" t="s">
        <v>47</v>
      </c>
      <c r="K463" s="12" t="s">
        <v>48</v>
      </c>
      <c r="L463" s="12" t="s">
        <v>48</v>
      </c>
      <c r="M463" s="11" t="s">
        <v>50</v>
      </c>
      <c r="N463" s="11" t="s">
        <v>50</v>
      </c>
      <c r="O463" s="11" t="s">
        <v>50</v>
      </c>
      <c r="P463" s="11" t="s">
        <v>94</v>
      </c>
      <c r="Q463" s="50" t="s">
        <v>119</v>
      </c>
      <c r="R463" s="47">
        <v>100</v>
      </c>
      <c r="S463" s="48">
        <v>18</v>
      </c>
      <c r="T463" s="48">
        <v>5.3</v>
      </c>
      <c r="U463" s="48">
        <v>100</v>
      </c>
      <c r="V463" s="47" t="s">
        <v>47</v>
      </c>
      <c r="W463" s="48" t="s">
        <v>47</v>
      </c>
      <c r="X463" s="130"/>
      <c r="Y463" s="16"/>
      <c r="Z463" s="286"/>
      <c r="AA463" s="286"/>
      <c r="AB463" s="287"/>
      <c r="AC463" s="66" t="s">
        <v>49</v>
      </c>
      <c r="AD463" s="51" t="s">
        <v>417</v>
      </c>
      <c r="AE463" s="13">
        <v>13</v>
      </c>
      <c r="AF463" s="13">
        <v>0</v>
      </c>
      <c r="AG463" s="13">
        <v>0</v>
      </c>
      <c r="AH463" s="134">
        <v>0</v>
      </c>
      <c r="AI463" s="134">
        <v>0</v>
      </c>
      <c r="AJ463" s="135">
        <f t="shared" si="79"/>
        <v>0</v>
      </c>
      <c r="AK463" s="136">
        <f t="shared" si="80"/>
        <v>0</v>
      </c>
      <c r="AL463" s="136" t="str" cm="1">
        <f t="array" ref="AL463">_xlfn.IFS(
AI463&lt;3,"Ligera",
AI463&lt;=6,"Moderada",
AI463&gt;6,"Vigorosa"
)</f>
        <v>Ligera</v>
      </c>
      <c r="AM463" s="45" t="s">
        <v>49</v>
      </c>
      <c r="AN463" s="289" t="s">
        <v>49</v>
      </c>
      <c r="AO463" s="46" t="s">
        <v>49</v>
      </c>
      <c r="AP463" s="289" t="s">
        <v>49</v>
      </c>
      <c r="AQ463" s="139">
        <v>0</v>
      </c>
    </row>
    <row r="464" spans="1:43" ht="59.25" customHeight="1" thickBot="1">
      <c r="A464" s="138" t="s">
        <v>415</v>
      </c>
      <c r="B464" s="12">
        <v>191</v>
      </c>
      <c r="C464" s="12">
        <v>85.3</v>
      </c>
      <c r="D464" s="12">
        <v>26</v>
      </c>
      <c r="E464" s="12" t="s">
        <v>45</v>
      </c>
      <c r="F464" s="12" t="s">
        <v>45</v>
      </c>
      <c r="G464" s="12" t="s">
        <v>416</v>
      </c>
      <c r="H464" s="12"/>
      <c r="I464" s="12" t="s">
        <v>45</v>
      </c>
      <c r="J464" s="12" t="s">
        <v>47</v>
      </c>
      <c r="K464" s="12" t="s">
        <v>48</v>
      </c>
      <c r="L464" s="12" t="s">
        <v>48</v>
      </c>
      <c r="M464" s="11" t="s">
        <v>56</v>
      </c>
      <c r="N464" s="11" t="s">
        <v>76</v>
      </c>
      <c r="O464" s="50" t="s">
        <v>77</v>
      </c>
      <c r="P464" s="11" t="s">
        <v>94</v>
      </c>
      <c r="Q464" s="50" t="s">
        <v>119</v>
      </c>
      <c r="R464" s="47">
        <v>91</v>
      </c>
      <c r="S464" s="48">
        <v>17.5</v>
      </c>
      <c r="T464" s="48">
        <v>5</v>
      </c>
      <c r="U464" s="48">
        <v>91</v>
      </c>
      <c r="V464" s="47" t="s">
        <v>47</v>
      </c>
      <c r="W464" s="48" t="s">
        <v>47</v>
      </c>
      <c r="X464" s="130"/>
      <c r="Y464" s="16"/>
      <c r="Z464" s="15"/>
      <c r="AA464" s="16"/>
      <c r="AB464" s="16"/>
      <c r="AC464" s="66" t="s">
        <v>49</v>
      </c>
      <c r="AD464" s="51" t="s">
        <v>420</v>
      </c>
      <c r="AE464" s="13">
        <v>13</v>
      </c>
      <c r="AF464" s="13">
        <v>2.5</v>
      </c>
      <c r="AG464" s="13">
        <v>45</v>
      </c>
      <c r="AH464" s="134" t="s">
        <v>419</v>
      </c>
      <c r="AI464" s="134">
        <v>3.6</v>
      </c>
      <c r="AJ464" s="135">
        <f t="shared" si="79"/>
        <v>162</v>
      </c>
      <c r="AK464" s="136">
        <f t="shared" si="80"/>
        <v>405</v>
      </c>
      <c r="AL464" s="136" t="str" cm="1">
        <f t="array" ref="AL464">_xlfn.IFS(
AI464&lt;3,"Ligera",
AI464&lt;=6,"Moderada",
AI464&gt;6,"Vigorosa"
)</f>
        <v>Moderada</v>
      </c>
      <c r="AM464" s="45" t="s">
        <v>48</v>
      </c>
      <c r="AN464" s="289" t="s">
        <v>60</v>
      </c>
      <c r="AO464" s="46" t="s">
        <v>61</v>
      </c>
      <c r="AP464" s="289" t="s">
        <v>128</v>
      </c>
      <c r="AQ464" s="139">
        <v>0</v>
      </c>
    </row>
    <row r="465" spans="1:48" ht="59.25" customHeight="1" thickBot="1">
      <c r="A465" s="124" t="s">
        <v>421</v>
      </c>
      <c r="B465" s="125">
        <v>30</v>
      </c>
      <c r="C465" s="125">
        <v>67.599999999999994</v>
      </c>
      <c r="D465" s="125">
        <v>36.67</v>
      </c>
      <c r="E465" s="125" t="s">
        <v>45</v>
      </c>
      <c r="F465" s="125" t="s">
        <v>45</v>
      </c>
      <c r="G465" s="125" t="s">
        <v>422</v>
      </c>
      <c r="H465" s="125"/>
      <c r="I465" s="125" t="s">
        <v>45</v>
      </c>
      <c r="J465" s="125" t="s">
        <v>47</v>
      </c>
      <c r="K465" s="125" t="s">
        <v>49</v>
      </c>
      <c r="L465" s="125" t="s">
        <v>49</v>
      </c>
      <c r="M465" s="126" t="s">
        <v>56</v>
      </c>
      <c r="N465" s="126" t="s">
        <v>76</v>
      </c>
      <c r="O465" s="126" t="s">
        <v>103</v>
      </c>
      <c r="P465" s="126" t="s">
        <v>94</v>
      </c>
      <c r="Q465" s="159" t="s">
        <v>119</v>
      </c>
      <c r="R465" s="167">
        <v>15</v>
      </c>
      <c r="S465" s="168">
        <v>25.26</v>
      </c>
      <c r="T465" s="168">
        <v>2.25</v>
      </c>
      <c r="U465" s="168">
        <v>15</v>
      </c>
      <c r="V465" s="167" t="s">
        <v>47</v>
      </c>
      <c r="W465" s="168" t="s">
        <v>47</v>
      </c>
      <c r="X465" s="130"/>
      <c r="Y465" s="16"/>
      <c r="Z465" s="286"/>
      <c r="AA465" s="286"/>
      <c r="AB465" s="287"/>
      <c r="AC465" s="66" t="s">
        <v>49</v>
      </c>
      <c r="AD465" s="192" t="s">
        <v>423</v>
      </c>
      <c r="AE465" s="134">
        <v>8</v>
      </c>
      <c r="AF465" s="134">
        <v>3</v>
      </c>
      <c r="AG465" s="134">
        <v>50</v>
      </c>
      <c r="AH465" s="134">
        <v>211360</v>
      </c>
      <c r="AI465" s="134">
        <v>3.5</v>
      </c>
      <c r="AJ465" s="135">
        <f t="shared" si="79"/>
        <v>175</v>
      </c>
      <c r="AK465" s="136">
        <f t="shared" si="80"/>
        <v>525</v>
      </c>
      <c r="AL465" s="136" t="str" cm="1">
        <f t="array" ref="AL465">_xlfn.IFS(
AI465&lt;3,"Ligera",
AI465&lt;=6,"Moderada",
AI465&gt;6,"Vigorosa"
)</f>
        <v>Moderada</v>
      </c>
      <c r="AM465" s="136" t="s">
        <v>48</v>
      </c>
      <c r="AN465" s="288" t="s">
        <v>60</v>
      </c>
      <c r="AO465" s="135" t="s">
        <v>61</v>
      </c>
      <c r="AP465" s="288" t="s">
        <v>155</v>
      </c>
      <c r="AQ465" s="137">
        <v>0</v>
      </c>
      <c r="AS465" s="292"/>
    </row>
    <row r="466" spans="1:48" ht="59.25" customHeight="1" thickBot="1">
      <c r="A466" s="138" t="s">
        <v>421</v>
      </c>
      <c r="B466" s="12">
        <v>30</v>
      </c>
      <c r="C466" s="12">
        <v>67.47</v>
      </c>
      <c r="D466" s="12">
        <v>43.33</v>
      </c>
      <c r="E466" s="12" t="s">
        <v>45</v>
      </c>
      <c r="F466" s="12" t="s">
        <v>45</v>
      </c>
      <c r="G466" s="12" t="s">
        <v>422</v>
      </c>
      <c r="H466" s="12"/>
      <c r="I466" s="12" t="s">
        <v>45</v>
      </c>
      <c r="J466" s="12" t="s">
        <v>47</v>
      </c>
      <c r="K466" s="12" t="s">
        <v>49</v>
      </c>
      <c r="L466" s="12" t="s">
        <v>49</v>
      </c>
      <c r="M466" s="11" t="s">
        <v>56</v>
      </c>
      <c r="N466" s="11" t="s">
        <v>57</v>
      </c>
      <c r="O466" s="11" t="s">
        <v>208</v>
      </c>
      <c r="P466" s="11" t="s">
        <v>94</v>
      </c>
      <c r="Q466" s="50" t="s">
        <v>119</v>
      </c>
      <c r="R466" s="47">
        <v>15</v>
      </c>
      <c r="S466" s="48">
        <v>24.86</v>
      </c>
      <c r="T466" s="48">
        <v>1.96</v>
      </c>
      <c r="U466" s="48">
        <v>15</v>
      </c>
      <c r="V466" s="47" t="s">
        <v>47</v>
      </c>
      <c r="W466" s="48" t="s">
        <v>47</v>
      </c>
      <c r="X466" s="130"/>
      <c r="Y466" s="16"/>
      <c r="Z466" s="15"/>
      <c r="AA466" s="16"/>
      <c r="AB466" s="16"/>
      <c r="AC466" s="66" t="s">
        <v>49</v>
      </c>
      <c r="AD466" s="51" t="s">
        <v>424</v>
      </c>
      <c r="AE466" s="13">
        <v>8</v>
      </c>
      <c r="AF466" s="13">
        <v>3</v>
      </c>
      <c r="AG466" s="13">
        <v>60</v>
      </c>
      <c r="AH466" s="134">
        <v>211360</v>
      </c>
      <c r="AI466" s="134">
        <v>3.5</v>
      </c>
      <c r="AJ466" s="135">
        <f t="shared" si="79"/>
        <v>210</v>
      </c>
      <c r="AK466" s="136">
        <f t="shared" si="80"/>
        <v>630</v>
      </c>
      <c r="AL466" s="136" t="str" cm="1">
        <f t="array" ref="AL466">_xlfn.IFS(
AI466&lt;3,"Ligera",
AI466&lt;=6,"Moderada",
AI466&gt;6,"Vigorosa"
)</f>
        <v>Moderada</v>
      </c>
      <c r="AM466" s="45" t="s">
        <v>49</v>
      </c>
      <c r="AN466" s="289" t="s">
        <v>49</v>
      </c>
      <c r="AO466" s="46" t="s">
        <v>61</v>
      </c>
      <c r="AP466" s="289" t="s">
        <v>155</v>
      </c>
      <c r="AQ466" s="139">
        <v>0</v>
      </c>
      <c r="AS466" s="292"/>
    </row>
    <row r="467" spans="1:48" ht="59.25" customHeight="1" thickBot="1">
      <c r="A467" s="138" t="s">
        <v>421</v>
      </c>
      <c r="B467" s="12">
        <v>30</v>
      </c>
      <c r="C467" s="12">
        <v>67.599999999999994</v>
      </c>
      <c r="D467" s="12">
        <v>36.67</v>
      </c>
      <c r="E467" s="12" t="s">
        <v>45</v>
      </c>
      <c r="F467" s="12" t="s">
        <v>45</v>
      </c>
      <c r="G467" s="12" t="s">
        <v>422</v>
      </c>
      <c r="H467" s="12"/>
      <c r="I467" s="12" t="s">
        <v>45</v>
      </c>
      <c r="J467" s="12" t="s">
        <v>47</v>
      </c>
      <c r="K467" s="12" t="s">
        <v>49</v>
      </c>
      <c r="L467" s="12" t="s">
        <v>49</v>
      </c>
      <c r="M467" s="11" t="s">
        <v>56</v>
      </c>
      <c r="N467" s="11" t="s">
        <v>76</v>
      </c>
      <c r="O467" s="11" t="s">
        <v>103</v>
      </c>
      <c r="P467" s="11" t="s">
        <v>86</v>
      </c>
      <c r="Q467" s="50" t="s">
        <v>87</v>
      </c>
      <c r="R467" s="47">
        <v>15</v>
      </c>
      <c r="S467" s="48">
        <v>40.4</v>
      </c>
      <c r="T467" s="48">
        <v>3.14</v>
      </c>
      <c r="U467" s="48">
        <v>15</v>
      </c>
      <c r="V467" s="47">
        <v>48</v>
      </c>
      <c r="W467" s="48">
        <v>3.58</v>
      </c>
      <c r="X467" s="130">
        <f t="shared" si="78"/>
        <v>7.6000000000000014</v>
      </c>
      <c r="Y467" s="16">
        <f t="shared" si="81"/>
        <v>0.87310938604507049</v>
      </c>
      <c r="Z467" s="286" t="s">
        <v>53</v>
      </c>
      <c r="AA467" s="286" t="s">
        <v>53</v>
      </c>
      <c r="AB467" s="287">
        <v>0.87310938604507049</v>
      </c>
      <c r="AC467" s="66" t="s">
        <v>49</v>
      </c>
      <c r="AD467" s="84" t="s">
        <v>423</v>
      </c>
      <c r="AE467" s="13">
        <v>8</v>
      </c>
      <c r="AF467" s="13">
        <v>3</v>
      </c>
      <c r="AG467" s="13">
        <v>50</v>
      </c>
      <c r="AH467" s="134">
        <v>211360</v>
      </c>
      <c r="AI467" s="134">
        <v>3.5</v>
      </c>
      <c r="AJ467" s="135">
        <f t="shared" si="79"/>
        <v>175</v>
      </c>
      <c r="AK467" s="136">
        <f t="shared" si="80"/>
        <v>525</v>
      </c>
      <c r="AL467" s="136" t="str" cm="1">
        <f t="array" ref="AL467">_xlfn.IFS(
AI467&lt;3,"Ligera",
AI467&lt;=6,"Moderada",
AI467&gt;6,"Vigorosa"
)</f>
        <v>Moderada</v>
      </c>
      <c r="AM467" s="45" t="s">
        <v>48</v>
      </c>
      <c r="AN467" s="289" t="s">
        <v>60</v>
      </c>
      <c r="AO467" s="46" t="s">
        <v>61</v>
      </c>
      <c r="AP467" s="289" t="s">
        <v>155</v>
      </c>
      <c r="AQ467" s="139">
        <v>0</v>
      </c>
      <c r="AS467" s="292"/>
    </row>
    <row r="468" spans="1:48" ht="59.25" customHeight="1" thickBot="1">
      <c r="A468" s="138" t="s">
        <v>421</v>
      </c>
      <c r="B468" s="12">
        <v>30</v>
      </c>
      <c r="C468" s="12">
        <v>67.47</v>
      </c>
      <c r="D468" s="12">
        <v>43.33</v>
      </c>
      <c r="E468" s="12" t="s">
        <v>45</v>
      </c>
      <c r="F468" s="12" t="s">
        <v>45</v>
      </c>
      <c r="G468" s="12" t="s">
        <v>422</v>
      </c>
      <c r="H468" s="12"/>
      <c r="I468" s="12" t="s">
        <v>45</v>
      </c>
      <c r="J468" s="12" t="s">
        <v>47</v>
      </c>
      <c r="K468" s="12" t="s">
        <v>49</v>
      </c>
      <c r="L468" s="12" t="s">
        <v>49</v>
      </c>
      <c r="M468" s="11" t="s">
        <v>56</v>
      </c>
      <c r="N468" s="11" t="s">
        <v>57</v>
      </c>
      <c r="O468" s="11" t="s">
        <v>208</v>
      </c>
      <c r="P468" s="11" t="s">
        <v>86</v>
      </c>
      <c r="Q468" s="50" t="s">
        <v>87</v>
      </c>
      <c r="R468" s="47">
        <v>15</v>
      </c>
      <c r="S468" s="48">
        <v>39.200000000000003</v>
      </c>
      <c r="T468" s="48">
        <v>3.83</v>
      </c>
      <c r="U468" s="48">
        <v>15</v>
      </c>
      <c r="V468" s="47">
        <v>45.27</v>
      </c>
      <c r="W468" s="48">
        <v>3.69</v>
      </c>
      <c r="X468" s="130">
        <f t="shared" si="78"/>
        <v>6.07</v>
      </c>
      <c r="Y468" s="16">
        <f t="shared" si="81"/>
        <v>0.97133241821050464</v>
      </c>
      <c r="Z468" s="15">
        <f t="shared" si="82"/>
        <v>-1.5300000000000011</v>
      </c>
      <c r="AA468" s="16">
        <f t="shared" si="83"/>
        <v>13.216249999999999</v>
      </c>
      <c r="AB468" s="16">
        <f t="shared" si="84"/>
        <v>1.3274662582026959</v>
      </c>
      <c r="AC468" s="66" t="s">
        <v>49</v>
      </c>
      <c r="AD468" s="51" t="s">
        <v>425</v>
      </c>
      <c r="AE468" s="13">
        <v>8</v>
      </c>
      <c r="AF468" s="13">
        <v>3</v>
      </c>
      <c r="AG468" s="13">
        <v>60</v>
      </c>
      <c r="AH468" s="134">
        <v>211360</v>
      </c>
      <c r="AI468" s="134">
        <v>3.5</v>
      </c>
      <c r="AJ468" s="135">
        <f t="shared" si="79"/>
        <v>210</v>
      </c>
      <c r="AK468" s="136">
        <f t="shared" si="80"/>
        <v>630</v>
      </c>
      <c r="AL468" s="136" t="str" cm="1">
        <f t="array" ref="AL468">_xlfn.IFS(
AI468&lt;3,"Ligera",
AI468&lt;=6,"Moderada",
AI468&gt;6,"Vigorosa"
)</f>
        <v>Moderada</v>
      </c>
      <c r="AM468" s="45" t="s">
        <v>49</v>
      </c>
      <c r="AN468" s="289" t="s">
        <v>49</v>
      </c>
      <c r="AO468" s="46" t="s">
        <v>61</v>
      </c>
      <c r="AP468" s="289" t="s">
        <v>155</v>
      </c>
      <c r="AQ468" s="139">
        <v>0</v>
      </c>
      <c r="AS468" s="292"/>
    </row>
    <row r="469" spans="1:48" ht="59.25" customHeight="1" thickBot="1">
      <c r="A469" s="138" t="s">
        <v>421</v>
      </c>
      <c r="B469" s="12">
        <v>30</v>
      </c>
      <c r="C469" s="12">
        <v>67.599999999999994</v>
      </c>
      <c r="D469" s="12">
        <v>36.67</v>
      </c>
      <c r="E469" s="12" t="s">
        <v>45</v>
      </c>
      <c r="F469" s="12" t="s">
        <v>45</v>
      </c>
      <c r="G469" s="12" t="s">
        <v>422</v>
      </c>
      <c r="H469" s="12"/>
      <c r="I469" s="12" t="s">
        <v>45</v>
      </c>
      <c r="J469" s="12" t="s">
        <v>47</v>
      </c>
      <c r="K469" s="12" t="s">
        <v>49</v>
      </c>
      <c r="L469" s="12" t="s">
        <v>49</v>
      </c>
      <c r="M469" s="11" t="s">
        <v>56</v>
      </c>
      <c r="N469" s="11" t="s">
        <v>76</v>
      </c>
      <c r="O469" s="11" t="s">
        <v>103</v>
      </c>
      <c r="P469" s="11" t="s">
        <v>197</v>
      </c>
      <c r="Q469" s="50" t="s">
        <v>198</v>
      </c>
      <c r="R469" s="47">
        <v>15</v>
      </c>
      <c r="S469" s="48">
        <v>39.47</v>
      </c>
      <c r="T469" s="48">
        <v>3.96</v>
      </c>
      <c r="U469" s="48">
        <v>15</v>
      </c>
      <c r="V469" s="47">
        <v>32.729999999999997</v>
      </c>
      <c r="W469" s="48">
        <v>3.31</v>
      </c>
      <c r="X469" s="130">
        <f t="shared" si="78"/>
        <v>-6.740000000000002</v>
      </c>
      <c r="Y469" s="16">
        <f t="shared" si="81"/>
        <v>0.94974031538450909</v>
      </c>
      <c r="Z469" s="286" t="s">
        <v>53</v>
      </c>
      <c r="AA469" s="286" t="s">
        <v>53</v>
      </c>
      <c r="AB469" s="287">
        <v>0.94974031538450909</v>
      </c>
      <c r="AC469" s="66" t="s">
        <v>48</v>
      </c>
      <c r="AD469" s="84" t="s">
        <v>423</v>
      </c>
      <c r="AE469" s="13">
        <v>8</v>
      </c>
      <c r="AF469" s="13">
        <v>3</v>
      </c>
      <c r="AG469" s="13">
        <v>50</v>
      </c>
      <c r="AH469" s="134">
        <v>211360</v>
      </c>
      <c r="AI469" s="134">
        <v>3.5</v>
      </c>
      <c r="AJ469" s="135">
        <f t="shared" si="79"/>
        <v>175</v>
      </c>
      <c r="AK469" s="136">
        <f t="shared" si="80"/>
        <v>525</v>
      </c>
      <c r="AL469" s="136" t="str" cm="1">
        <f t="array" ref="AL469">_xlfn.IFS(
AI469&lt;3,"Ligera",
AI469&lt;=6,"Moderada",
AI469&gt;6,"Vigorosa"
)</f>
        <v>Moderada</v>
      </c>
      <c r="AM469" s="45" t="s">
        <v>48</v>
      </c>
      <c r="AN469" s="289" t="s">
        <v>60</v>
      </c>
      <c r="AO469" s="46" t="s">
        <v>61</v>
      </c>
      <c r="AP469" s="289" t="s">
        <v>155</v>
      </c>
      <c r="AQ469" s="139">
        <v>0</v>
      </c>
      <c r="AS469" s="292"/>
    </row>
    <row r="470" spans="1:48" ht="59.25" customHeight="1" thickBot="1">
      <c r="A470" s="140" t="s">
        <v>421</v>
      </c>
      <c r="B470" s="141">
        <v>30</v>
      </c>
      <c r="C470" s="141">
        <v>67.47</v>
      </c>
      <c r="D470" s="141">
        <v>43.33</v>
      </c>
      <c r="E470" s="141" t="s">
        <v>45</v>
      </c>
      <c r="F470" s="141" t="s">
        <v>45</v>
      </c>
      <c r="G470" s="141" t="s">
        <v>422</v>
      </c>
      <c r="H470" s="141"/>
      <c r="I470" s="141" t="s">
        <v>45</v>
      </c>
      <c r="J470" s="141" t="s">
        <v>47</v>
      </c>
      <c r="K470" s="141" t="s">
        <v>49</v>
      </c>
      <c r="L470" s="141" t="s">
        <v>49</v>
      </c>
      <c r="M470" s="142" t="s">
        <v>56</v>
      </c>
      <c r="N470" s="142" t="s">
        <v>57</v>
      </c>
      <c r="O470" s="142" t="s">
        <v>208</v>
      </c>
      <c r="P470" s="142" t="s">
        <v>197</v>
      </c>
      <c r="Q470" s="158" t="s">
        <v>198</v>
      </c>
      <c r="R470" s="169">
        <v>15</v>
      </c>
      <c r="S470" s="170">
        <v>40.4</v>
      </c>
      <c r="T470" s="170">
        <v>3.33</v>
      </c>
      <c r="U470" s="170">
        <v>15</v>
      </c>
      <c r="V470" s="169">
        <v>36.07</v>
      </c>
      <c r="W470" s="170">
        <v>3.51</v>
      </c>
      <c r="X470" s="130">
        <f t="shared" si="78"/>
        <v>-4.3299999999999983</v>
      </c>
      <c r="Y470" s="16">
        <f t="shared" si="81"/>
        <v>0.88395701252945547</v>
      </c>
      <c r="Z470" s="15">
        <f t="shared" si="82"/>
        <v>2.4100000000000037</v>
      </c>
      <c r="AA470" s="16">
        <f t="shared" si="83"/>
        <v>11.6381</v>
      </c>
      <c r="AB470" s="16">
        <f t="shared" si="84"/>
        <v>1.2456912405033065</v>
      </c>
      <c r="AC470" s="66" t="s">
        <v>48</v>
      </c>
      <c r="AD470" s="151" t="s">
        <v>425</v>
      </c>
      <c r="AE470" s="146">
        <v>8</v>
      </c>
      <c r="AF470" s="146">
        <v>3</v>
      </c>
      <c r="AG470" s="146">
        <v>60</v>
      </c>
      <c r="AH470" s="134">
        <v>211360</v>
      </c>
      <c r="AI470" s="134">
        <v>3.5</v>
      </c>
      <c r="AJ470" s="135">
        <f t="shared" si="79"/>
        <v>210</v>
      </c>
      <c r="AK470" s="136">
        <f t="shared" si="80"/>
        <v>630</v>
      </c>
      <c r="AL470" s="136" t="str" cm="1">
        <f t="array" ref="AL470">_xlfn.IFS(
AI470&lt;3,"Ligera",
AI470&lt;=6,"Moderada",
AI470&gt;6,"Vigorosa"
)</f>
        <v>Moderada</v>
      </c>
      <c r="AM470" s="147" t="s">
        <v>49</v>
      </c>
      <c r="AN470" s="290" t="s">
        <v>49</v>
      </c>
      <c r="AO470" s="148" t="s">
        <v>61</v>
      </c>
      <c r="AP470" s="290" t="s">
        <v>155</v>
      </c>
      <c r="AQ470" s="149">
        <v>0</v>
      </c>
      <c r="AS470" s="292"/>
    </row>
    <row r="471" spans="1:48" ht="59.25" customHeight="1" thickBot="1">
      <c r="A471" s="124" t="s">
        <v>426</v>
      </c>
      <c r="B471" s="125">
        <v>41</v>
      </c>
      <c r="C471" s="125">
        <v>68.7</v>
      </c>
      <c r="D471" s="125">
        <v>0</v>
      </c>
      <c r="E471" s="125" t="s">
        <v>45</v>
      </c>
      <c r="F471" s="125" t="s">
        <v>45</v>
      </c>
      <c r="G471" s="125" t="s">
        <v>427</v>
      </c>
      <c r="H471" s="125"/>
      <c r="I471" s="125" t="s">
        <v>45</v>
      </c>
      <c r="J471" s="125">
        <v>2.1</v>
      </c>
      <c r="K471" s="125" t="s">
        <v>48</v>
      </c>
      <c r="L471" s="125" t="s">
        <v>49</v>
      </c>
      <c r="M471" s="126" t="s">
        <v>56</v>
      </c>
      <c r="N471" s="126" t="s">
        <v>76</v>
      </c>
      <c r="O471" s="126" t="s">
        <v>103</v>
      </c>
      <c r="P471" s="11" t="s">
        <v>86</v>
      </c>
      <c r="Q471" s="159" t="s">
        <v>87</v>
      </c>
      <c r="R471" s="167">
        <v>21</v>
      </c>
      <c r="S471" s="168">
        <v>41.81</v>
      </c>
      <c r="T471" s="168">
        <v>7.52</v>
      </c>
      <c r="U471" s="167">
        <v>21</v>
      </c>
      <c r="V471" s="167">
        <v>45.09</v>
      </c>
      <c r="W471" s="168">
        <v>7.41</v>
      </c>
      <c r="X471" s="130">
        <f t="shared" si="78"/>
        <v>3.2800000000000011</v>
      </c>
      <c r="Y471" s="16">
        <f t="shared" si="81"/>
        <v>1.6291291860260515</v>
      </c>
      <c r="Z471" s="286" t="s">
        <v>53</v>
      </c>
      <c r="AA471" s="286" t="s">
        <v>53</v>
      </c>
      <c r="AB471" s="287">
        <v>1.6291291860260515</v>
      </c>
      <c r="AC471" s="66" t="s">
        <v>49</v>
      </c>
      <c r="AD471" s="133" t="s">
        <v>428</v>
      </c>
      <c r="AE471" s="134">
        <v>24</v>
      </c>
      <c r="AF471" s="134">
        <v>4</v>
      </c>
      <c r="AG471" s="134">
        <v>45</v>
      </c>
      <c r="AH471" s="134">
        <v>211360</v>
      </c>
      <c r="AI471" s="134">
        <v>3.5</v>
      </c>
      <c r="AJ471" s="135">
        <f t="shared" si="79"/>
        <v>157.5</v>
      </c>
      <c r="AK471" s="136">
        <f t="shared" si="80"/>
        <v>630</v>
      </c>
      <c r="AL471" s="136" t="str" cm="1">
        <f t="array" ref="AL471">_xlfn.IFS(
AI471&lt;3,"Ligera",
AI471&lt;=6,"Moderada",
AI471&gt;6,"Vigorosa"
)</f>
        <v>Moderada</v>
      </c>
      <c r="AM471" s="136" t="s">
        <v>48</v>
      </c>
      <c r="AN471" s="288" t="s">
        <v>60</v>
      </c>
      <c r="AO471" s="135" t="s">
        <v>61</v>
      </c>
      <c r="AP471" s="288" t="s">
        <v>155</v>
      </c>
      <c r="AQ471" s="137">
        <v>0</v>
      </c>
      <c r="AS471" s="292"/>
      <c r="AV471" s="293"/>
    </row>
    <row r="472" spans="1:48" ht="78.75" customHeight="1" thickBot="1">
      <c r="A472" s="138" t="s">
        <v>426</v>
      </c>
      <c r="B472" s="12">
        <v>41</v>
      </c>
      <c r="C472" s="12">
        <v>69.7</v>
      </c>
      <c r="D472" s="12">
        <v>0</v>
      </c>
      <c r="E472" s="12" t="s">
        <v>45</v>
      </c>
      <c r="F472" s="12" t="s">
        <v>45</v>
      </c>
      <c r="G472" s="12" t="s">
        <v>427</v>
      </c>
      <c r="H472" s="12"/>
      <c r="I472" s="12" t="s">
        <v>45</v>
      </c>
      <c r="J472" s="12">
        <v>2.4</v>
      </c>
      <c r="K472" s="12" t="s">
        <v>48</v>
      </c>
      <c r="L472" s="12" t="s">
        <v>49</v>
      </c>
      <c r="M472" s="11" t="s">
        <v>56</v>
      </c>
      <c r="N472" s="11" t="s">
        <v>76</v>
      </c>
      <c r="O472" s="11" t="s">
        <v>77</v>
      </c>
      <c r="P472" s="11" t="s">
        <v>86</v>
      </c>
      <c r="Q472" s="50" t="s">
        <v>87</v>
      </c>
      <c r="R472" s="47">
        <v>20</v>
      </c>
      <c r="S472" s="48">
        <v>42.75</v>
      </c>
      <c r="T472" s="52">
        <v>7.34</v>
      </c>
      <c r="U472" s="47">
        <v>20</v>
      </c>
      <c r="V472" s="47">
        <v>43.34</v>
      </c>
      <c r="W472" s="48">
        <v>6.82</v>
      </c>
      <c r="X472" s="130">
        <f t="shared" si="78"/>
        <v>0.59000000000000341</v>
      </c>
      <c r="Y472" s="16">
        <f t="shared" si="81"/>
        <v>1.5863353995924065</v>
      </c>
      <c r="Z472" s="15">
        <f t="shared" si="82"/>
        <v>-2.6899999999999977</v>
      </c>
      <c r="AA472" s="16">
        <f t="shared" si="83"/>
        <v>50.817887179487187</v>
      </c>
      <c r="AB472" s="16">
        <f t="shared" si="84"/>
        <v>2.2272839397961253</v>
      </c>
      <c r="AC472" s="66" t="s">
        <v>49</v>
      </c>
      <c r="AD472" s="51" t="s">
        <v>429</v>
      </c>
      <c r="AE472" s="13">
        <v>24</v>
      </c>
      <c r="AF472" s="13">
        <v>4</v>
      </c>
      <c r="AG472" s="13">
        <v>35</v>
      </c>
      <c r="AH472" s="13">
        <v>205360</v>
      </c>
      <c r="AI472" s="13">
        <v>2.2999999999999998</v>
      </c>
      <c r="AJ472" s="135">
        <f t="shared" si="79"/>
        <v>80.5</v>
      </c>
      <c r="AK472" s="136">
        <f t="shared" si="80"/>
        <v>322</v>
      </c>
      <c r="AL472" s="136" t="str" cm="1">
        <f t="array" ref="AL472">_xlfn.IFS(
AI472&lt;3,"Ligera",
AI472&lt;=6,"Moderada",
AI472&gt;6,"Vigorosa"
)</f>
        <v>Ligera</v>
      </c>
      <c r="AM472" s="45" t="s">
        <v>49</v>
      </c>
      <c r="AN472" s="289" t="s">
        <v>49</v>
      </c>
      <c r="AO472" s="46" t="s">
        <v>61</v>
      </c>
      <c r="AP472" s="289" t="s">
        <v>155</v>
      </c>
      <c r="AQ472" s="139">
        <v>0</v>
      </c>
      <c r="AS472" s="292"/>
    </row>
    <row r="473" spans="1:48" ht="59.25" customHeight="1" thickBot="1">
      <c r="A473" s="138" t="s">
        <v>426</v>
      </c>
      <c r="B473" s="12">
        <v>41</v>
      </c>
      <c r="C473" s="12">
        <v>68.7</v>
      </c>
      <c r="D473" s="12">
        <v>0</v>
      </c>
      <c r="E473" s="12" t="s">
        <v>45</v>
      </c>
      <c r="F473" s="12" t="s">
        <v>45</v>
      </c>
      <c r="G473" s="12" t="s">
        <v>427</v>
      </c>
      <c r="H473" s="12"/>
      <c r="I473" s="12" t="s">
        <v>45</v>
      </c>
      <c r="J473" s="12">
        <v>2.1</v>
      </c>
      <c r="K473" s="12" t="s">
        <v>48</v>
      </c>
      <c r="L473" s="12" t="s">
        <v>49</v>
      </c>
      <c r="M473" s="11" t="s">
        <v>56</v>
      </c>
      <c r="N473" s="11" t="s">
        <v>76</v>
      </c>
      <c r="O473" s="11" t="s">
        <v>103</v>
      </c>
      <c r="P473" s="11" t="s">
        <v>51</v>
      </c>
      <c r="Q473" s="50" t="s">
        <v>124</v>
      </c>
      <c r="R473" s="47">
        <v>21</v>
      </c>
      <c r="S473" s="48">
        <v>20.72</v>
      </c>
      <c r="T473" s="48">
        <v>4.87</v>
      </c>
      <c r="U473" s="47">
        <v>21</v>
      </c>
      <c r="V473" s="47">
        <v>17.93</v>
      </c>
      <c r="W473" s="48">
        <v>4.96</v>
      </c>
      <c r="X473" s="130">
        <f t="shared" si="78"/>
        <v>-2.7899999999999991</v>
      </c>
      <c r="Y473" s="16">
        <f t="shared" si="81"/>
        <v>1.0726757820205197</v>
      </c>
      <c r="Z473" s="286" t="s">
        <v>53</v>
      </c>
      <c r="AA473" s="286" t="s">
        <v>53</v>
      </c>
      <c r="AB473" s="287">
        <v>1.0726757820205197</v>
      </c>
      <c r="AC473" s="66" t="s">
        <v>48</v>
      </c>
      <c r="AD473" s="51" t="s">
        <v>430</v>
      </c>
      <c r="AE473" s="13">
        <v>24</v>
      </c>
      <c r="AF473" s="13">
        <v>4</v>
      </c>
      <c r="AG473" s="13">
        <v>45</v>
      </c>
      <c r="AH473" s="134">
        <v>211360</v>
      </c>
      <c r="AI473" s="134">
        <v>3.5</v>
      </c>
      <c r="AJ473" s="135">
        <f t="shared" si="79"/>
        <v>157.5</v>
      </c>
      <c r="AK473" s="136">
        <f t="shared" si="80"/>
        <v>630</v>
      </c>
      <c r="AL473" s="136" t="str" cm="1">
        <f t="array" ref="AL473">_xlfn.IFS(
AI473&lt;3,"Ligera",
AI473&lt;=6,"Moderada",
AI473&gt;6,"Vigorosa"
)</f>
        <v>Moderada</v>
      </c>
      <c r="AM473" s="45" t="s">
        <v>48</v>
      </c>
      <c r="AN473" s="289" t="s">
        <v>60</v>
      </c>
      <c r="AO473" s="46" t="s">
        <v>61</v>
      </c>
      <c r="AP473" s="289" t="s">
        <v>155</v>
      </c>
      <c r="AQ473" s="139">
        <v>0</v>
      </c>
      <c r="AS473" s="292"/>
      <c r="AV473" s="293"/>
    </row>
    <row r="474" spans="1:48" ht="78.75" customHeight="1" thickBot="1">
      <c r="A474" s="138" t="s">
        <v>426</v>
      </c>
      <c r="B474" s="12">
        <v>41</v>
      </c>
      <c r="C474" s="12">
        <v>69.7</v>
      </c>
      <c r="D474" s="12">
        <v>0</v>
      </c>
      <c r="E474" s="12" t="s">
        <v>45</v>
      </c>
      <c r="F474" s="12" t="s">
        <v>45</v>
      </c>
      <c r="G474" s="12" t="s">
        <v>427</v>
      </c>
      <c r="H474" s="12"/>
      <c r="I474" s="12" t="s">
        <v>45</v>
      </c>
      <c r="J474" s="12">
        <v>2.4</v>
      </c>
      <c r="K474" s="12" t="s">
        <v>48</v>
      </c>
      <c r="L474" s="12" t="s">
        <v>49</v>
      </c>
      <c r="M474" s="11" t="s">
        <v>56</v>
      </c>
      <c r="N474" s="11" t="s">
        <v>76</v>
      </c>
      <c r="O474" s="11" t="s">
        <v>77</v>
      </c>
      <c r="P474" s="11" t="s">
        <v>51</v>
      </c>
      <c r="Q474" s="50" t="s">
        <v>124</v>
      </c>
      <c r="R474" s="47">
        <v>20</v>
      </c>
      <c r="S474" s="48">
        <v>21.39</v>
      </c>
      <c r="T474" s="52">
        <v>4.96</v>
      </c>
      <c r="U474" s="47">
        <v>20</v>
      </c>
      <c r="V474" s="47">
        <v>19.3</v>
      </c>
      <c r="W474" s="48">
        <v>4.3159999999999998</v>
      </c>
      <c r="X474" s="130">
        <f t="shared" si="78"/>
        <v>-2.09</v>
      </c>
      <c r="Y474" s="16">
        <f t="shared" si="81"/>
        <v>1.0445596201270657</v>
      </c>
      <c r="Z474" s="15">
        <f t="shared" si="82"/>
        <v>0.69999999999999929</v>
      </c>
      <c r="AA474" s="16">
        <f t="shared" si="83"/>
        <v>21.691314461538461</v>
      </c>
      <c r="AB474" s="16">
        <f t="shared" si="84"/>
        <v>1.4551582248472703</v>
      </c>
      <c r="AC474" s="66" t="s">
        <v>48</v>
      </c>
      <c r="AD474" s="51" t="s">
        <v>429</v>
      </c>
      <c r="AE474" s="13">
        <v>24</v>
      </c>
      <c r="AF474" s="13">
        <v>4</v>
      </c>
      <c r="AG474" s="13">
        <v>35</v>
      </c>
      <c r="AH474" s="13">
        <v>205360</v>
      </c>
      <c r="AI474" s="13">
        <v>2.2999999999999998</v>
      </c>
      <c r="AJ474" s="135">
        <f t="shared" si="79"/>
        <v>80.5</v>
      </c>
      <c r="AK474" s="136">
        <f t="shared" si="80"/>
        <v>322</v>
      </c>
      <c r="AL474" s="136" t="str" cm="1">
        <f t="array" ref="AL474">_xlfn.IFS(
AI474&lt;3,"Ligera",
AI474&lt;=6,"Moderada",
AI474&gt;6,"Vigorosa"
)</f>
        <v>Ligera</v>
      </c>
      <c r="AM474" s="45" t="s">
        <v>49</v>
      </c>
      <c r="AN474" s="289" t="s">
        <v>49</v>
      </c>
      <c r="AO474" s="46" t="s">
        <v>61</v>
      </c>
      <c r="AP474" s="289" t="s">
        <v>155</v>
      </c>
      <c r="AQ474" s="139">
        <v>0</v>
      </c>
      <c r="AS474" s="292"/>
    </row>
    <row r="475" spans="1:48" ht="78.75" customHeight="1" thickBot="1">
      <c r="A475" s="124" t="s">
        <v>431</v>
      </c>
      <c r="B475" s="125">
        <v>77</v>
      </c>
      <c r="C475" s="125">
        <v>78.7</v>
      </c>
      <c r="D475" s="125">
        <v>39.4</v>
      </c>
      <c r="E475" s="125" t="s">
        <v>45</v>
      </c>
      <c r="F475" s="125" t="s">
        <v>45</v>
      </c>
      <c r="G475" s="125" t="s">
        <v>432</v>
      </c>
      <c r="H475" s="125"/>
      <c r="I475" s="125" t="s">
        <v>45</v>
      </c>
      <c r="J475" s="125">
        <v>1.9</v>
      </c>
      <c r="K475" s="125" t="s">
        <v>48</v>
      </c>
      <c r="L475" s="125" t="s">
        <v>48</v>
      </c>
      <c r="M475" s="126" t="s">
        <v>50</v>
      </c>
      <c r="N475" s="126" t="s">
        <v>50</v>
      </c>
      <c r="O475" s="126" t="s">
        <v>50</v>
      </c>
      <c r="P475" s="126" t="s">
        <v>86</v>
      </c>
      <c r="Q475" s="159" t="s">
        <v>86</v>
      </c>
      <c r="R475" s="167">
        <v>33</v>
      </c>
      <c r="S475" s="168">
        <v>1.4</v>
      </c>
      <c r="T475" s="168">
        <v>1.7</v>
      </c>
      <c r="U475" s="167">
        <v>33</v>
      </c>
      <c r="V475" s="167" t="s">
        <v>47</v>
      </c>
      <c r="W475" s="168" t="s">
        <v>47</v>
      </c>
      <c r="X475" s="130"/>
      <c r="Y475" s="16"/>
      <c r="Z475" s="286"/>
      <c r="AA475" s="286"/>
      <c r="AB475" s="287"/>
      <c r="AC475" s="66" t="s">
        <v>48</v>
      </c>
      <c r="AD475" s="133" t="s">
        <v>433</v>
      </c>
      <c r="AE475" s="134">
        <v>24</v>
      </c>
      <c r="AF475" s="134">
        <v>0</v>
      </c>
      <c r="AG475" s="134">
        <v>0</v>
      </c>
      <c r="AH475" s="134">
        <v>0</v>
      </c>
      <c r="AI475" s="134">
        <v>0</v>
      </c>
      <c r="AJ475" s="135">
        <f t="shared" si="79"/>
        <v>0</v>
      </c>
      <c r="AK475" s="136">
        <f t="shared" si="80"/>
        <v>0</v>
      </c>
      <c r="AL475" s="136" t="str" cm="1">
        <f t="array" ref="AL475">_xlfn.IFS(
AI475&lt;3,"Ligera",
AI475&lt;=6,"Moderada",
AI475&gt;6,"Vigorosa"
)</f>
        <v>Ligera</v>
      </c>
      <c r="AM475" s="136" t="s">
        <v>49</v>
      </c>
      <c r="AN475" s="288" t="s">
        <v>49</v>
      </c>
      <c r="AO475" s="135" t="s">
        <v>49</v>
      </c>
      <c r="AP475" s="288" t="s">
        <v>49</v>
      </c>
      <c r="AQ475" s="137">
        <v>0</v>
      </c>
    </row>
    <row r="476" spans="1:48" ht="78.75" customHeight="1" thickBot="1">
      <c r="A476" s="138" t="s">
        <v>431</v>
      </c>
      <c r="B476" s="12">
        <v>77</v>
      </c>
      <c r="C476" s="12">
        <v>77.5</v>
      </c>
      <c r="D476" s="12">
        <v>18.5</v>
      </c>
      <c r="E476" s="12" t="s">
        <v>45</v>
      </c>
      <c r="F476" s="12" t="s">
        <v>45</v>
      </c>
      <c r="G476" s="12" t="s">
        <v>432</v>
      </c>
      <c r="H476" s="12"/>
      <c r="I476" s="12" t="s">
        <v>45</v>
      </c>
      <c r="J476" s="12">
        <v>2</v>
      </c>
      <c r="K476" s="12" t="s">
        <v>48</v>
      </c>
      <c r="L476" s="12" t="s">
        <v>48</v>
      </c>
      <c r="M476" s="11" t="s">
        <v>56</v>
      </c>
      <c r="N476" s="11" t="s">
        <v>76</v>
      </c>
      <c r="O476" s="11" t="s">
        <v>103</v>
      </c>
      <c r="P476" s="11" t="s">
        <v>86</v>
      </c>
      <c r="Q476" s="50" t="s">
        <v>86</v>
      </c>
      <c r="R476" s="47">
        <v>27</v>
      </c>
      <c r="S476" s="48">
        <v>0.8</v>
      </c>
      <c r="T476" s="48">
        <v>1.2</v>
      </c>
      <c r="U476" s="47">
        <v>27</v>
      </c>
      <c r="V476" s="47" t="s">
        <v>47</v>
      </c>
      <c r="W476" s="48" t="s">
        <v>47</v>
      </c>
      <c r="X476" s="130"/>
      <c r="Y476" s="16"/>
      <c r="Z476" s="15"/>
      <c r="AA476" s="16"/>
      <c r="AB476" s="16"/>
      <c r="AC476" s="66" t="s">
        <v>48</v>
      </c>
      <c r="AD476" s="51" t="s">
        <v>434</v>
      </c>
      <c r="AE476" s="13">
        <v>24</v>
      </c>
      <c r="AF476" s="13">
        <v>5</v>
      </c>
      <c r="AG476" s="13">
        <v>40</v>
      </c>
      <c r="AH476" s="134" t="s">
        <v>435</v>
      </c>
      <c r="AI476" s="134">
        <v>3.26</v>
      </c>
      <c r="AJ476" s="135">
        <v>134.1</v>
      </c>
      <c r="AK476" s="136">
        <v>670.5</v>
      </c>
      <c r="AL476" s="136" t="str" cm="1">
        <f t="array" ref="AL476">_xlfn.IFS(
AI476&lt;3,"Ligera",
AI476&lt;=6,"Moderada",
AI476&gt;6,"Vigorosa"
)</f>
        <v>Moderada</v>
      </c>
      <c r="AM476" s="45" t="s">
        <v>48</v>
      </c>
      <c r="AN476" s="289" t="s">
        <v>60</v>
      </c>
      <c r="AO476" s="46" t="s">
        <v>61</v>
      </c>
      <c r="AP476" s="289" t="s">
        <v>155</v>
      </c>
      <c r="AQ476" s="139">
        <v>0</v>
      </c>
    </row>
    <row r="477" spans="1:48" ht="78.75" customHeight="1" thickBot="1">
      <c r="A477" s="138" t="s">
        <v>431</v>
      </c>
      <c r="B477" s="12">
        <v>77</v>
      </c>
      <c r="C477" s="12">
        <v>78.7</v>
      </c>
      <c r="D477" s="12">
        <v>39.4</v>
      </c>
      <c r="E477" s="12" t="s">
        <v>45</v>
      </c>
      <c r="F477" s="12" t="s">
        <v>45</v>
      </c>
      <c r="G477" s="12" t="s">
        <v>432</v>
      </c>
      <c r="H477" s="12"/>
      <c r="I477" s="12" t="s">
        <v>45</v>
      </c>
      <c r="J477" s="12">
        <v>1.9</v>
      </c>
      <c r="K477" s="12" t="s">
        <v>48</v>
      </c>
      <c r="L477" s="12" t="s">
        <v>48</v>
      </c>
      <c r="M477" s="11" t="s">
        <v>50</v>
      </c>
      <c r="N477" s="11" t="s">
        <v>50</v>
      </c>
      <c r="O477" s="11" t="s">
        <v>50</v>
      </c>
      <c r="P477" s="11" t="s">
        <v>94</v>
      </c>
      <c r="Q477" s="50" t="s">
        <v>119</v>
      </c>
      <c r="R477" s="47">
        <v>33</v>
      </c>
      <c r="S477" s="48">
        <v>28.9</v>
      </c>
      <c r="T477" s="48">
        <v>1.4</v>
      </c>
      <c r="U477" s="47">
        <v>33</v>
      </c>
      <c r="V477" s="47" t="s">
        <v>47</v>
      </c>
      <c r="W477" s="48" t="s">
        <v>47</v>
      </c>
      <c r="X477" s="130"/>
      <c r="Y477" s="16"/>
      <c r="Z477" s="286"/>
      <c r="AA477" s="286"/>
      <c r="AB477" s="287"/>
      <c r="AC477" s="66" t="s">
        <v>49</v>
      </c>
      <c r="AD477" s="51" t="s">
        <v>433</v>
      </c>
      <c r="AE477" s="13">
        <v>24</v>
      </c>
      <c r="AF477" s="13">
        <v>0</v>
      </c>
      <c r="AG477" s="13">
        <v>0</v>
      </c>
      <c r="AH477" s="134">
        <v>0</v>
      </c>
      <c r="AI477" s="134">
        <v>0</v>
      </c>
      <c r="AJ477" s="135">
        <f t="shared" si="79"/>
        <v>0</v>
      </c>
      <c r="AK477" s="136">
        <f t="shared" si="80"/>
        <v>0</v>
      </c>
      <c r="AL477" s="136" t="str" cm="1">
        <f t="array" ref="AL477">_xlfn.IFS(
AI477&lt;3,"Ligera",
AI477&lt;=6,"Moderada",
AI477&gt;6,"Vigorosa"
)</f>
        <v>Ligera</v>
      </c>
      <c r="AM477" s="45" t="s">
        <v>49</v>
      </c>
      <c r="AN477" s="289" t="s">
        <v>49</v>
      </c>
      <c r="AO477" s="46" t="s">
        <v>49</v>
      </c>
      <c r="AP477" s="289" t="s">
        <v>49</v>
      </c>
      <c r="AQ477" s="139">
        <v>0</v>
      </c>
    </row>
    <row r="478" spans="1:48" ht="78.75" customHeight="1" thickBot="1">
      <c r="A478" s="138" t="s">
        <v>431</v>
      </c>
      <c r="B478" s="12">
        <v>77</v>
      </c>
      <c r="C478" s="12">
        <v>77.5</v>
      </c>
      <c r="D478" s="12">
        <v>18.5</v>
      </c>
      <c r="E478" s="12" t="s">
        <v>45</v>
      </c>
      <c r="F478" s="12" t="s">
        <v>45</v>
      </c>
      <c r="G478" s="12" t="s">
        <v>432</v>
      </c>
      <c r="H478" s="12"/>
      <c r="I478" s="12" t="s">
        <v>45</v>
      </c>
      <c r="J478" s="12">
        <v>2</v>
      </c>
      <c r="K478" s="12" t="s">
        <v>48</v>
      </c>
      <c r="L478" s="12" t="s">
        <v>48</v>
      </c>
      <c r="M478" s="11" t="s">
        <v>56</v>
      </c>
      <c r="N478" s="11" t="s">
        <v>76</v>
      </c>
      <c r="O478" s="11" t="s">
        <v>103</v>
      </c>
      <c r="P478" s="11" t="s">
        <v>94</v>
      </c>
      <c r="Q478" s="50" t="s">
        <v>119</v>
      </c>
      <c r="R478" s="47">
        <v>27</v>
      </c>
      <c r="S478" s="48">
        <v>29.2</v>
      </c>
      <c r="T478" s="48">
        <v>1.1000000000000001</v>
      </c>
      <c r="U478" s="47">
        <v>27</v>
      </c>
      <c r="V478" s="47" t="s">
        <v>47</v>
      </c>
      <c r="W478" s="48" t="s">
        <v>47</v>
      </c>
      <c r="X478" s="130"/>
      <c r="Y478" s="16"/>
      <c r="Z478" s="15"/>
      <c r="AA478" s="16"/>
      <c r="AB478" s="16"/>
      <c r="AC478" s="66" t="s">
        <v>49</v>
      </c>
      <c r="AD478" s="51" t="s">
        <v>436</v>
      </c>
      <c r="AE478" s="13">
        <v>24</v>
      </c>
      <c r="AF478" s="13">
        <v>5</v>
      </c>
      <c r="AG478" s="13">
        <v>40</v>
      </c>
      <c r="AH478" s="134" t="s">
        <v>435</v>
      </c>
      <c r="AI478" s="134">
        <v>3.26</v>
      </c>
      <c r="AJ478" s="135">
        <v>134.1</v>
      </c>
      <c r="AK478" s="136">
        <v>670.5</v>
      </c>
      <c r="AL478" s="136" t="str" cm="1">
        <f t="array" ref="AL478">_xlfn.IFS(
AI478&lt;3,"Ligera",
AI478&lt;=6,"Moderada",
AI478&gt;6,"Vigorosa"
)</f>
        <v>Moderada</v>
      </c>
      <c r="AM478" s="45" t="s">
        <v>48</v>
      </c>
      <c r="AN478" s="289" t="s">
        <v>60</v>
      </c>
      <c r="AO478" s="46" t="s">
        <v>61</v>
      </c>
      <c r="AP478" s="289" t="s">
        <v>155</v>
      </c>
      <c r="AQ478" s="139">
        <v>0</v>
      </c>
    </row>
    <row r="479" spans="1:48" ht="78.75" customHeight="1" thickBot="1">
      <c r="A479" s="138" t="s">
        <v>431</v>
      </c>
      <c r="B479" s="12">
        <v>77</v>
      </c>
      <c r="C479" s="12">
        <v>78.7</v>
      </c>
      <c r="D479" s="12">
        <v>39.4</v>
      </c>
      <c r="E479" s="12" t="s">
        <v>45</v>
      </c>
      <c r="F479" s="12" t="s">
        <v>45</v>
      </c>
      <c r="G479" s="12" t="s">
        <v>432</v>
      </c>
      <c r="H479" s="12"/>
      <c r="I479" s="12" t="s">
        <v>45</v>
      </c>
      <c r="J479" s="12">
        <v>1.9</v>
      </c>
      <c r="K479" s="12" t="s">
        <v>48</v>
      </c>
      <c r="L479" s="12" t="s">
        <v>48</v>
      </c>
      <c r="M479" s="11" t="s">
        <v>50</v>
      </c>
      <c r="N479" s="11" t="s">
        <v>50</v>
      </c>
      <c r="O479" s="11" t="s">
        <v>50</v>
      </c>
      <c r="P479" s="11" t="s">
        <v>86</v>
      </c>
      <c r="Q479" s="50" t="s">
        <v>87</v>
      </c>
      <c r="R479" s="47">
        <v>33</v>
      </c>
      <c r="S479" s="48">
        <v>46.1</v>
      </c>
      <c r="T479" s="48">
        <v>6.5</v>
      </c>
      <c r="U479" s="47">
        <v>33</v>
      </c>
      <c r="V479" s="47">
        <v>45.6</v>
      </c>
      <c r="W479" s="48">
        <v>6.7</v>
      </c>
      <c r="X479" s="130">
        <f t="shared" si="78"/>
        <v>-0.5</v>
      </c>
      <c r="Y479" s="16">
        <f t="shared" si="81"/>
        <v>1.149308092249024</v>
      </c>
      <c r="Z479" s="286" t="s">
        <v>53</v>
      </c>
      <c r="AA479" s="286" t="s">
        <v>53</v>
      </c>
      <c r="AB479" s="287">
        <v>1.149308092249024</v>
      </c>
      <c r="AC479" s="66" t="s">
        <v>49</v>
      </c>
      <c r="AD479" s="51" t="s">
        <v>433</v>
      </c>
      <c r="AE479" s="13">
        <v>24</v>
      </c>
      <c r="AF479" s="13">
        <v>0</v>
      </c>
      <c r="AG479" s="13">
        <v>0</v>
      </c>
      <c r="AH479" s="134">
        <v>0</v>
      </c>
      <c r="AI479" s="134">
        <v>0</v>
      </c>
      <c r="AJ479" s="135">
        <f t="shared" si="79"/>
        <v>0</v>
      </c>
      <c r="AK479" s="136">
        <f t="shared" si="80"/>
        <v>0</v>
      </c>
      <c r="AL479" s="136" t="str" cm="1">
        <f t="array" ref="AL479">_xlfn.IFS(
AI479&lt;3,"Ligera",
AI479&lt;=6,"Moderada",
AI479&gt;6,"Vigorosa"
)</f>
        <v>Ligera</v>
      </c>
      <c r="AM479" s="45" t="s">
        <v>49</v>
      </c>
      <c r="AN479" s="289" t="s">
        <v>49</v>
      </c>
      <c r="AO479" s="46" t="s">
        <v>49</v>
      </c>
      <c r="AP479" s="289" t="s">
        <v>49</v>
      </c>
      <c r="AQ479" s="139">
        <v>0</v>
      </c>
    </row>
    <row r="480" spans="1:48" ht="78.75" customHeight="1" thickBot="1">
      <c r="A480" s="138" t="s">
        <v>431</v>
      </c>
      <c r="B480" s="12">
        <v>77</v>
      </c>
      <c r="C480" s="12">
        <v>77.5</v>
      </c>
      <c r="D480" s="12">
        <v>18.5</v>
      </c>
      <c r="E480" s="12" t="s">
        <v>45</v>
      </c>
      <c r="F480" s="12" t="s">
        <v>45</v>
      </c>
      <c r="G480" s="12" t="s">
        <v>432</v>
      </c>
      <c r="H480" s="12"/>
      <c r="I480" s="12" t="s">
        <v>45</v>
      </c>
      <c r="J480" s="12">
        <v>2</v>
      </c>
      <c r="K480" s="12" t="s">
        <v>48</v>
      </c>
      <c r="L480" s="12" t="s">
        <v>48</v>
      </c>
      <c r="M480" s="11" t="s">
        <v>56</v>
      </c>
      <c r="N480" s="11" t="s">
        <v>76</v>
      </c>
      <c r="O480" s="11" t="s">
        <v>103</v>
      </c>
      <c r="P480" s="11" t="s">
        <v>86</v>
      </c>
      <c r="Q480" s="50" t="s">
        <v>87</v>
      </c>
      <c r="R480" s="47">
        <v>27</v>
      </c>
      <c r="S480" s="48">
        <v>43.4</v>
      </c>
      <c r="T480" s="48">
        <v>7</v>
      </c>
      <c r="U480" s="47">
        <v>27</v>
      </c>
      <c r="V480" s="47">
        <v>48</v>
      </c>
      <c r="W480" s="48">
        <v>6.6</v>
      </c>
      <c r="X480" s="130">
        <f t="shared" si="78"/>
        <v>4.6000000000000014</v>
      </c>
      <c r="Y480" s="16">
        <f t="shared" si="81"/>
        <v>1.3103575989160505</v>
      </c>
      <c r="Z480" s="15">
        <f t="shared" si="82"/>
        <v>5.1000000000000014</v>
      </c>
      <c r="AA480" s="16">
        <f t="shared" si="83"/>
        <v>44.293793103448273</v>
      </c>
      <c r="AB480" s="16">
        <f t="shared" si="84"/>
        <v>1.7270631170670101</v>
      </c>
      <c r="AC480" s="66" t="s">
        <v>49</v>
      </c>
      <c r="AD480" s="51" t="s">
        <v>436</v>
      </c>
      <c r="AE480" s="13">
        <v>24</v>
      </c>
      <c r="AF480" s="13">
        <v>5</v>
      </c>
      <c r="AG480" s="13">
        <v>40</v>
      </c>
      <c r="AH480" s="134" t="s">
        <v>435</v>
      </c>
      <c r="AI480" s="134">
        <v>3.26</v>
      </c>
      <c r="AJ480" s="135">
        <v>134.1</v>
      </c>
      <c r="AK480" s="136">
        <v>670.5</v>
      </c>
      <c r="AL480" s="136" t="str" cm="1">
        <f t="array" ref="AL480">_xlfn.IFS(
AI480&lt;3,"Ligera",
AI480&lt;=6,"Moderada",
AI480&gt;6,"Vigorosa"
)</f>
        <v>Moderada</v>
      </c>
      <c r="AM480" s="45" t="s">
        <v>48</v>
      </c>
      <c r="AN480" s="289" t="s">
        <v>60</v>
      </c>
      <c r="AO480" s="46" t="s">
        <v>61</v>
      </c>
      <c r="AP480" s="289" t="s">
        <v>155</v>
      </c>
      <c r="AQ480" s="139">
        <v>0</v>
      </c>
    </row>
    <row r="481" spans="1:47" ht="78.75" customHeight="1" thickBot="1">
      <c r="A481" s="138" t="s">
        <v>431</v>
      </c>
      <c r="B481" s="12">
        <v>77</v>
      </c>
      <c r="C481" s="12">
        <v>78.7</v>
      </c>
      <c r="D481" s="12">
        <v>39.4</v>
      </c>
      <c r="E481" s="12" t="s">
        <v>45</v>
      </c>
      <c r="F481" s="12" t="s">
        <v>45</v>
      </c>
      <c r="G481" s="12" t="s">
        <v>432</v>
      </c>
      <c r="H481" s="12"/>
      <c r="I481" s="12" t="s">
        <v>45</v>
      </c>
      <c r="J481" s="12">
        <v>1.9</v>
      </c>
      <c r="K481" s="12" t="s">
        <v>48</v>
      </c>
      <c r="L481" s="12" t="s">
        <v>48</v>
      </c>
      <c r="M481" s="11" t="s">
        <v>50</v>
      </c>
      <c r="N481" s="11" t="s">
        <v>50</v>
      </c>
      <c r="O481" s="11" t="s">
        <v>50</v>
      </c>
      <c r="P481" s="11" t="s">
        <v>51</v>
      </c>
      <c r="Q481" s="50" t="s">
        <v>124</v>
      </c>
      <c r="R481" s="47">
        <v>33</v>
      </c>
      <c r="S481" s="48">
        <v>18.100000000000001</v>
      </c>
      <c r="T481" s="48">
        <v>6.2</v>
      </c>
      <c r="U481" s="47">
        <v>33</v>
      </c>
      <c r="V481" s="47">
        <v>19.100000000000001</v>
      </c>
      <c r="W481" s="48">
        <v>6.8</v>
      </c>
      <c r="X481" s="130">
        <f t="shared" si="78"/>
        <v>1</v>
      </c>
      <c r="Y481" s="16">
        <f t="shared" si="81"/>
        <v>1.1351144649262686</v>
      </c>
      <c r="Z481" s="286" t="s">
        <v>53</v>
      </c>
      <c r="AA481" s="286" t="s">
        <v>53</v>
      </c>
      <c r="AB481" s="287">
        <v>1.1351144649262686</v>
      </c>
      <c r="AC481" s="66" t="s">
        <v>48</v>
      </c>
      <c r="AD481" s="51" t="s">
        <v>433</v>
      </c>
      <c r="AE481" s="13">
        <v>24</v>
      </c>
      <c r="AF481" s="13">
        <v>0</v>
      </c>
      <c r="AG481" s="13">
        <v>0</v>
      </c>
      <c r="AH481" s="134">
        <v>0</v>
      </c>
      <c r="AI481" s="134">
        <v>0</v>
      </c>
      <c r="AJ481" s="135">
        <f t="shared" si="79"/>
        <v>0</v>
      </c>
      <c r="AK481" s="136">
        <f t="shared" si="80"/>
        <v>0</v>
      </c>
      <c r="AL481" s="136" t="str" cm="1">
        <f t="array" ref="AL481">_xlfn.IFS(
AI481&lt;3,"Ligera",
AI481&lt;=6,"Moderada",
AI481&gt;6,"Vigorosa"
)</f>
        <v>Ligera</v>
      </c>
      <c r="AM481" s="45" t="s">
        <v>49</v>
      </c>
      <c r="AN481" s="289" t="s">
        <v>49</v>
      </c>
      <c r="AO481" s="46" t="s">
        <v>49</v>
      </c>
      <c r="AP481" s="289" t="s">
        <v>49</v>
      </c>
      <c r="AQ481" s="139">
        <v>0</v>
      </c>
    </row>
    <row r="482" spans="1:47" ht="78.75" customHeight="1" thickBot="1">
      <c r="A482" s="138" t="s">
        <v>431</v>
      </c>
      <c r="B482" s="12">
        <v>77</v>
      </c>
      <c r="C482" s="12">
        <v>77.5</v>
      </c>
      <c r="D482" s="12">
        <v>18.5</v>
      </c>
      <c r="E482" s="12" t="s">
        <v>45</v>
      </c>
      <c r="F482" s="12" t="s">
        <v>45</v>
      </c>
      <c r="G482" s="12" t="s">
        <v>432</v>
      </c>
      <c r="H482" s="12"/>
      <c r="I482" s="12" t="s">
        <v>45</v>
      </c>
      <c r="J482" s="12">
        <v>2</v>
      </c>
      <c r="K482" s="12" t="s">
        <v>48</v>
      </c>
      <c r="L482" s="12" t="s">
        <v>48</v>
      </c>
      <c r="M482" s="11" t="s">
        <v>56</v>
      </c>
      <c r="N482" s="11" t="s">
        <v>76</v>
      </c>
      <c r="O482" s="11" t="s">
        <v>103</v>
      </c>
      <c r="P482" s="11" t="s">
        <v>51</v>
      </c>
      <c r="Q482" s="50" t="s">
        <v>124</v>
      </c>
      <c r="R482" s="47">
        <v>27</v>
      </c>
      <c r="S482" s="48">
        <v>19</v>
      </c>
      <c r="T482" s="48">
        <v>7.5</v>
      </c>
      <c r="U482" s="47">
        <v>27</v>
      </c>
      <c r="V482" s="47">
        <v>16.2</v>
      </c>
      <c r="W482" s="48">
        <v>7.5</v>
      </c>
      <c r="X482" s="130">
        <f t="shared" si="78"/>
        <v>-2.8000000000000007</v>
      </c>
      <c r="Y482" s="16">
        <f t="shared" si="81"/>
        <v>1.4433756729740643</v>
      </c>
      <c r="Z482" s="15">
        <f t="shared" si="82"/>
        <v>-3.8000000000000007</v>
      </c>
      <c r="AA482" s="16">
        <f t="shared" si="83"/>
        <v>50.727241379310342</v>
      </c>
      <c r="AB482" s="16">
        <f t="shared" si="84"/>
        <v>1.8482358752222641</v>
      </c>
      <c r="AC482" s="66" t="s">
        <v>48</v>
      </c>
      <c r="AD482" s="51" t="s">
        <v>436</v>
      </c>
      <c r="AE482" s="13">
        <v>24</v>
      </c>
      <c r="AF482" s="13">
        <v>5</v>
      </c>
      <c r="AG482" s="13">
        <v>40</v>
      </c>
      <c r="AH482" s="134" t="s">
        <v>435</v>
      </c>
      <c r="AI482" s="134">
        <v>3.26</v>
      </c>
      <c r="AJ482" s="135">
        <v>134.1</v>
      </c>
      <c r="AK482" s="136">
        <v>670.5</v>
      </c>
      <c r="AL482" s="136" t="str" cm="1">
        <f t="array" ref="AL482">_xlfn.IFS(
AI482&lt;3,"Ligera",
AI482&lt;=6,"Moderada",
AI482&gt;6,"Vigorosa"
)</f>
        <v>Moderada</v>
      </c>
      <c r="AM482" s="45" t="s">
        <v>48</v>
      </c>
      <c r="AN482" s="289" t="s">
        <v>60</v>
      </c>
      <c r="AO482" s="46" t="s">
        <v>61</v>
      </c>
      <c r="AP482" s="289" t="s">
        <v>155</v>
      </c>
      <c r="AQ482" s="139">
        <v>0</v>
      </c>
    </row>
    <row r="483" spans="1:47" ht="78.75" customHeight="1" thickBot="1">
      <c r="A483" s="138" t="s">
        <v>431</v>
      </c>
      <c r="B483" s="12">
        <v>77</v>
      </c>
      <c r="C483" s="12">
        <v>78.7</v>
      </c>
      <c r="D483" s="12">
        <v>39.4</v>
      </c>
      <c r="E483" s="12" t="s">
        <v>45</v>
      </c>
      <c r="F483" s="12" t="s">
        <v>45</v>
      </c>
      <c r="G483" s="12" t="s">
        <v>432</v>
      </c>
      <c r="H483" s="12"/>
      <c r="I483" s="12" t="s">
        <v>45</v>
      </c>
      <c r="J483" s="12">
        <v>1.9</v>
      </c>
      <c r="K483" s="12" t="s">
        <v>48</v>
      </c>
      <c r="L483" s="12" t="s">
        <v>48</v>
      </c>
      <c r="M483" s="11" t="s">
        <v>50</v>
      </c>
      <c r="N483" s="11" t="s">
        <v>50</v>
      </c>
      <c r="O483" s="11" t="s">
        <v>50</v>
      </c>
      <c r="P483" s="11" t="s">
        <v>51</v>
      </c>
      <c r="Q483" s="50" t="s">
        <v>149</v>
      </c>
      <c r="R483" s="47">
        <v>33</v>
      </c>
      <c r="S483" s="48">
        <v>11.7</v>
      </c>
      <c r="T483" s="48">
        <v>4.4000000000000004</v>
      </c>
      <c r="U483" s="47">
        <v>33</v>
      </c>
      <c r="V483" s="47">
        <v>12.7</v>
      </c>
      <c r="W483" s="48">
        <v>4.0999999999999996</v>
      </c>
      <c r="X483" s="130">
        <f t="shared" si="78"/>
        <v>1</v>
      </c>
      <c r="Y483" s="16">
        <f t="shared" si="81"/>
        <v>0.74121113010662454</v>
      </c>
      <c r="Z483" s="286" t="s">
        <v>53</v>
      </c>
      <c r="AA483" s="286" t="s">
        <v>53</v>
      </c>
      <c r="AB483" s="287">
        <v>0.74121113010662454</v>
      </c>
      <c r="AC483" s="66" t="s">
        <v>48</v>
      </c>
      <c r="AD483" s="51" t="s">
        <v>433</v>
      </c>
      <c r="AE483" s="13">
        <v>24</v>
      </c>
      <c r="AF483" s="13">
        <v>0</v>
      </c>
      <c r="AG483" s="13">
        <v>0</v>
      </c>
      <c r="AH483" s="134">
        <v>0</v>
      </c>
      <c r="AI483" s="134">
        <v>0</v>
      </c>
      <c r="AJ483" s="135">
        <f t="shared" si="79"/>
        <v>0</v>
      </c>
      <c r="AK483" s="136">
        <f t="shared" si="80"/>
        <v>0</v>
      </c>
      <c r="AL483" s="136" t="str" cm="1">
        <f t="array" ref="AL483">_xlfn.IFS(
AI483&lt;3,"Ligera",
AI483&lt;=6,"Moderada",
AI483&gt;6,"Vigorosa"
)</f>
        <v>Ligera</v>
      </c>
      <c r="AM483" s="45" t="s">
        <v>49</v>
      </c>
      <c r="AN483" s="289" t="s">
        <v>49</v>
      </c>
      <c r="AO483" s="46" t="s">
        <v>49</v>
      </c>
      <c r="AP483" s="289" t="s">
        <v>49</v>
      </c>
      <c r="AQ483" s="139">
        <v>0</v>
      </c>
    </row>
    <row r="484" spans="1:47" ht="78.75" customHeight="1" thickBot="1">
      <c r="A484" s="138" t="s">
        <v>431</v>
      </c>
      <c r="B484" s="12">
        <v>77</v>
      </c>
      <c r="C484" s="12">
        <v>77.5</v>
      </c>
      <c r="D484" s="12">
        <v>18.5</v>
      </c>
      <c r="E484" s="12" t="s">
        <v>45</v>
      </c>
      <c r="F484" s="12" t="s">
        <v>45</v>
      </c>
      <c r="G484" s="12" t="s">
        <v>432</v>
      </c>
      <c r="H484" s="12"/>
      <c r="I484" s="12" t="s">
        <v>45</v>
      </c>
      <c r="J484" s="12">
        <v>2</v>
      </c>
      <c r="K484" s="12" t="s">
        <v>48</v>
      </c>
      <c r="L484" s="12" t="s">
        <v>48</v>
      </c>
      <c r="M484" s="11" t="s">
        <v>56</v>
      </c>
      <c r="N484" s="11" t="s">
        <v>76</v>
      </c>
      <c r="O484" s="11" t="s">
        <v>103</v>
      </c>
      <c r="P484" s="11" t="s">
        <v>51</v>
      </c>
      <c r="Q484" s="50" t="s">
        <v>149</v>
      </c>
      <c r="R484" s="47">
        <v>27</v>
      </c>
      <c r="S484" s="48">
        <v>11.6</v>
      </c>
      <c r="T484" s="48">
        <v>2.2999999999999998</v>
      </c>
      <c r="U484" s="47">
        <v>27</v>
      </c>
      <c r="V484" s="47">
        <v>9.5</v>
      </c>
      <c r="W484" s="48">
        <v>2.1</v>
      </c>
      <c r="X484" s="130">
        <f t="shared" si="78"/>
        <v>-2.0999999999999996</v>
      </c>
      <c r="Y484" s="16">
        <f t="shared" si="81"/>
        <v>0.42470033008036423</v>
      </c>
      <c r="Z484" s="15">
        <f t="shared" si="82"/>
        <v>-3.0999999999999996</v>
      </c>
      <c r="AA484" s="16">
        <f t="shared" si="83"/>
        <v>11.251379310344827</v>
      </c>
      <c r="AB484" s="16">
        <f t="shared" si="84"/>
        <v>0.87044163527904683</v>
      </c>
      <c r="AC484" s="66" t="s">
        <v>48</v>
      </c>
      <c r="AD484" s="51" t="s">
        <v>436</v>
      </c>
      <c r="AE484" s="13">
        <v>24</v>
      </c>
      <c r="AF484" s="13">
        <v>5</v>
      </c>
      <c r="AG484" s="13">
        <v>40</v>
      </c>
      <c r="AH484" s="134" t="s">
        <v>435</v>
      </c>
      <c r="AI484" s="134">
        <v>3.26</v>
      </c>
      <c r="AJ484" s="135">
        <v>134.1</v>
      </c>
      <c r="AK484" s="136">
        <v>670.5</v>
      </c>
      <c r="AL484" s="136" t="str" cm="1">
        <f t="array" ref="AL484">_xlfn.IFS(
AI484&lt;3,"Ligera",
AI484&lt;=6,"Moderada",
AI484&gt;6,"Vigorosa"
)</f>
        <v>Moderada</v>
      </c>
      <c r="AM484" s="45" t="s">
        <v>48</v>
      </c>
      <c r="AN484" s="289" t="s">
        <v>60</v>
      </c>
      <c r="AO484" s="46" t="s">
        <v>61</v>
      </c>
      <c r="AP484" s="289" t="s">
        <v>155</v>
      </c>
      <c r="AQ484" s="139">
        <v>0</v>
      </c>
    </row>
    <row r="485" spans="1:47" ht="78.75" customHeight="1" thickBot="1">
      <c r="A485" s="124" t="s">
        <v>438</v>
      </c>
      <c r="B485" s="125">
        <v>70</v>
      </c>
      <c r="C485" s="125">
        <v>79.319999999999993</v>
      </c>
      <c r="D485" s="125">
        <v>0</v>
      </c>
      <c r="E485" s="125" t="s">
        <v>45</v>
      </c>
      <c r="F485" s="125" t="s">
        <v>45</v>
      </c>
      <c r="G485" s="125" t="s">
        <v>439</v>
      </c>
      <c r="H485" s="125"/>
      <c r="I485" s="125" t="s">
        <v>45</v>
      </c>
      <c r="J485" s="125">
        <v>2.92</v>
      </c>
      <c r="K485" s="125" t="s">
        <v>49</v>
      </c>
      <c r="L485" s="125" t="s">
        <v>48</v>
      </c>
      <c r="M485" s="126" t="s">
        <v>50</v>
      </c>
      <c r="N485" s="126" t="s">
        <v>50</v>
      </c>
      <c r="O485" s="126" t="s">
        <v>50</v>
      </c>
      <c r="P485" s="126" t="s">
        <v>51</v>
      </c>
      <c r="Q485" s="159" t="s">
        <v>124</v>
      </c>
      <c r="R485" s="167">
        <v>25</v>
      </c>
      <c r="S485" s="168">
        <v>9.8000000000000007</v>
      </c>
      <c r="T485" s="168">
        <v>1.1299999999999999</v>
      </c>
      <c r="U485" s="167">
        <v>25</v>
      </c>
      <c r="V485" s="167">
        <v>9.7200000000000006</v>
      </c>
      <c r="W485" s="168">
        <v>1.1399999999999999</v>
      </c>
      <c r="X485" s="130">
        <f t="shared" si="78"/>
        <v>-8.0000000000000071E-2</v>
      </c>
      <c r="Y485" s="16">
        <f t="shared" si="81"/>
        <v>0.22700660783334037</v>
      </c>
      <c r="Z485" s="286" t="s">
        <v>53</v>
      </c>
      <c r="AA485" s="286" t="s">
        <v>53</v>
      </c>
      <c r="AB485" s="16">
        <v>0.22700660783334037</v>
      </c>
      <c r="AC485" s="66" t="s">
        <v>48</v>
      </c>
      <c r="AD485" s="133" t="s">
        <v>440</v>
      </c>
      <c r="AE485" s="134">
        <v>8</v>
      </c>
      <c r="AF485" s="134">
        <v>0</v>
      </c>
      <c r="AG485" s="134">
        <v>0</v>
      </c>
      <c r="AH485" s="134">
        <v>0</v>
      </c>
      <c r="AI485" s="134">
        <v>0</v>
      </c>
      <c r="AJ485" s="135">
        <f t="shared" si="79"/>
        <v>0</v>
      </c>
      <c r="AK485" s="136">
        <f t="shared" si="80"/>
        <v>0</v>
      </c>
      <c r="AL485" s="136" t="str" cm="1">
        <f t="array" ref="AL485">_xlfn.IFS(
AI485&lt;3,"Ligera",
AI485&lt;=6,"Moderada",
AI485&gt;6,"Vigorosa"
)</f>
        <v>Ligera</v>
      </c>
      <c r="AM485" s="136" t="s">
        <v>49</v>
      </c>
      <c r="AN485" s="288" t="s">
        <v>49</v>
      </c>
      <c r="AO485" s="135" t="s">
        <v>49</v>
      </c>
      <c r="AP485" s="288" t="s">
        <v>49</v>
      </c>
      <c r="AQ485" s="137">
        <v>0</v>
      </c>
    </row>
    <row r="486" spans="1:47" ht="78.75" customHeight="1" thickBot="1">
      <c r="A486" s="138" t="s">
        <v>438</v>
      </c>
      <c r="B486" s="12">
        <v>70</v>
      </c>
      <c r="C486" s="12">
        <v>78.62</v>
      </c>
      <c r="D486" s="12">
        <v>0</v>
      </c>
      <c r="E486" s="12" t="s">
        <v>45</v>
      </c>
      <c r="F486" s="12" t="s">
        <v>45</v>
      </c>
      <c r="G486" s="12" t="s">
        <v>439</v>
      </c>
      <c r="H486" s="12"/>
      <c r="I486" s="12" t="s">
        <v>45</v>
      </c>
      <c r="J486" s="12">
        <v>2.74</v>
      </c>
      <c r="K486" s="12" t="s">
        <v>49</v>
      </c>
      <c r="L486" s="12" t="s">
        <v>48</v>
      </c>
      <c r="M486" s="11" t="s">
        <v>56</v>
      </c>
      <c r="N486" s="11" t="s">
        <v>76</v>
      </c>
      <c r="O486" s="11" t="s">
        <v>100</v>
      </c>
      <c r="P486" s="11" t="s">
        <v>51</v>
      </c>
      <c r="Q486" s="50" t="s">
        <v>124</v>
      </c>
      <c r="R486" s="47">
        <v>27</v>
      </c>
      <c r="S486" s="48">
        <v>9.57</v>
      </c>
      <c r="T486" s="52">
        <v>7.41</v>
      </c>
      <c r="U486" s="47">
        <v>27</v>
      </c>
      <c r="V486" s="47">
        <v>8.8000000000000007</v>
      </c>
      <c r="W486" s="48">
        <v>0.59</v>
      </c>
      <c r="X486" s="130">
        <f t="shared" si="78"/>
        <v>-0.76999999999999957</v>
      </c>
      <c r="Y486" s="16">
        <f t="shared" si="81"/>
        <v>1.3728086915895106</v>
      </c>
      <c r="Z486" s="15">
        <f t="shared" si="82"/>
        <v>-0.6899999999999995</v>
      </c>
      <c r="AA486" s="16">
        <f t="shared" si="83"/>
        <v>0.80481999999999998</v>
      </c>
      <c r="AB486" s="16">
        <f t="shared" si="84"/>
        <v>0.24899989587979379</v>
      </c>
      <c r="AC486" s="66" t="s">
        <v>48</v>
      </c>
      <c r="AD486" s="51" t="s">
        <v>441</v>
      </c>
      <c r="AE486" s="13">
        <v>8</v>
      </c>
      <c r="AF486" s="13">
        <v>2</v>
      </c>
      <c r="AG486" s="13">
        <v>50</v>
      </c>
      <c r="AH486" s="13" t="s">
        <v>442</v>
      </c>
      <c r="AI486" s="13">
        <v>3.1</v>
      </c>
      <c r="AJ486" s="135">
        <v>148</v>
      </c>
      <c r="AK486" s="136">
        <f t="shared" si="80"/>
        <v>296</v>
      </c>
      <c r="AL486" s="136" t="str" cm="1">
        <f t="array" ref="AL486">_xlfn.IFS(
AI486&lt;3,"Ligera",
AI486&lt;=6,"Moderada",
AI486&gt;6,"Vigorosa"
)</f>
        <v>Moderada</v>
      </c>
      <c r="AM486" s="45" t="s">
        <v>48</v>
      </c>
      <c r="AN486" s="289" t="s">
        <v>60</v>
      </c>
      <c r="AO486" s="46" t="s">
        <v>61</v>
      </c>
      <c r="AP486" s="289" t="s">
        <v>413</v>
      </c>
      <c r="AQ486" s="139">
        <v>0</v>
      </c>
    </row>
    <row r="487" spans="1:47" ht="78.75" customHeight="1" thickBot="1">
      <c r="A487" s="138" t="s">
        <v>438</v>
      </c>
      <c r="B487" s="12">
        <v>70</v>
      </c>
      <c r="C487" s="12">
        <v>79.319999999999993</v>
      </c>
      <c r="D487" s="12">
        <v>0</v>
      </c>
      <c r="E487" s="12" t="s">
        <v>45</v>
      </c>
      <c r="F487" s="12" t="s">
        <v>45</v>
      </c>
      <c r="G487" s="12" t="s">
        <v>439</v>
      </c>
      <c r="H487" s="12"/>
      <c r="I487" s="12" t="s">
        <v>45</v>
      </c>
      <c r="J487" s="12">
        <v>2.92</v>
      </c>
      <c r="K487" s="12" t="s">
        <v>49</v>
      </c>
      <c r="L487" s="12" t="s">
        <v>48</v>
      </c>
      <c r="M487" s="11" t="s">
        <v>50</v>
      </c>
      <c r="N487" s="11" t="s">
        <v>50</v>
      </c>
      <c r="O487" s="11" t="s">
        <v>50</v>
      </c>
      <c r="P487" s="11" t="s">
        <v>51</v>
      </c>
      <c r="Q487" s="50" t="s">
        <v>92</v>
      </c>
      <c r="R487" s="47">
        <v>25</v>
      </c>
      <c r="S487" s="48">
        <v>11.26</v>
      </c>
      <c r="T487" s="48">
        <v>1.91</v>
      </c>
      <c r="U487" s="47">
        <v>25</v>
      </c>
      <c r="V487" s="47">
        <v>11.24</v>
      </c>
      <c r="W487" s="48">
        <v>1.86</v>
      </c>
      <c r="X487" s="130">
        <f t="shared" si="78"/>
        <v>-1.9999999999999574E-2</v>
      </c>
      <c r="Y487" s="16">
        <f t="shared" si="81"/>
        <v>0.37709945637722686</v>
      </c>
      <c r="Z487" s="286" t="s">
        <v>53</v>
      </c>
      <c r="AA487" s="286" t="s">
        <v>53</v>
      </c>
      <c r="AB487" s="16">
        <v>0.37709945637722686</v>
      </c>
      <c r="AC487" s="66" t="s">
        <v>49</v>
      </c>
      <c r="AD487" s="51" t="s">
        <v>440</v>
      </c>
      <c r="AE487" s="13">
        <v>8</v>
      </c>
      <c r="AF487" s="13">
        <v>0</v>
      </c>
      <c r="AG487" s="13">
        <v>0</v>
      </c>
      <c r="AH487" s="134">
        <v>0</v>
      </c>
      <c r="AI487" s="134">
        <v>0</v>
      </c>
      <c r="AJ487" s="135">
        <f t="shared" si="79"/>
        <v>0</v>
      </c>
      <c r="AK487" s="136">
        <f t="shared" si="80"/>
        <v>0</v>
      </c>
      <c r="AL487" s="136" t="str" cm="1">
        <f t="array" ref="AL487">_xlfn.IFS(
AI487&lt;3,"Ligera",
AI487&lt;=6,"Moderada",
AI487&gt;6,"Vigorosa"
)</f>
        <v>Ligera</v>
      </c>
      <c r="AM487" s="45" t="s">
        <v>49</v>
      </c>
      <c r="AN487" s="289" t="s">
        <v>49</v>
      </c>
      <c r="AO487" s="46" t="s">
        <v>49</v>
      </c>
      <c r="AP487" s="289" t="s">
        <v>49</v>
      </c>
      <c r="AQ487" s="139">
        <v>0</v>
      </c>
    </row>
    <row r="488" spans="1:47" ht="78.75" customHeight="1" thickBot="1">
      <c r="A488" s="140" t="s">
        <v>438</v>
      </c>
      <c r="B488" s="141">
        <v>70</v>
      </c>
      <c r="C488" s="141">
        <v>78.62</v>
      </c>
      <c r="D488" s="141">
        <v>0</v>
      </c>
      <c r="E488" s="141" t="s">
        <v>45</v>
      </c>
      <c r="F488" s="141" t="s">
        <v>45</v>
      </c>
      <c r="G488" s="141" t="s">
        <v>439</v>
      </c>
      <c r="H488" s="141"/>
      <c r="I488" s="141" t="s">
        <v>45</v>
      </c>
      <c r="J488" s="141">
        <v>2.74</v>
      </c>
      <c r="K488" s="141" t="s">
        <v>49</v>
      </c>
      <c r="L488" s="141" t="s">
        <v>48</v>
      </c>
      <c r="M488" s="142" t="s">
        <v>56</v>
      </c>
      <c r="N488" s="142" t="s">
        <v>76</v>
      </c>
      <c r="O488" s="142" t="s">
        <v>100</v>
      </c>
      <c r="P488" s="142" t="s">
        <v>51</v>
      </c>
      <c r="Q488" s="158" t="s">
        <v>92</v>
      </c>
      <c r="R488" s="169">
        <v>27</v>
      </c>
      <c r="S488" s="170">
        <v>11.07</v>
      </c>
      <c r="T488" s="171">
        <v>1.79</v>
      </c>
      <c r="U488" s="169">
        <v>27</v>
      </c>
      <c r="V488" s="169">
        <v>12.44</v>
      </c>
      <c r="W488" s="170">
        <v>1.72</v>
      </c>
      <c r="X488" s="130">
        <f t="shared" si="78"/>
        <v>1.3699999999999992</v>
      </c>
      <c r="Y488" s="16">
        <f t="shared" si="81"/>
        <v>0.33795134429546375</v>
      </c>
      <c r="Z488" s="15">
        <f t="shared" si="82"/>
        <v>1.3899999999999988</v>
      </c>
      <c r="AA488" s="16">
        <f t="shared" si="83"/>
        <v>3.198976</v>
      </c>
      <c r="AB488" s="16">
        <f t="shared" si="84"/>
        <v>0.49642686530101554</v>
      </c>
      <c r="AC488" s="66" t="s">
        <v>49</v>
      </c>
      <c r="AD488" s="151" t="s">
        <v>441</v>
      </c>
      <c r="AE488" s="146">
        <v>8</v>
      </c>
      <c r="AF488" s="146">
        <v>2</v>
      </c>
      <c r="AG488" s="146">
        <v>50</v>
      </c>
      <c r="AH488" s="13" t="s">
        <v>442</v>
      </c>
      <c r="AI488" s="13">
        <v>3.1</v>
      </c>
      <c r="AJ488" s="135">
        <v>148</v>
      </c>
      <c r="AK488" s="136">
        <f t="shared" si="80"/>
        <v>296</v>
      </c>
      <c r="AL488" s="136" t="str" cm="1">
        <f t="array" ref="AL488">_xlfn.IFS(
AI488&lt;3,"Ligera",
AI488&lt;=6,"Moderada",
AI488&gt;6,"Vigorosa"
)</f>
        <v>Moderada</v>
      </c>
      <c r="AM488" s="147" t="s">
        <v>48</v>
      </c>
      <c r="AN488" s="290" t="s">
        <v>60</v>
      </c>
      <c r="AO488" s="148" t="s">
        <v>61</v>
      </c>
      <c r="AP488" s="290" t="s">
        <v>413</v>
      </c>
      <c r="AQ488" s="149">
        <v>0</v>
      </c>
    </row>
    <row r="489" spans="1:47" ht="78.75" customHeight="1" thickBot="1">
      <c r="A489" s="124" t="s">
        <v>443</v>
      </c>
      <c r="B489" s="125">
        <v>45</v>
      </c>
      <c r="C489" s="125">
        <v>78.900000000000006</v>
      </c>
      <c r="D489" s="125">
        <v>42.86</v>
      </c>
      <c r="E489" s="125" t="s">
        <v>45</v>
      </c>
      <c r="F489" s="125" t="s">
        <v>45</v>
      </c>
      <c r="G489" s="125" t="s">
        <v>183</v>
      </c>
      <c r="H489" s="125"/>
      <c r="I489" s="125" t="s">
        <v>45</v>
      </c>
      <c r="J489" s="125" t="s">
        <v>47</v>
      </c>
      <c r="K489" s="125" t="s">
        <v>49</v>
      </c>
      <c r="L489" s="125" t="s">
        <v>49</v>
      </c>
      <c r="M489" s="126" t="s">
        <v>56</v>
      </c>
      <c r="N489" s="126" t="s">
        <v>57</v>
      </c>
      <c r="O489" s="126" t="s">
        <v>126</v>
      </c>
      <c r="P489" s="126" t="s">
        <v>51</v>
      </c>
      <c r="Q489" s="159" t="s">
        <v>52</v>
      </c>
      <c r="R489" s="167">
        <v>12</v>
      </c>
      <c r="S489" s="168">
        <v>30.7</v>
      </c>
      <c r="T489" s="168">
        <v>20.7</v>
      </c>
      <c r="U489" s="167">
        <v>12</v>
      </c>
      <c r="V489" s="167">
        <v>21.4</v>
      </c>
      <c r="W489" s="168">
        <v>10.199999999999999</v>
      </c>
      <c r="X489" s="130">
        <f t="shared" si="78"/>
        <v>-9.3000000000000007</v>
      </c>
      <c r="Y489" s="16">
        <f t="shared" si="81"/>
        <v>5.1751811562495087</v>
      </c>
      <c r="Z489" s="286" t="s">
        <v>53</v>
      </c>
      <c r="AA489" s="286" t="s">
        <v>53</v>
      </c>
      <c r="AB489" s="16">
        <v>5.1751811562495087</v>
      </c>
      <c r="AC489" s="66" t="s">
        <v>48</v>
      </c>
      <c r="AD489" s="133" t="s">
        <v>444</v>
      </c>
      <c r="AE489" s="134">
        <v>12</v>
      </c>
      <c r="AF489" s="134">
        <v>2</v>
      </c>
      <c r="AG489" s="134">
        <v>52.5</v>
      </c>
      <c r="AH489" s="134">
        <v>205460</v>
      </c>
      <c r="AI489" s="134">
        <v>4.3</v>
      </c>
      <c r="AJ489" s="135">
        <f t="shared" si="79"/>
        <v>225.75</v>
      </c>
      <c r="AK489" s="136">
        <f t="shared" si="80"/>
        <v>451.5</v>
      </c>
      <c r="AL489" s="136" t="str" cm="1">
        <f t="array" ref="AL489">_xlfn.IFS(
AI489&lt;3,"Ligera",
AI489&lt;=6,"Moderada",
AI489&gt;6,"Vigorosa"
)</f>
        <v>Moderada</v>
      </c>
      <c r="AM489" s="136" t="s">
        <v>48</v>
      </c>
      <c r="AN489" s="288" t="s">
        <v>60</v>
      </c>
      <c r="AO489" s="135" t="s">
        <v>61</v>
      </c>
      <c r="AP489" s="288" t="s">
        <v>173</v>
      </c>
      <c r="AQ489" s="137">
        <v>0</v>
      </c>
      <c r="AS489" s="292" t="s">
        <v>445</v>
      </c>
      <c r="AU489" s="292"/>
    </row>
    <row r="490" spans="1:47" ht="78.75" customHeight="1" thickBot="1">
      <c r="A490" s="138" t="s">
        <v>443</v>
      </c>
      <c r="B490" s="12">
        <v>45</v>
      </c>
      <c r="C490" s="12">
        <v>89</v>
      </c>
      <c r="D490" s="12">
        <v>20</v>
      </c>
      <c r="E490" s="12" t="s">
        <v>45</v>
      </c>
      <c r="F490" s="12" t="s">
        <v>45</v>
      </c>
      <c r="G490" s="12" t="s">
        <v>183</v>
      </c>
      <c r="H490" s="12"/>
      <c r="I490" s="12" t="s">
        <v>45</v>
      </c>
      <c r="J490" s="12" t="s">
        <v>47</v>
      </c>
      <c r="K490" s="12" t="s">
        <v>49</v>
      </c>
      <c r="L490" s="12" t="s">
        <v>49</v>
      </c>
      <c r="M490" s="11" t="s">
        <v>56</v>
      </c>
      <c r="N490" s="11" t="s">
        <v>57</v>
      </c>
      <c r="O490" s="11" t="s">
        <v>126</v>
      </c>
      <c r="P490" s="11" t="s">
        <v>51</v>
      </c>
      <c r="Q490" s="50" t="s">
        <v>52</v>
      </c>
      <c r="R490" s="47">
        <v>13</v>
      </c>
      <c r="S490" s="48">
        <v>34.299999999999997</v>
      </c>
      <c r="T490" s="52">
        <v>25.2</v>
      </c>
      <c r="U490" s="47">
        <v>13</v>
      </c>
      <c r="V490" s="47">
        <v>25.5</v>
      </c>
      <c r="W490" s="48">
        <v>15.3</v>
      </c>
      <c r="X490" s="130">
        <f t="shared" si="78"/>
        <v>-8.7999999999999972</v>
      </c>
      <c r="Y490" s="16">
        <f t="shared" si="81"/>
        <v>6.0989910893271775</v>
      </c>
      <c r="Z490" s="15">
        <f t="shared" si="82"/>
        <v>0.50000000000000355</v>
      </c>
      <c r="AA490" s="16">
        <f t="shared" si="83"/>
        <v>171.89217391304351</v>
      </c>
      <c r="AB490" s="16">
        <f t="shared" si="84"/>
        <v>5.2485067154834546</v>
      </c>
      <c r="AC490" s="66" t="s">
        <v>48</v>
      </c>
      <c r="AD490" s="51" t="s">
        <v>446</v>
      </c>
      <c r="AE490" s="13">
        <v>12</v>
      </c>
      <c r="AF490" s="13">
        <v>2</v>
      </c>
      <c r="AG490" s="13">
        <v>52.5</v>
      </c>
      <c r="AH490" s="134">
        <v>205460</v>
      </c>
      <c r="AI490" s="134">
        <v>4.3</v>
      </c>
      <c r="AJ490" s="135">
        <f t="shared" si="79"/>
        <v>225.75</v>
      </c>
      <c r="AK490" s="136">
        <f t="shared" si="80"/>
        <v>451.5</v>
      </c>
      <c r="AL490" s="136" t="str" cm="1">
        <f t="array" ref="AL490">_xlfn.IFS(
AI490&lt;3,"Ligera",
AI490&lt;=6,"Moderada",
AI490&gt;6,"Vigorosa"
)</f>
        <v>Moderada</v>
      </c>
      <c r="AM490" s="45" t="s">
        <v>48</v>
      </c>
      <c r="AN490" s="289" t="s">
        <v>60</v>
      </c>
      <c r="AO490" s="46" t="s">
        <v>61</v>
      </c>
      <c r="AP490" s="289" t="s">
        <v>173</v>
      </c>
      <c r="AQ490" s="139">
        <v>0</v>
      </c>
      <c r="AS490" s="292" t="s">
        <v>447</v>
      </c>
    </row>
    <row r="491" spans="1:47" ht="78.75" customHeight="1" thickBot="1">
      <c r="A491" s="138" t="s">
        <v>443</v>
      </c>
      <c r="B491" s="12">
        <v>45</v>
      </c>
      <c r="C491" s="12">
        <v>78.900000000000006</v>
      </c>
      <c r="D491" s="12">
        <v>42.86</v>
      </c>
      <c r="E491" s="12" t="s">
        <v>45</v>
      </c>
      <c r="F491" s="12" t="s">
        <v>45</v>
      </c>
      <c r="G491" s="12" t="s">
        <v>183</v>
      </c>
      <c r="H491" s="12"/>
      <c r="I491" s="12" t="s">
        <v>45</v>
      </c>
      <c r="J491" s="12" t="s">
        <v>47</v>
      </c>
      <c r="K491" s="12" t="s">
        <v>49</v>
      </c>
      <c r="L491" s="12" t="s">
        <v>49</v>
      </c>
      <c r="M491" s="11" t="s">
        <v>56</v>
      </c>
      <c r="N491" s="11" t="s">
        <v>57</v>
      </c>
      <c r="O491" s="11" t="s">
        <v>126</v>
      </c>
      <c r="P491" s="11" t="s">
        <v>51</v>
      </c>
      <c r="Q491" s="50" t="s">
        <v>64</v>
      </c>
      <c r="R491" s="47">
        <v>14</v>
      </c>
      <c r="S491" s="48">
        <v>7.79</v>
      </c>
      <c r="T491" s="48">
        <v>4</v>
      </c>
      <c r="U491" s="47">
        <v>14</v>
      </c>
      <c r="V491" s="47">
        <v>12.1</v>
      </c>
      <c r="W491" s="48">
        <v>5.23</v>
      </c>
      <c r="X491" s="130">
        <f t="shared" si="78"/>
        <v>4.3099999999999996</v>
      </c>
      <c r="Y491" s="16">
        <f t="shared" si="81"/>
        <v>1.2658396422928144</v>
      </c>
      <c r="Z491" s="286" t="s">
        <v>53</v>
      </c>
      <c r="AA491" s="286" t="s">
        <v>53</v>
      </c>
      <c r="AB491" s="16">
        <v>1.2658396422928144</v>
      </c>
      <c r="AC491" s="66" t="s">
        <v>49</v>
      </c>
      <c r="AD491" s="51" t="s">
        <v>444</v>
      </c>
      <c r="AE491" s="13">
        <v>12</v>
      </c>
      <c r="AF491" s="13">
        <v>2</v>
      </c>
      <c r="AG491" s="13">
        <v>52.5</v>
      </c>
      <c r="AH491" s="134">
        <v>205460</v>
      </c>
      <c r="AI491" s="134">
        <v>4.3</v>
      </c>
      <c r="AJ491" s="135">
        <f t="shared" si="79"/>
        <v>225.75</v>
      </c>
      <c r="AK491" s="136">
        <f t="shared" si="80"/>
        <v>451.5</v>
      </c>
      <c r="AL491" s="136" t="str" cm="1">
        <f t="array" ref="AL491">_xlfn.IFS(
AI491&lt;3,"Ligera",
AI491&lt;=6,"Moderada",
AI491&gt;6,"Vigorosa"
)</f>
        <v>Moderada</v>
      </c>
      <c r="AM491" s="45" t="s">
        <v>48</v>
      </c>
      <c r="AN491" s="289" t="s">
        <v>60</v>
      </c>
      <c r="AO491" s="46" t="s">
        <v>61</v>
      </c>
      <c r="AP491" s="289" t="s">
        <v>173</v>
      </c>
      <c r="AQ491" s="139">
        <v>0</v>
      </c>
    </row>
    <row r="492" spans="1:47" ht="78.75" customHeight="1" thickBot="1">
      <c r="A492" s="138" t="s">
        <v>443</v>
      </c>
      <c r="B492" s="12">
        <v>45</v>
      </c>
      <c r="C492" s="12">
        <v>89</v>
      </c>
      <c r="D492" s="12">
        <v>20</v>
      </c>
      <c r="E492" s="12" t="s">
        <v>45</v>
      </c>
      <c r="F492" s="12" t="s">
        <v>45</v>
      </c>
      <c r="G492" s="12" t="s">
        <v>183</v>
      </c>
      <c r="H492" s="12"/>
      <c r="I492" s="12" t="s">
        <v>45</v>
      </c>
      <c r="J492" s="12" t="s">
        <v>47</v>
      </c>
      <c r="K492" s="12" t="s">
        <v>49</v>
      </c>
      <c r="L492" s="12" t="s">
        <v>49</v>
      </c>
      <c r="M492" s="11" t="s">
        <v>56</v>
      </c>
      <c r="N492" s="11" t="s">
        <v>57</v>
      </c>
      <c r="O492" s="11" t="s">
        <v>126</v>
      </c>
      <c r="P492" s="11" t="s">
        <v>51</v>
      </c>
      <c r="Q492" s="50" t="s">
        <v>64</v>
      </c>
      <c r="R492" s="47">
        <v>15</v>
      </c>
      <c r="S492" s="48">
        <v>5.4</v>
      </c>
      <c r="T492" s="52">
        <v>2.5</v>
      </c>
      <c r="U492" s="47">
        <v>15</v>
      </c>
      <c r="V492" s="47">
        <v>10</v>
      </c>
      <c r="W492" s="48">
        <v>2.42</v>
      </c>
      <c r="X492" s="130">
        <f t="shared" si="78"/>
        <v>4.5999999999999996</v>
      </c>
      <c r="Y492" s="16">
        <f t="shared" si="81"/>
        <v>0.63542112020297215</v>
      </c>
      <c r="Z492" s="15">
        <f t="shared" si="82"/>
        <v>0.29000000000000004</v>
      </c>
      <c r="AA492" s="16">
        <f t="shared" si="83"/>
        <v>16.206566666666667</v>
      </c>
      <c r="AB492" s="16">
        <f t="shared" si="84"/>
        <v>1.4960112574909599</v>
      </c>
      <c r="AC492" s="66" t="s">
        <v>49</v>
      </c>
      <c r="AD492" s="51" t="s">
        <v>446</v>
      </c>
      <c r="AE492" s="13">
        <v>12</v>
      </c>
      <c r="AF492" s="13">
        <v>2</v>
      </c>
      <c r="AG492" s="13">
        <v>52.5</v>
      </c>
      <c r="AH492" s="134">
        <v>205460</v>
      </c>
      <c r="AI492" s="134">
        <v>4.3</v>
      </c>
      <c r="AJ492" s="135">
        <f t="shared" si="79"/>
        <v>225.75</v>
      </c>
      <c r="AK492" s="136">
        <f t="shared" si="80"/>
        <v>451.5</v>
      </c>
      <c r="AL492" s="136" t="str" cm="1">
        <f t="array" ref="AL492">_xlfn.IFS(
AI492&lt;3,"Ligera",
AI492&lt;=6,"Moderada",
AI492&gt;6,"Vigorosa"
)</f>
        <v>Moderada</v>
      </c>
      <c r="AM492" s="45" t="s">
        <v>48</v>
      </c>
      <c r="AN492" s="289" t="s">
        <v>60</v>
      </c>
      <c r="AO492" s="46" t="s">
        <v>61</v>
      </c>
      <c r="AP492" s="289" t="s">
        <v>173</v>
      </c>
      <c r="AQ492" s="139">
        <v>0</v>
      </c>
    </row>
    <row r="493" spans="1:47" ht="78.75" customHeight="1" thickBot="1">
      <c r="A493" s="138" t="s">
        <v>443</v>
      </c>
      <c r="B493" s="12">
        <v>45</v>
      </c>
      <c r="C493" s="12">
        <v>78.900000000000006</v>
      </c>
      <c r="D493" s="12">
        <v>42.86</v>
      </c>
      <c r="E493" s="12" t="s">
        <v>45</v>
      </c>
      <c r="F493" s="12" t="s">
        <v>45</v>
      </c>
      <c r="G493" s="12" t="s">
        <v>183</v>
      </c>
      <c r="H493" s="12"/>
      <c r="I493" s="12" t="s">
        <v>45</v>
      </c>
      <c r="J493" s="12" t="s">
        <v>47</v>
      </c>
      <c r="K493" s="12" t="s">
        <v>49</v>
      </c>
      <c r="L493" s="12" t="s">
        <v>49</v>
      </c>
      <c r="M493" s="11" t="s">
        <v>56</v>
      </c>
      <c r="N493" s="11" t="s">
        <v>57</v>
      </c>
      <c r="O493" s="11" t="s">
        <v>126</v>
      </c>
      <c r="P493" s="11" t="s">
        <v>51</v>
      </c>
      <c r="Q493" s="50" t="s">
        <v>210</v>
      </c>
      <c r="R493" s="47">
        <v>13</v>
      </c>
      <c r="S493" s="48">
        <v>0.76</v>
      </c>
      <c r="T493" s="52">
        <v>0.42</v>
      </c>
      <c r="U493" s="47">
        <v>13</v>
      </c>
      <c r="V493" s="48">
        <v>0.93</v>
      </c>
      <c r="W493" s="52">
        <v>0.55000000000000004</v>
      </c>
      <c r="X493" s="130">
        <f t="shared" si="78"/>
        <v>0.17000000000000004</v>
      </c>
      <c r="Y493" s="16">
        <f t="shared" si="81"/>
        <v>0.13809138557213035</v>
      </c>
      <c r="Z493" s="286" t="s">
        <v>53</v>
      </c>
      <c r="AA493" s="286" t="s">
        <v>53</v>
      </c>
      <c r="AB493" s="16">
        <v>0.13809138557213035</v>
      </c>
      <c r="AC493" s="66" t="s">
        <v>49</v>
      </c>
      <c r="AD493" s="51" t="s">
        <v>444</v>
      </c>
      <c r="AE493" s="13">
        <v>12</v>
      </c>
      <c r="AF493" s="13">
        <v>2</v>
      </c>
      <c r="AG493" s="13">
        <v>52.5</v>
      </c>
      <c r="AH493" s="134">
        <v>205460</v>
      </c>
      <c r="AI493" s="134">
        <v>4.3</v>
      </c>
      <c r="AJ493" s="135">
        <f t="shared" si="79"/>
        <v>225.75</v>
      </c>
      <c r="AK493" s="136">
        <f t="shared" si="80"/>
        <v>451.5</v>
      </c>
      <c r="AL493" s="136" t="str" cm="1">
        <f t="array" ref="AL493">_xlfn.IFS(
AI493&lt;3,"Ligera",
AI493&lt;=6,"Moderada",
AI493&gt;6,"Vigorosa"
)</f>
        <v>Moderada</v>
      </c>
      <c r="AM493" s="45" t="s">
        <v>48</v>
      </c>
      <c r="AN493" s="289" t="s">
        <v>60</v>
      </c>
      <c r="AO493" s="46" t="s">
        <v>61</v>
      </c>
      <c r="AP493" s="289" t="s">
        <v>173</v>
      </c>
      <c r="AQ493" s="139">
        <v>0</v>
      </c>
    </row>
    <row r="494" spans="1:47" ht="78.75" customHeight="1" thickBot="1">
      <c r="A494" s="138" t="s">
        <v>443</v>
      </c>
      <c r="B494" s="12">
        <v>45</v>
      </c>
      <c r="C494" s="12">
        <v>89</v>
      </c>
      <c r="D494" s="12">
        <v>20</v>
      </c>
      <c r="E494" s="12" t="s">
        <v>45</v>
      </c>
      <c r="F494" s="12" t="s">
        <v>45</v>
      </c>
      <c r="G494" s="12" t="s">
        <v>183</v>
      </c>
      <c r="H494" s="12"/>
      <c r="I494" s="12" t="s">
        <v>45</v>
      </c>
      <c r="J494" s="12" t="s">
        <v>47</v>
      </c>
      <c r="K494" s="12" t="s">
        <v>49</v>
      </c>
      <c r="L494" s="12" t="s">
        <v>49</v>
      </c>
      <c r="M494" s="11" t="s">
        <v>56</v>
      </c>
      <c r="N494" s="11" t="s">
        <v>57</v>
      </c>
      <c r="O494" s="11" t="s">
        <v>126</v>
      </c>
      <c r="P494" s="11" t="s">
        <v>51</v>
      </c>
      <c r="Q494" s="50" t="s">
        <v>210</v>
      </c>
      <c r="R494" s="47">
        <v>15</v>
      </c>
      <c r="S494" s="48">
        <v>0.57999999999999996</v>
      </c>
      <c r="T494" s="52">
        <v>0.34</v>
      </c>
      <c r="U494" s="47">
        <v>15</v>
      </c>
      <c r="V494" s="47">
        <v>0.62</v>
      </c>
      <c r="W494" s="48">
        <v>0.34</v>
      </c>
      <c r="X494" s="130">
        <f t="shared" si="78"/>
        <v>4.0000000000000036E-2</v>
      </c>
      <c r="Y494" s="16">
        <f t="shared" si="81"/>
        <v>8.7787622514034783E-2</v>
      </c>
      <c r="Z494" s="15">
        <f t="shared" si="82"/>
        <v>-0.13</v>
      </c>
      <c r="AA494" s="16">
        <f t="shared" si="83"/>
        <v>0.20186153846153851</v>
      </c>
      <c r="AB494" s="16">
        <f t="shared" si="84"/>
        <v>0.1702505405228526</v>
      </c>
      <c r="AC494" s="66" t="s">
        <v>49</v>
      </c>
      <c r="AD494" s="51" t="s">
        <v>446</v>
      </c>
      <c r="AE494" s="13">
        <v>12</v>
      </c>
      <c r="AF494" s="13">
        <v>2</v>
      </c>
      <c r="AG494" s="13">
        <v>52.5</v>
      </c>
      <c r="AH494" s="134">
        <v>205460</v>
      </c>
      <c r="AI494" s="134">
        <v>4.3</v>
      </c>
      <c r="AJ494" s="135">
        <f t="shared" si="79"/>
        <v>225.75</v>
      </c>
      <c r="AK494" s="136">
        <f t="shared" si="80"/>
        <v>451.5</v>
      </c>
      <c r="AL494" s="136" t="str" cm="1">
        <f t="array" ref="AL494">_xlfn.IFS(
AI494&lt;3,"Ligera",
AI494&lt;=6,"Moderada",
AI494&gt;6,"Vigorosa"
)</f>
        <v>Moderada</v>
      </c>
      <c r="AM494" s="45" t="s">
        <v>48</v>
      </c>
      <c r="AN494" s="289" t="s">
        <v>60</v>
      </c>
      <c r="AO494" s="46" t="s">
        <v>61</v>
      </c>
      <c r="AP494" s="289" t="s">
        <v>173</v>
      </c>
      <c r="AQ494" s="139">
        <v>0</v>
      </c>
    </row>
    <row r="495" spans="1:47" ht="78.75" customHeight="1" thickBot="1">
      <c r="A495" s="138" t="s">
        <v>443</v>
      </c>
      <c r="B495" s="12">
        <v>45</v>
      </c>
      <c r="C495" s="12">
        <v>78.900000000000006</v>
      </c>
      <c r="D495" s="12">
        <v>42.86</v>
      </c>
      <c r="E495" s="12" t="s">
        <v>45</v>
      </c>
      <c r="F495" s="12" t="s">
        <v>45</v>
      </c>
      <c r="G495" s="12" t="s">
        <v>183</v>
      </c>
      <c r="H495" s="12"/>
      <c r="I495" s="12" t="s">
        <v>45</v>
      </c>
      <c r="J495" s="12" t="s">
        <v>47</v>
      </c>
      <c r="K495" s="12" t="s">
        <v>49</v>
      </c>
      <c r="L495" s="12" t="s">
        <v>49</v>
      </c>
      <c r="M495" s="11" t="s">
        <v>56</v>
      </c>
      <c r="N495" s="11" t="s">
        <v>57</v>
      </c>
      <c r="O495" s="11" t="s">
        <v>126</v>
      </c>
      <c r="P495" s="11" t="s">
        <v>51</v>
      </c>
      <c r="Q495" s="50" t="s">
        <v>448</v>
      </c>
      <c r="R495" s="47">
        <v>7</v>
      </c>
      <c r="S495" s="48">
        <v>37.9</v>
      </c>
      <c r="T495" s="48">
        <v>29.8</v>
      </c>
      <c r="U495" s="47">
        <v>7</v>
      </c>
      <c r="V495" s="47">
        <v>31.2</v>
      </c>
      <c r="W495" s="48">
        <v>22.1</v>
      </c>
      <c r="X495" s="130">
        <f t="shared" si="78"/>
        <v>-6.6999999999999993</v>
      </c>
      <c r="Y495" s="16">
        <f t="shared" si="81"/>
        <v>10.126838457428715</v>
      </c>
      <c r="Z495" s="286" t="s">
        <v>53</v>
      </c>
      <c r="AA495" s="286" t="s">
        <v>53</v>
      </c>
      <c r="AB495" s="16">
        <v>10.126838457428715</v>
      </c>
      <c r="AC495" s="66" t="s">
        <v>48</v>
      </c>
      <c r="AD495" s="51" t="s">
        <v>444</v>
      </c>
      <c r="AE495" s="13">
        <v>12</v>
      </c>
      <c r="AF495" s="13">
        <v>2</v>
      </c>
      <c r="AG495" s="13">
        <v>52.5</v>
      </c>
      <c r="AH495" s="134">
        <v>205460</v>
      </c>
      <c r="AI495" s="134">
        <v>4.3</v>
      </c>
      <c r="AJ495" s="135">
        <f t="shared" si="79"/>
        <v>225.75</v>
      </c>
      <c r="AK495" s="136">
        <f t="shared" si="80"/>
        <v>451.5</v>
      </c>
      <c r="AL495" s="136" t="str" cm="1">
        <f t="array" ref="AL495">_xlfn.IFS(
AI495&lt;3,"Ligera",
AI495&lt;=6,"Moderada",
AI495&gt;6,"Vigorosa"
)</f>
        <v>Moderada</v>
      </c>
      <c r="AM495" s="45" t="s">
        <v>48</v>
      </c>
      <c r="AN495" s="289" t="s">
        <v>60</v>
      </c>
      <c r="AO495" s="46" t="s">
        <v>61</v>
      </c>
      <c r="AP495" s="289" t="s">
        <v>173</v>
      </c>
      <c r="AQ495" s="139">
        <v>0</v>
      </c>
    </row>
    <row r="496" spans="1:47" ht="78.75" customHeight="1" thickBot="1">
      <c r="A496" s="138" t="s">
        <v>443</v>
      </c>
      <c r="B496" s="12">
        <v>45</v>
      </c>
      <c r="C496" s="12">
        <v>89</v>
      </c>
      <c r="D496" s="12">
        <v>20</v>
      </c>
      <c r="E496" s="12" t="s">
        <v>45</v>
      </c>
      <c r="F496" s="12" t="s">
        <v>45</v>
      </c>
      <c r="G496" s="12" t="s">
        <v>183</v>
      </c>
      <c r="H496" s="12"/>
      <c r="I496" s="12" t="s">
        <v>45</v>
      </c>
      <c r="J496" s="12" t="s">
        <v>47</v>
      </c>
      <c r="K496" s="12" t="s">
        <v>49</v>
      </c>
      <c r="L496" s="12" t="s">
        <v>49</v>
      </c>
      <c r="M496" s="11" t="s">
        <v>56</v>
      </c>
      <c r="N496" s="11" t="s">
        <v>57</v>
      </c>
      <c r="O496" s="11" t="s">
        <v>126</v>
      </c>
      <c r="P496" s="11" t="s">
        <v>51</v>
      </c>
      <c r="Q496" s="50" t="s">
        <v>448</v>
      </c>
      <c r="R496" s="47">
        <v>5</v>
      </c>
      <c r="S496" s="48">
        <v>28.2</v>
      </c>
      <c r="T496" s="52">
        <v>7.05</v>
      </c>
      <c r="U496" s="47">
        <v>5</v>
      </c>
      <c r="V496" s="47">
        <v>31.9</v>
      </c>
      <c r="W496" s="48">
        <v>15.5</v>
      </c>
      <c r="X496" s="130">
        <f t="shared" si="78"/>
        <v>3.6999999999999993</v>
      </c>
      <c r="Y496" s="16">
        <f t="shared" si="81"/>
        <v>6.0112810614710073</v>
      </c>
      <c r="Z496" s="15">
        <f t="shared" si="82"/>
        <v>10.399999999999999</v>
      </c>
      <c r="AA496" s="16">
        <f t="shared" si="83"/>
        <v>389.14600000000007</v>
      </c>
      <c r="AB496" s="16">
        <f t="shared" si="84"/>
        <v>11.550821863152672</v>
      </c>
      <c r="AC496" s="66" t="s">
        <v>48</v>
      </c>
      <c r="AD496" s="51" t="s">
        <v>446</v>
      </c>
      <c r="AE496" s="13">
        <v>12</v>
      </c>
      <c r="AF496" s="13">
        <v>2</v>
      </c>
      <c r="AG496" s="13">
        <v>52.5</v>
      </c>
      <c r="AH496" s="134">
        <v>205460</v>
      </c>
      <c r="AI496" s="134">
        <v>4.3</v>
      </c>
      <c r="AJ496" s="135">
        <f t="shared" si="79"/>
        <v>225.75</v>
      </c>
      <c r="AK496" s="136">
        <f t="shared" si="80"/>
        <v>451.5</v>
      </c>
      <c r="AL496" s="136" t="str" cm="1">
        <f t="array" ref="AL496">_xlfn.IFS(
AI496&lt;3,"Ligera",
AI496&lt;=6,"Moderada",
AI496&gt;6,"Vigorosa"
)</f>
        <v>Moderada</v>
      </c>
      <c r="AM496" s="45" t="s">
        <v>48</v>
      </c>
      <c r="AN496" s="289" t="s">
        <v>60</v>
      </c>
      <c r="AO496" s="46" t="s">
        <v>61</v>
      </c>
      <c r="AP496" s="289" t="s">
        <v>173</v>
      </c>
      <c r="AQ496" s="139">
        <v>0</v>
      </c>
    </row>
    <row r="497" spans="1:45" ht="78.75" customHeight="1" thickBot="1">
      <c r="A497" s="138" t="s">
        <v>443</v>
      </c>
      <c r="B497" s="12">
        <v>45</v>
      </c>
      <c r="C497" s="12">
        <v>78.900000000000006</v>
      </c>
      <c r="D497" s="12">
        <v>42.86</v>
      </c>
      <c r="E497" s="12" t="s">
        <v>45</v>
      </c>
      <c r="F497" s="12" t="s">
        <v>45</v>
      </c>
      <c r="G497" s="12" t="s">
        <v>183</v>
      </c>
      <c r="H497" s="12"/>
      <c r="I497" s="12" t="s">
        <v>45</v>
      </c>
      <c r="J497" s="12" t="s">
        <v>47</v>
      </c>
      <c r="K497" s="12" t="s">
        <v>49</v>
      </c>
      <c r="L497" s="12" t="s">
        <v>49</v>
      </c>
      <c r="M497" s="11" t="s">
        <v>56</v>
      </c>
      <c r="N497" s="11" t="s">
        <v>57</v>
      </c>
      <c r="O497" s="11" t="s">
        <v>126</v>
      </c>
      <c r="P497" s="11" t="s">
        <v>51</v>
      </c>
      <c r="Q497" s="50" t="s">
        <v>293</v>
      </c>
      <c r="R497" s="47">
        <v>14</v>
      </c>
      <c r="S497" s="48">
        <v>13.6</v>
      </c>
      <c r="T497" s="48">
        <v>7.7</v>
      </c>
      <c r="U497" s="47">
        <v>14</v>
      </c>
      <c r="V497" s="47">
        <v>14.6</v>
      </c>
      <c r="W497" s="48">
        <v>6.9</v>
      </c>
      <c r="X497" s="130">
        <f t="shared" si="78"/>
        <v>1</v>
      </c>
      <c r="Y497" s="16">
        <f t="shared" si="81"/>
        <v>1.9597740394530909</v>
      </c>
      <c r="Z497" s="286" t="s">
        <v>53</v>
      </c>
      <c r="AA497" s="286" t="s">
        <v>53</v>
      </c>
      <c r="AB497" s="16">
        <v>1.9597740394530909</v>
      </c>
      <c r="AC497" s="66" t="s">
        <v>49</v>
      </c>
      <c r="AD497" s="51" t="s">
        <v>444</v>
      </c>
      <c r="AE497" s="13">
        <v>12</v>
      </c>
      <c r="AF497" s="13">
        <v>2</v>
      </c>
      <c r="AG497" s="13">
        <v>52.5</v>
      </c>
      <c r="AH497" s="134">
        <v>205460</v>
      </c>
      <c r="AI497" s="134">
        <v>4.3</v>
      </c>
      <c r="AJ497" s="135">
        <f t="shared" si="79"/>
        <v>225.75</v>
      </c>
      <c r="AK497" s="136">
        <f t="shared" si="80"/>
        <v>451.5</v>
      </c>
      <c r="AL497" s="136" t="str" cm="1">
        <f t="array" ref="AL497">_xlfn.IFS(
AI497&lt;3,"Ligera",
AI497&lt;=6,"Moderada",
AI497&gt;6,"Vigorosa"
)</f>
        <v>Moderada</v>
      </c>
      <c r="AM497" s="45" t="s">
        <v>48</v>
      </c>
      <c r="AN497" s="289" t="s">
        <v>60</v>
      </c>
      <c r="AO497" s="46" t="s">
        <v>61</v>
      </c>
      <c r="AP497" s="289" t="s">
        <v>173</v>
      </c>
      <c r="AQ497" s="139">
        <v>0</v>
      </c>
    </row>
    <row r="498" spans="1:45" ht="78.75" customHeight="1" thickBot="1">
      <c r="A498" s="138" t="s">
        <v>443</v>
      </c>
      <c r="B498" s="12">
        <v>45</v>
      </c>
      <c r="C498" s="12">
        <v>89</v>
      </c>
      <c r="D498" s="12">
        <v>20</v>
      </c>
      <c r="E498" s="12" t="s">
        <v>45</v>
      </c>
      <c r="F498" s="12" t="s">
        <v>45</v>
      </c>
      <c r="G498" s="12" t="s">
        <v>183</v>
      </c>
      <c r="H498" s="12"/>
      <c r="I498" s="12" t="s">
        <v>45</v>
      </c>
      <c r="J498" s="12" t="s">
        <v>47</v>
      </c>
      <c r="K498" s="12" t="s">
        <v>49</v>
      </c>
      <c r="L498" s="12" t="s">
        <v>49</v>
      </c>
      <c r="M498" s="11" t="s">
        <v>56</v>
      </c>
      <c r="N498" s="11" t="s">
        <v>57</v>
      </c>
      <c r="O498" s="11" t="s">
        <v>126</v>
      </c>
      <c r="P498" s="11" t="s">
        <v>51</v>
      </c>
      <c r="Q498" s="50" t="s">
        <v>293</v>
      </c>
      <c r="R498" s="47">
        <v>14</v>
      </c>
      <c r="S498" s="48">
        <v>10.1</v>
      </c>
      <c r="T498" s="52">
        <v>8</v>
      </c>
      <c r="U498" s="47">
        <v>14</v>
      </c>
      <c r="V498" s="47">
        <v>11.2</v>
      </c>
      <c r="W498" s="48">
        <v>8.2200000000000006</v>
      </c>
      <c r="X498" s="130">
        <f t="shared" si="78"/>
        <v>1.0999999999999996</v>
      </c>
      <c r="Y498" s="16">
        <f t="shared" si="81"/>
        <v>2.1680867141329934</v>
      </c>
      <c r="Z498" s="15">
        <f t="shared" si="82"/>
        <v>9.9999999999999645E-2</v>
      </c>
      <c r="AA498" s="16">
        <f t="shared" si="83"/>
        <v>57.589200000000012</v>
      </c>
      <c r="AB498" s="16">
        <f t="shared" si="84"/>
        <v>2.8682797233583361</v>
      </c>
      <c r="AC498" s="66" t="s">
        <v>49</v>
      </c>
      <c r="AD498" s="51" t="s">
        <v>446</v>
      </c>
      <c r="AE498" s="13">
        <v>12</v>
      </c>
      <c r="AF498" s="13">
        <v>2</v>
      </c>
      <c r="AG498" s="13">
        <v>52.5</v>
      </c>
      <c r="AH498" s="134">
        <v>205460</v>
      </c>
      <c r="AI498" s="134">
        <v>4.3</v>
      </c>
      <c r="AJ498" s="135">
        <f t="shared" si="79"/>
        <v>225.75</v>
      </c>
      <c r="AK498" s="136">
        <f t="shared" si="80"/>
        <v>451.5</v>
      </c>
      <c r="AL498" s="136" t="str" cm="1">
        <f t="array" ref="AL498">_xlfn.IFS(
AI498&lt;3,"Ligera",
AI498&lt;=6,"Moderada",
AI498&gt;6,"Vigorosa"
)</f>
        <v>Moderada</v>
      </c>
      <c r="AM498" s="45" t="s">
        <v>48</v>
      </c>
      <c r="AN498" s="289" t="s">
        <v>60</v>
      </c>
      <c r="AO498" s="46" t="s">
        <v>61</v>
      </c>
      <c r="AP498" s="289" t="s">
        <v>173</v>
      </c>
      <c r="AQ498" s="139">
        <v>0</v>
      </c>
    </row>
    <row r="499" spans="1:45" ht="78.75" customHeight="1" thickBot="1">
      <c r="A499" s="138" t="s">
        <v>443</v>
      </c>
      <c r="B499" s="12">
        <v>45</v>
      </c>
      <c r="C499" s="12">
        <v>78.900000000000006</v>
      </c>
      <c r="D499" s="12">
        <v>42.86</v>
      </c>
      <c r="E499" s="12" t="s">
        <v>45</v>
      </c>
      <c r="F499" s="12" t="s">
        <v>45</v>
      </c>
      <c r="G499" s="12" t="s">
        <v>183</v>
      </c>
      <c r="H499" s="12"/>
      <c r="I499" s="12" t="s">
        <v>45</v>
      </c>
      <c r="J499" s="12" t="s">
        <v>47</v>
      </c>
      <c r="K499" s="12" t="s">
        <v>49</v>
      </c>
      <c r="L499" s="12" t="s">
        <v>49</v>
      </c>
      <c r="M499" s="11" t="s">
        <v>56</v>
      </c>
      <c r="N499" s="11" t="s">
        <v>57</v>
      </c>
      <c r="O499" s="11" t="s">
        <v>126</v>
      </c>
      <c r="P499" s="11" t="s">
        <v>51</v>
      </c>
      <c r="Q499" s="50" t="s">
        <v>299</v>
      </c>
      <c r="R499" s="47">
        <v>14</v>
      </c>
      <c r="S499" s="48">
        <v>13.4</v>
      </c>
      <c r="T499" s="48">
        <v>9.3800000000000008</v>
      </c>
      <c r="U499" s="47">
        <v>14</v>
      </c>
      <c r="V499" s="47">
        <v>14.3</v>
      </c>
      <c r="W499" s="48">
        <v>8.3800000000000008</v>
      </c>
      <c r="X499" s="130">
        <f t="shared" si="78"/>
        <v>0.90000000000000036</v>
      </c>
      <c r="Y499" s="16">
        <f t="shared" si="81"/>
        <v>2.3845394883349225</v>
      </c>
      <c r="Z499" s="286" t="s">
        <v>53</v>
      </c>
      <c r="AA499" s="286" t="s">
        <v>53</v>
      </c>
      <c r="AB499" s="16">
        <v>2.3845394883349225</v>
      </c>
      <c r="AC499" s="66" t="s">
        <v>49</v>
      </c>
      <c r="AD499" s="51" t="s">
        <v>444</v>
      </c>
      <c r="AE499" s="13">
        <v>12</v>
      </c>
      <c r="AF499" s="13">
        <v>2</v>
      </c>
      <c r="AG499" s="13">
        <v>52.5</v>
      </c>
      <c r="AH499" s="134">
        <v>205460</v>
      </c>
      <c r="AI499" s="134">
        <v>4.3</v>
      </c>
      <c r="AJ499" s="135">
        <f t="shared" si="79"/>
        <v>225.75</v>
      </c>
      <c r="AK499" s="136">
        <f t="shared" si="80"/>
        <v>451.5</v>
      </c>
      <c r="AL499" s="136" t="str" cm="1">
        <f t="array" ref="AL499">_xlfn.IFS(
AI499&lt;3,"Ligera",
AI499&lt;=6,"Moderada",
AI499&gt;6,"Vigorosa"
)</f>
        <v>Moderada</v>
      </c>
      <c r="AM499" s="45" t="s">
        <v>48</v>
      </c>
      <c r="AN499" s="289" t="s">
        <v>60</v>
      </c>
      <c r="AO499" s="46" t="s">
        <v>61</v>
      </c>
      <c r="AP499" s="289" t="s">
        <v>173</v>
      </c>
      <c r="AQ499" s="139">
        <v>0</v>
      </c>
    </row>
    <row r="500" spans="1:45" ht="78.75" customHeight="1" thickBot="1">
      <c r="A500" s="140" t="s">
        <v>443</v>
      </c>
      <c r="B500" s="141">
        <v>45</v>
      </c>
      <c r="C500" s="141">
        <v>89</v>
      </c>
      <c r="D500" s="141">
        <v>20</v>
      </c>
      <c r="E500" s="141" t="s">
        <v>45</v>
      </c>
      <c r="F500" s="141" t="s">
        <v>45</v>
      </c>
      <c r="G500" s="141" t="s">
        <v>183</v>
      </c>
      <c r="H500" s="141"/>
      <c r="I500" s="141" t="s">
        <v>45</v>
      </c>
      <c r="J500" s="141" t="s">
        <v>47</v>
      </c>
      <c r="K500" s="141" t="s">
        <v>49</v>
      </c>
      <c r="L500" s="141" t="s">
        <v>49</v>
      </c>
      <c r="M500" s="142" t="s">
        <v>56</v>
      </c>
      <c r="N500" s="142" t="s">
        <v>57</v>
      </c>
      <c r="O500" s="142" t="s">
        <v>126</v>
      </c>
      <c r="P500" s="142" t="s">
        <v>51</v>
      </c>
      <c r="Q500" s="158" t="s">
        <v>299</v>
      </c>
      <c r="R500" s="169">
        <v>14</v>
      </c>
      <c r="S500" s="170">
        <v>6.5</v>
      </c>
      <c r="T500" s="171">
        <v>8.3000000000000007</v>
      </c>
      <c r="U500" s="169">
        <v>14</v>
      </c>
      <c r="V500" s="169">
        <v>8</v>
      </c>
      <c r="W500" s="170">
        <v>6.77</v>
      </c>
      <c r="X500" s="130">
        <f t="shared" si="78"/>
        <v>1.5</v>
      </c>
      <c r="Y500" s="16">
        <f t="shared" si="81"/>
        <v>2.0447126937543083</v>
      </c>
      <c r="Z500" s="15">
        <f t="shared" si="82"/>
        <v>0.59999999999999964</v>
      </c>
      <c r="AA500" s="16">
        <f t="shared" si="83"/>
        <v>58.028650000000006</v>
      </c>
      <c r="AB500" s="16">
        <f t="shared" si="84"/>
        <v>2.8792025185556405</v>
      </c>
      <c r="AC500" s="66" t="s">
        <v>49</v>
      </c>
      <c r="AD500" s="151" t="s">
        <v>446</v>
      </c>
      <c r="AE500" s="146">
        <v>12</v>
      </c>
      <c r="AF500" s="146">
        <v>2</v>
      </c>
      <c r="AG500" s="146">
        <v>52.5</v>
      </c>
      <c r="AH500" s="134">
        <v>205460</v>
      </c>
      <c r="AI500" s="134">
        <v>4.3</v>
      </c>
      <c r="AJ500" s="135">
        <f t="shared" si="79"/>
        <v>225.75</v>
      </c>
      <c r="AK500" s="136">
        <f t="shared" si="80"/>
        <v>451.5</v>
      </c>
      <c r="AL500" s="136" t="str" cm="1">
        <f t="array" ref="AL500">_xlfn.IFS(
AI500&lt;3,"Ligera",
AI500&lt;=6,"Moderada",
AI500&gt;6,"Vigorosa"
)</f>
        <v>Moderada</v>
      </c>
      <c r="AM500" s="147" t="s">
        <v>48</v>
      </c>
      <c r="AN500" s="290" t="s">
        <v>60</v>
      </c>
      <c r="AO500" s="148" t="s">
        <v>61</v>
      </c>
      <c r="AP500" s="290" t="s">
        <v>173</v>
      </c>
      <c r="AQ500" s="149">
        <v>0</v>
      </c>
    </row>
    <row r="501" spans="1:45" ht="78.75" customHeight="1" thickBot="1">
      <c r="A501" s="124" t="s">
        <v>449</v>
      </c>
      <c r="B501" s="125">
        <v>62</v>
      </c>
      <c r="C501" s="125">
        <v>84.2</v>
      </c>
      <c r="D501" s="125">
        <v>12.9</v>
      </c>
      <c r="E501" s="125" t="s">
        <v>45</v>
      </c>
      <c r="F501" s="125" t="s">
        <v>45</v>
      </c>
      <c r="G501" s="125" t="s">
        <v>212</v>
      </c>
      <c r="H501" s="125"/>
      <c r="I501" s="125" t="s">
        <v>45</v>
      </c>
      <c r="J501" s="125">
        <v>3</v>
      </c>
      <c r="K501" s="125" t="s">
        <v>48</v>
      </c>
      <c r="L501" s="125" t="s">
        <v>48</v>
      </c>
      <c r="M501" s="126" t="s">
        <v>50</v>
      </c>
      <c r="N501" s="126" t="s">
        <v>50</v>
      </c>
      <c r="O501" s="126" t="s">
        <v>50</v>
      </c>
      <c r="P501" s="126" t="s">
        <v>86</v>
      </c>
      <c r="Q501" s="159" t="s">
        <v>156</v>
      </c>
      <c r="R501" s="167">
        <v>30</v>
      </c>
      <c r="S501" s="168">
        <v>12.9</v>
      </c>
      <c r="T501" s="168">
        <v>2.63</v>
      </c>
      <c r="U501" s="168">
        <v>25</v>
      </c>
      <c r="V501" s="167">
        <v>13.3</v>
      </c>
      <c r="W501" s="191">
        <v>3.01</v>
      </c>
      <c r="X501" s="130">
        <f t="shared" si="78"/>
        <v>0.40000000000000036</v>
      </c>
      <c r="Y501" s="16">
        <f t="shared" si="81"/>
        <v>0.56782743857619278</v>
      </c>
      <c r="Z501" s="286" t="s">
        <v>53</v>
      </c>
      <c r="AA501" s="286" t="s">
        <v>53</v>
      </c>
      <c r="AB501" s="16">
        <v>0.56782743857619278</v>
      </c>
      <c r="AC501" s="66" t="s">
        <v>49</v>
      </c>
      <c r="AD501" s="133" t="s">
        <v>450</v>
      </c>
      <c r="AE501" s="134">
        <v>12</v>
      </c>
      <c r="AF501" s="134">
        <v>0</v>
      </c>
      <c r="AG501" s="134">
        <v>0</v>
      </c>
      <c r="AH501" s="134">
        <v>0</v>
      </c>
      <c r="AI501" s="134">
        <v>0</v>
      </c>
      <c r="AJ501" s="135">
        <f t="shared" si="79"/>
        <v>0</v>
      </c>
      <c r="AK501" s="136">
        <f t="shared" si="80"/>
        <v>0</v>
      </c>
      <c r="AL501" s="136" t="str" cm="1">
        <f t="array" ref="AL501">_xlfn.IFS(
AI501&lt;3,"Ligera",
AI501&lt;=6,"Moderada",
AI501&gt;6,"Vigorosa"
)</f>
        <v>Ligera</v>
      </c>
      <c r="AM501" s="136" t="s">
        <v>49</v>
      </c>
      <c r="AN501" s="288" t="s">
        <v>49</v>
      </c>
      <c r="AO501" s="288" t="s">
        <v>49</v>
      </c>
      <c r="AP501" s="288" t="s">
        <v>49</v>
      </c>
      <c r="AQ501" s="137">
        <v>0</v>
      </c>
      <c r="AS501" s="83" t="s">
        <v>451</v>
      </c>
    </row>
    <row r="502" spans="1:45" ht="78.75" customHeight="1" thickBot="1">
      <c r="A502" s="138" t="s">
        <v>449</v>
      </c>
      <c r="B502" s="12">
        <v>62</v>
      </c>
      <c r="C502" s="12">
        <v>82.2</v>
      </c>
      <c r="D502" s="12">
        <v>35.5</v>
      </c>
      <c r="E502" s="12" t="s">
        <v>45</v>
      </c>
      <c r="F502" s="12" t="s">
        <v>45</v>
      </c>
      <c r="G502" s="12" t="s">
        <v>212</v>
      </c>
      <c r="H502" s="12"/>
      <c r="I502" s="12" t="s">
        <v>45</v>
      </c>
      <c r="J502" s="12">
        <v>3</v>
      </c>
      <c r="K502" s="12" t="s">
        <v>48</v>
      </c>
      <c r="L502" s="12" t="s">
        <v>48</v>
      </c>
      <c r="M502" s="11" t="s">
        <v>56</v>
      </c>
      <c r="N502" s="11" t="s">
        <v>57</v>
      </c>
      <c r="O502" s="11" t="s">
        <v>58</v>
      </c>
      <c r="P502" s="11" t="s">
        <v>86</v>
      </c>
      <c r="Q502" s="50" t="s">
        <v>156</v>
      </c>
      <c r="R502" s="47">
        <v>31</v>
      </c>
      <c r="S502" s="48">
        <v>13.6</v>
      </c>
      <c r="T502" s="48">
        <v>2.06</v>
      </c>
      <c r="U502" s="48">
        <v>30</v>
      </c>
      <c r="V502" s="47">
        <v>13.67</v>
      </c>
      <c r="W502" s="85">
        <v>2.79</v>
      </c>
      <c r="X502" s="130">
        <f t="shared" si="78"/>
        <v>7.0000000000000284E-2</v>
      </c>
      <c r="Y502" s="16">
        <f t="shared" si="81"/>
        <v>0.45754052643818699</v>
      </c>
      <c r="Z502" s="15">
        <f t="shared" si="82"/>
        <v>-0.33000000000000007</v>
      </c>
      <c r="AA502" s="16">
        <f t="shared" si="83"/>
        <v>8.3619113207547162</v>
      </c>
      <c r="AB502" s="16">
        <f t="shared" si="84"/>
        <v>0.78307523916203559</v>
      </c>
      <c r="AC502" s="66" t="s">
        <v>49</v>
      </c>
      <c r="AD502" s="51" t="s">
        <v>452</v>
      </c>
      <c r="AE502" s="13">
        <v>12</v>
      </c>
      <c r="AF502" s="13">
        <v>3</v>
      </c>
      <c r="AG502" s="13">
        <v>5</v>
      </c>
      <c r="AH502" s="13">
        <v>205160</v>
      </c>
      <c r="AI502" s="13">
        <v>3</v>
      </c>
      <c r="AJ502" s="135">
        <f t="shared" si="79"/>
        <v>15</v>
      </c>
      <c r="AK502" s="136">
        <f t="shared" si="80"/>
        <v>45</v>
      </c>
      <c r="AL502" s="136" t="str" cm="1">
        <f t="array" ref="AL502">_xlfn.IFS(
AI502&lt;3,"Ligera",
AI502&lt;=6,"Moderada",
AI502&gt;6,"Vigorosa"
)</f>
        <v>Moderada</v>
      </c>
      <c r="AM502" s="45" t="s">
        <v>49</v>
      </c>
      <c r="AN502" s="289" t="s">
        <v>49</v>
      </c>
      <c r="AO502" s="46" t="s">
        <v>61</v>
      </c>
      <c r="AP502" s="289" t="s">
        <v>62</v>
      </c>
      <c r="AQ502" s="139">
        <v>0</v>
      </c>
      <c r="AS502" s="83" t="s">
        <v>451</v>
      </c>
    </row>
    <row r="503" spans="1:45" ht="78.75" customHeight="1" thickBot="1">
      <c r="A503" s="138" t="s">
        <v>449</v>
      </c>
      <c r="B503" s="12">
        <v>62</v>
      </c>
      <c r="C503" s="12">
        <v>84.2</v>
      </c>
      <c r="D503" s="12">
        <v>12.9</v>
      </c>
      <c r="E503" s="12" t="s">
        <v>45</v>
      </c>
      <c r="F503" s="12" t="s">
        <v>45</v>
      </c>
      <c r="G503" s="12" t="s">
        <v>212</v>
      </c>
      <c r="H503" s="12"/>
      <c r="I503" s="12" t="s">
        <v>45</v>
      </c>
      <c r="J503" s="12">
        <v>3</v>
      </c>
      <c r="K503" s="12" t="s">
        <v>48</v>
      </c>
      <c r="L503" s="12" t="s">
        <v>48</v>
      </c>
      <c r="M503" s="11" t="s">
        <v>50</v>
      </c>
      <c r="N503" s="11" t="s">
        <v>50</v>
      </c>
      <c r="O503" s="11" t="s">
        <v>50</v>
      </c>
      <c r="P503" s="11" t="s">
        <v>86</v>
      </c>
      <c r="Q503" s="50" t="s">
        <v>157</v>
      </c>
      <c r="R503" s="47">
        <v>30</v>
      </c>
      <c r="S503" s="48">
        <v>9.27</v>
      </c>
      <c r="T503" s="48">
        <v>2.23</v>
      </c>
      <c r="U503" s="48">
        <v>25</v>
      </c>
      <c r="V503" s="47">
        <v>9.75</v>
      </c>
      <c r="W503" s="85">
        <v>2.23</v>
      </c>
      <c r="X503" s="130">
        <f t="shared" si="78"/>
        <v>0.48000000000000043</v>
      </c>
      <c r="Y503" s="16">
        <f t="shared" si="81"/>
        <v>0.44600000000000001</v>
      </c>
      <c r="Z503" s="286" t="s">
        <v>53</v>
      </c>
      <c r="AA503" s="286" t="s">
        <v>53</v>
      </c>
      <c r="AB503" s="16">
        <v>0.44600000000000001</v>
      </c>
      <c r="AC503" s="66" t="s">
        <v>49</v>
      </c>
      <c r="AD503" s="51" t="s">
        <v>450</v>
      </c>
      <c r="AE503" s="13">
        <v>12</v>
      </c>
      <c r="AF503" s="13">
        <v>0</v>
      </c>
      <c r="AG503" s="13">
        <v>0</v>
      </c>
      <c r="AH503" s="134">
        <v>0</v>
      </c>
      <c r="AI503" s="134">
        <v>0</v>
      </c>
      <c r="AJ503" s="135">
        <f t="shared" si="79"/>
        <v>0</v>
      </c>
      <c r="AK503" s="136">
        <f t="shared" si="80"/>
        <v>0</v>
      </c>
      <c r="AL503" s="136" t="str" cm="1">
        <f t="array" ref="AL503">_xlfn.IFS(
AI503&lt;3,"Ligera",
AI503&lt;=6,"Moderada",
AI503&gt;6,"Vigorosa"
)</f>
        <v>Ligera</v>
      </c>
      <c r="AM503" s="45" t="s">
        <v>49</v>
      </c>
      <c r="AN503" s="289" t="s">
        <v>49</v>
      </c>
      <c r="AO503" s="289" t="s">
        <v>49</v>
      </c>
      <c r="AP503" s="289" t="s">
        <v>49</v>
      </c>
      <c r="AQ503" s="139">
        <v>0</v>
      </c>
      <c r="AS503" s="83" t="s">
        <v>451</v>
      </c>
    </row>
    <row r="504" spans="1:45" ht="78.75" customHeight="1" thickBot="1">
      <c r="A504" s="138" t="s">
        <v>449</v>
      </c>
      <c r="B504" s="12">
        <v>62</v>
      </c>
      <c r="C504" s="12">
        <v>82.2</v>
      </c>
      <c r="D504" s="12">
        <v>35.5</v>
      </c>
      <c r="E504" s="12" t="s">
        <v>45</v>
      </c>
      <c r="F504" s="12" t="s">
        <v>45</v>
      </c>
      <c r="G504" s="12" t="s">
        <v>212</v>
      </c>
      <c r="H504" s="12"/>
      <c r="I504" s="12" t="s">
        <v>45</v>
      </c>
      <c r="J504" s="12">
        <v>3</v>
      </c>
      <c r="K504" s="12" t="s">
        <v>48</v>
      </c>
      <c r="L504" s="12" t="s">
        <v>48</v>
      </c>
      <c r="M504" s="11" t="s">
        <v>56</v>
      </c>
      <c r="N504" s="11" t="s">
        <v>57</v>
      </c>
      <c r="O504" s="11" t="s">
        <v>58</v>
      </c>
      <c r="P504" s="11" t="s">
        <v>86</v>
      </c>
      <c r="Q504" s="50" t="s">
        <v>157</v>
      </c>
      <c r="R504" s="47">
        <v>31</v>
      </c>
      <c r="S504" s="48">
        <v>9.35</v>
      </c>
      <c r="T504" s="48">
        <v>2.2999999999999998</v>
      </c>
      <c r="U504" s="48">
        <v>30</v>
      </c>
      <c r="V504" s="47">
        <v>10.220000000000001</v>
      </c>
      <c r="W504" s="85">
        <v>2.76</v>
      </c>
      <c r="X504" s="130">
        <f t="shared" si="78"/>
        <v>0.87000000000000099</v>
      </c>
      <c r="Y504" s="16">
        <f t="shared" si="81"/>
        <v>0.46760382091395841</v>
      </c>
      <c r="Z504" s="15">
        <f t="shared" si="82"/>
        <v>0.39000000000000057</v>
      </c>
      <c r="AA504" s="16">
        <f t="shared" si="83"/>
        <v>6.42</v>
      </c>
      <c r="AB504" s="16">
        <f t="shared" si="84"/>
        <v>0.68614867193633766</v>
      </c>
      <c r="AC504" s="66" t="s">
        <v>49</v>
      </c>
      <c r="AD504" s="51" t="s">
        <v>452</v>
      </c>
      <c r="AE504" s="13">
        <v>12</v>
      </c>
      <c r="AF504" s="13">
        <v>3</v>
      </c>
      <c r="AG504" s="13">
        <v>5</v>
      </c>
      <c r="AH504" s="13">
        <v>205160</v>
      </c>
      <c r="AI504" s="13">
        <v>3</v>
      </c>
      <c r="AJ504" s="135">
        <f t="shared" si="79"/>
        <v>15</v>
      </c>
      <c r="AK504" s="136">
        <f t="shared" si="80"/>
        <v>45</v>
      </c>
      <c r="AL504" s="136" t="str" cm="1">
        <f t="array" ref="AL504">_xlfn.IFS(
AI504&lt;3,"Ligera",
AI504&lt;=6,"Moderada",
AI504&gt;6,"Vigorosa"
)</f>
        <v>Moderada</v>
      </c>
      <c r="AM504" s="45" t="s">
        <v>49</v>
      </c>
      <c r="AN504" s="289" t="s">
        <v>49</v>
      </c>
      <c r="AO504" s="46" t="s">
        <v>61</v>
      </c>
      <c r="AP504" s="289" t="s">
        <v>62</v>
      </c>
      <c r="AQ504" s="139">
        <v>0</v>
      </c>
      <c r="AS504" s="83" t="s">
        <v>451</v>
      </c>
    </row>
    <row r="505" spans="1:45" ht="78.75" customHeight="1" thickBot="1">
      <c r="A505" s="138" t="s">
        <v>449</v>
      </c>
      <c r="B505" s="12">
        <v>62</v>
      </c>
      <c r="C505" s="12">
        <v>84.2</v>
      </c>
      <c r="D505" s="12">
        <v>12.9</v>
      </c>
      <c r="E505" s="12" t="s">
        <v>45</v>
      </c>
      <c r="F505" s="12" t="s">
        <v>45</v>
      </c>
      <c r="G505" s="12" t="s">
        <v>212</v>
      </c>
      <c r="H505" s="12"/>
      <c r="I505" s="12" t="s">
        <v>45</v>
      </c>
      <c r="J505" s="12">
        <v>3</v>
      </c>
      <c r="K505" s="12" t="s">
        <v>48</v>
      </c>
      <c r="L505" s="12" t="s">
        <v>48</v>
      </c>
      <c r="M505" s="11" t="s">
        <v>50</v>
      </c>
      <c r="N505" s="11" t="s">
        <v>50</v>
      </c>
      <c r="O505" s="11" t="s">
        <v>50</v>
      </c>
      <c r="P505" s="11" t="s">
        <v>86</v>
      </c>
      <c r="Q505" s="50" t="s">
        <v>158</v>
      </c>
      <c r="R505" s="47">
        <v>30</v>
      </c>
      <c r="S505" s="48">
        <v>22.2</v>
      </c>
      <c r="T505" s="48">
        <v>4.25</v>
      </c>
      <c r="U505" s="48">
        <v>25</v>
      </c>
      <c r="V505" s="47">
        <v>23.08</v>
      </c>
      <c r="W505" s="85">
        <v>4.26</v>
      </c>
      <c r="X505" s="130">
        <f t="shared" si="78"/>
        <v>0.87999999999999901</v>
      </c>
      <c r="Y505" s="16">
        <f t="shared" si="81"/>
        <v>0.85100176263037197</v>
      </c>
      <c r="Z505" s="286" t="s">
        <v>53</v>
      </c>
      <c r="AA505" s="286" t="s">
        <v>53</v>
      </c>
      <c r="AB505" s="16">
        <v>0.85100176263037197</v>
      </c>
      <c r="AC505" s="66" t="s">
        <v>49</v>
      </c>
      <c r="AD505" s="51" t="s">
        <v>450</v>
      </c>
      <c r="AE505" s="13">
        <v>12</v>
      </c>
      <c r="AF505" s="13">
        <v>0</v>
      </c>
      <c r="AG505" s="13">
        <v>0</v>
      </c>
      <c r="AH505" s="134">
        <v>0</v>
      </c>
      <c r="AI505" s="134">
        <v>0</v>
      </c>
      <c r="AJ505" s="135">
        <f t="shared" si="79"/>
        <v>0</v>
      </c>
      <c r="AK505" s="136">
        <f t="shared" si="80"/>
        <v>0</v>
      </c>
      <c r="AL505" s="136" t="str" cm="1">
        <f t="array" ref="AL505">_xlfn.IFS(
AI505&lt;3,"Ligera",
AI505&lt;=6,"Moderada",
AI505&gt;6,"Vigorosa"
)</f>
        <v>Ligera</v>
      </c>
      <c r="AM505" s="45" t="s">
        <v>49</v>
      </c>
      <c r="AN505" s="289" t="s">
        <v>49</v>
      </c>
      <c r="AO505" s="289" t="s">
        <v>49</v>
      </c>
      <c r="AP505" s="289" t="s">
        <v>49</v>
      </c>
      <c r="AQ505" s="139">
        <v>0</v>
      </c>
      <c r="AS505" s="83" t="s">
        <v>453</v>
      </c>
    </row>
    <row r="506" spans="1:45" ht="78.75" customHeight="1" thickBot="1">
      <c r="A506" s="138" t="s">
        <v>449</v>
      </c>
      <c r="B506" s="12">
        <v>62</v>
      </c>
      <c r="C506" s="12">
        <v>82.2</v>
      </c>
      <c r="D506" s="12">
        <v>35.5</v>
      </c>
      <c r="E506" s="12" t="s">
        <v>45</v>
      </c>
      <c r="F506" s="12" t="s">
        <v>45</v>
      </c>
      <c r="G506" s="12" t="s">
        <v>212</v>
      </c>
      <c r="H506" s="12"/>
      <c r="I506" s="12" t="s">
        <v>45</v>
      </c>
      <c r="J506" s="12">
        <v>3</v>
      </c>
      <c r="K506" s="12" t="s">
        <v>48</v>
      </c>
      <c r="L506" s="12" t="s">
        <v>48</v>
      </c>
      <c r="M506" s="11" t="s">
        <v>56</v>
      </c>
      <c r="N506" s="11" t="s">
        <v>57</v>
      </c>
      <c r="O506" s="11" t="s">
        <v>58</v>
      </c>
      <c r="P506" s="11" t="s">
        <v>86</v>
      </c>
      <c r="Q506" s="50" t="s">
        <v>158</v>
      </c>
      <c r="R506" s="47">
        <v>31</v>
      </c>
      <c r="S506" s="48">
        <v>22.9</v>
      </c>
      <c r="T506" s="48">
        <v>3.99</v>
      </c>
      <c r="U506" s="48">
        <v>30</v>
      </c>
      <c r="V506" s="47">
        <v>23.83</v>
      </c>
      <c r="W506" s="85">
        <v>5.72</v>
      </c>
      <c r="X506" s="130">
        <f t="shared" si="78"/>
        <v>0.92999999999999972</v>
      </c>
      <c r="Y506" s="16">
        <f t="shared" si="81"/>
        <v>0.92764396905996926</v>
      </c>
      <c r="Z506" s="15">
        <f t="shared" si="82"/>
        <v>5.0000000000000711E-2</v>
      </c>
      <c r="AA506" s="16">
        <f t="shared" si="83"/>
        <v>26.120301886792447</v>
      </c>
      <c r="AB506" s="16">
        <f t="shared" si="84"/>
        <v>1.3840118514779582</v>
      </c>
      <c r="AC506" s="66" t="s">
        <v>49</v>
      </c>
      <c r="AD506" s="51" t="s">
        <v>452</v>
      </c>
      <c r="AE506" s="13">
        <v>12</v>
      </c>
      <c r="AF506" s="13">
        <v>3</v>
      </c>
      <c r="AG506" s="13">
        <v>5</v>
      </c>
      <c r="AH506" s="13">
        <v>205160</v>
      </c>
      <c r="AI506" s="13">
        <v>3</v>
      </c>
      <c r="AJ506" s="135">
        <f t="shared" si="79"/>
        <v>15</v>
      </c>
      <c r="AK506" s="136">
        <f t="shared" si="80"/>
        <v>45</v>
      </c>
      <c r="AL506" s="136" t="str" cm="1">
        <f t="array" ref="AL506">_xlfn.IFS(
AI506&lt;3,"Ligera",
AI506&lt;=6,"Moderada",
AI506&gt;6,"Vigorosa"
)</f>
        <v>Moderada</v>
      </c>
      <c r="AM506" s="45" t="s">
        <v>49</v>
      </c>
      <c r="AN506" s="289" t="s">
        <v>49</v>
      </c>
      <c r="AO506" s="46" t="s">
        <v>61</v>
      </c>
      <c r="AP506" s="289" t="s">
        <v>62</v>
      </c>
      <c r="AQ506" s="139">
        <v>0</v>
      </c>
      <c r="AS506" s="83" t="s">
        <v>453</v>
      </c>
    </row>
    <row r="507" spans="1:45" ht="78.75" customHeight="1" thickBot="1">
      <c r="A507" s="138" t="s">
        <v>449</v>
      </c>
      <c r="B507" s="12">
        <v>62</v>
      </c>
      <c r="C507" s="12">
        <v>84.2</v>
      </c>
      <c r="D507" s="12">
        <v>12.9</v>
      </c>
      <c r="E507" s="12" t="s">
        <v>45</v>
      </c>
      <c r="F507" s="12" t="s">
        <v>45</v>
      </c>
      <c r="G507" s="12" t="s">
        <v>212</v>
      </c>
      <c r="H507" s="12"/>
      <c r="I507" s="12" t="s">
        <v>45</v>
      </c>
      <c r="J507" s="12">
        <v>3</v>
      </c>
      <c r="K507" s="12" t="s">
        <v>48</v>
      </c>
      <c r="L507" s="12" t="s">
        <v>48</v>
      </c>
      <c r="M507" s="11" t="s">
        <v>50</v>
      </c>
      <c r="N507" s="11" t="s">
        <v>50</v>
      </c>
      <c r="O507" s="11" t="s">
        <v>50</v>
      </c>
      <c r="P507" s="11" t="s">
        <v>51</v>
      </c>
      <c r="Q507" s="50" t="s">
        <v>124</v>
      </c>
      <c r="R507" s="47">
        <v>30</v>
      </c>
      <c r="S507" s="48">
        <v>19.100000000000001</v>
      </c>
      <c r="T507" s="85">
        <v>9.93</v>
      </c>
      <c r="U507" s="48">
        <v>25</v>
      </c>
      <c r="V507" s="47">
        <v>19.510000000000002</v>
      </c>
      <c r="W507" s="85">
        <v>9.9700000000000006</v>
      </c>
      <c r="X507" s="130">
        <f t="shared" si="78"/>
        <v>0.41000000000000014</v>
      </c>
      <c r="Y507" s="16">
        <f t="shared" si="81"/>
        <v>1.9900120602649625</v>
      </c>
      <c r="Z507" s="286" t="s">
        <v>53</v>
      </c>
      <c r="AA507" s="286" t="s">
        <v>53</v>
      </c>
      <c r="AB507" s="16">
        <v>1.9900120602649625</v>
      </c>
      <c r="AC507" s="66" t="s">
        <v>48</v>
      </c>
      <c r="AD507" s="51" t="s">
        <v>450</v>
      </c>
      <c r="AE507" s="13">
        <v>12</v>
      </c>
      <c r="AF507" s="13">
        <v>0</v>
      </c>
      <c r="AG507" s="13">
        <v>0</v>
      </c>
      <c r="AH507" s="134">
        <v>0</v>
      </c>
      <c r="AI507" s="134">
        <v>0</v>
      </c>
      <c r="AJ507" s="135">
        <f t="shared" si="79"/>
        <v>0</v>
      </c>
      <c r="AK507" s="136">
        <f t="shared" si="80"/>
        <v>0</v>
      </c>
      <c r="AL507" s="136" t="str" cm="1">
        <f t="array" ref="AL507">_xlfn.IFS(
AI507&lt;3,"Ligera",
AI507&lt;=6,"Moderada",
AI507&gt;6,"Vigorosa"
)</f>
        <v>Ligera</v>
      </c>
      <c r="AM507" s="45" t="s">
        <v>49</v>
      </c>
      <c r="AN507" s="289" t="s">
        <v>49</v>
      </c>
      <c r="AO507" s="289" t="s">
        <v>49</v>
      </c>
      <c r="AP507" s="289" t="s">
        <v>49</v>
      </c>
      <c r="AQ507" s="139">
        <v>0</v>
      </c>
      <c r="AS507" s="156" t="s">
        <v>454</v>
      </c>
    </row>
    <row r="508" spans="1:45" ht="78.75" customHeight="1" thickBot="1">
      <c r="A508" s="140" t="s">
        <v>449</v>
      </c>
      <c r="B508" s="141">
        <v>62</v>
      </c>
      <c r="C508" s="141">
        <v>82.2</v>
      </c>
      <c r="D508" s="141">
        <v>35.5</v>
      </c>
      <c r="E508" s="141" t="s">
        <v>45</v>
      </c>
      <c r="F508" s="141" t="s">
        <v>45</v>
      </c>
      <c r="G508" s="141" t="s">
        <v>212</v>
      </c>
      <c r="H508" s="141"/>
      <c r="I508" s="141" t="s">
        <v>45</v>
      </c>
      <c r="J508" s="141">
        <v>3</v>
      </c>
      <c r="K508" s="141" t="s">
        <v>48</v>
      </c>
      <c r="L508" s="141" t="s">
        <v>48</v>
      </c>
      <c r="M508" s="142" t="s">
        <v>56</v>
      </c>
      <c r="N508" s="142" t="s">
        <v>57</v>
      </c>
      <c r="O508" s="142" t="s">
        <v>58</v>
      </c>
      <c r="P508" s="142" t="s">
        <v>51</v>
      </c>
      <c r="Q508" s="158" t="s">
        <v>124</v>
      </c>
      <c r="R508" s="169">
        <v>31</v>
      </c>
      <c r="S508" s="170">
        <v>19</v>
      </c>
      <c r="T508" s="172">
        <v>9.85</v>
      </c>
      <c r="U508" s="170">
        <v>30</v>
      </c>
      <c r="V508" s="169">
        <v>17.86</v>
      </c>
      <c r="W508" s="172">
        <v>10.6</v>
      </c>
      <c r="X508" s="130">
        <f t="shared" si="78"/>
        <v>-1.1400000000000006</v>
      </c>
      <c r="Y508" s="16">
        <f t="shared" si="81"/>
        <v>1.8705836878721391</v>
      </c>
      <c r="Z508" s="15">
        <f t="shared" si="82"/>
        <v>-1.5500000000000007</v>
      </c>
      <c r="AA508" s="16">
        <f t="shared" si="83"/>
        <v>106.49172830188681</v>
      </c>
      <c r="AB508" s="16">
        <f t="shared" si="84"/>
        <v>2.7945291926915048</v>
      </c>
      <c r="AC508" s="66" t="s">
        <v>48</v>
      </c>
      <c r="AD508" s="151" t="s">
        <v>452</v>
      </c>
      <c r="AE508" s="146">
        <v>12</v>
      </c>
      <c r="AF508" s="146">
        <v>3</v>
      </c>
      <c r="AG508" s="146">
        <v>5</v>
      </c>
      <c r="AH508" s="13">
        <v>205160</v>
      </c>
      <c r="AI508" s="13">
        <v>3</v>
      </c>
      <c r="AJ508" s="135">
        <f t="shared" si="79"/>
        <v>15</v>
      </c>
      <c r="AK508" s="136">
        <f t="shared" si="80"/>
        <v>45</v>
      </c>
      <c r="AL508" s="136" t="str" cm="1">
        <f t="array" ref="AL508">_xlfn.IFS(
AI508&lt;3,"Ligera",
AI508&lt;=6,"Moderada",
AI508&gt;6,"Vigorosa"
)</f>
        <v>Moderada</v>
      </c>
      <c r="AM508" s="147" t="s">
        <v>49</v>
      </c>
      <c r="AN508" s="290" t="s">
        <v>49</v>
      </c>
      <c r="AO508" s="148" t="s">
        <v>61</v>
      </c>
      <c r="AP508" s="290" t="s">
        <v>62</v>
      </c>
      <c r="AQ508" s="149">
        <v>0</v>
      </c>
      <c r="AS508" s="156" t="s">
        <v>455</v>
      </c>
    </row>
    <row r="509" spans="1:45" ht="78.75" customHeight="1" thickBot="1">
      <c r="A509" s="124" t="s">
        <v>456</v>
      </c>
      <c r="B509" s="125">
        <v>32</v>
      </c>
      <c r="C509" s="125">
        <v>90.1</v>
      </c>
      <c r="D509" s="125" t="s">
        <v>47</v>
      </c>
      <c r="E509" s="125" t="s">
        <v>97</v>
      </c>
      <c r="F509" s="125" t="s">
        <v>97</v>
      </c>
      <c r="G509" s="125" t="s">
        <v>46</v>
      </c>
      <c r="H509" s="125"/>
      <c r="I509" s="125" t="s">
        <v>145</v>
      </c>
      <c r="J509" s="125" t="s">
        <v>47</v>
      </c>
      <c r="K509" s="125" t="s">
        <v>49</v>
      </c>
      <c r="L509" s="125" t="s">
        <v>49</v>
      </c>
      <c r="M509" s="126" t="s">
        <v>50</v>
      </c>
      <c r="N509" s="126" t="s">
        <v>50</v>
      </c>
      <c r="O509" s="126" t="s">
        <v>50</v>
      </c>
      <c r="P509" s="126" t="s">
        <v>51</v>
      </c>
      <c r="Q509" s="159" t="s">
        <v>85</v>
      </c>
      <c r="R509" s="167">
        <v>13</v>
      </c>
      <c r="S509" s="168">
        <v>0.68</v>
      </c>
      <c r="T509" s="168">
        <v>0.06</v>
      </c>
      <c r="U509" s="168">
        <v>13</v>
      </c>
      <c r="V509" s="167">
        <v>0.6</v>
      </c>
      <c r="W509" s="168">
        <v>7.0000000000000007E-2</v>
      </c>
      <c r="X509" s="130">
        <f t="shared" si="78"/>
        <v>-8.0000000000000071E-2</v>
      </c>
      <c r="Y509" s="16">
        <f t="shared" si="81"/>
        <v>1.8187062180825983E-2</v>
      </c>
      <c r="Z509" s="286" t="s">
        <v>53</v>
      </c>
      <c r="AA509" s="286" t="s">
        <v>53</v>
      </c>
      <c r="AB509" s="16">
        <v>1.8187062180825983E-2</v>
      </c>
      <c r="AC509" s="66" t="s">
        <v>49</v>
      </c>
      <c r="AD509" s="133" t="s">
        <v>457</v>
      </c>
      <c r="AE509" s="134">
        <v>12</v>
      </c>
      <c r="AF509" s="134">
        <v>4</v>
      </c>
      <c r="AG509" s="134">
        <v>30</v>
      </c>
      <c r="AH509" s="134">
        <v>219060</v>
      </c>
      <c r="AI509" s="134">
        <v>2.5</v>
      </c>
      <c r="AJ509" s="135">
        <f t="shared" si="79"/>
        <v>75</v>
      </c>
      <c r="AK509" s="136">
        <f t="shared" si="80"/>
        <v>300</v>
      </c>
      <c r="AL509" s="136" t="str" cm="1">
        <f t="array" ref="AL509">_xlfn.IFS(
AI509&lt;3,"Ligera",
AI509&lt;=6,"Moderada",
AI509&gt;6,"Vigorosa"
)</f>
        <v>Ligera</v>
      </c>
      <c r="AM509" s="136" t="s">
        <v>49</v>
      </c>
      <c r="AN509" s="288" t="s">
        <v>49</v>
      </c>
      <c r="AO509" s="135" t="s">
        <v>49</v>
      </c>
      <c r="AP509" s="288" t="s">
        <v>413</v>
      </c>
      <c r="AQ509" s="137">
        <v>0</v>
      </c>
    </row>
    <row r="510" spans="1:45" ht="78.75" customHeight="1" thickBot="1">
      <c r="A510" s="138" t="s">
        <v>456</v>
      </c>
      <c r="B510" s="12">
        <v>32</v>
      </c>
      <c r="C510" s="12">
        <v>93.4</v>
      </c>
      <c r="D510" s="12" t="s">
        <v>47</v>
      </c>
      <c r="E510" s="12" t="s">
        <v>97</v>
      </c>
      <c r="F510" s="12" t="s">
        <v>97</v>
      </c>
      <c r="G510" s="12" t="s">
        <v>46</v>
      </c>
      <c r="H510" s="12"/>
      <c r="I510" s="12" t="s">
        <v>145</v>
      </c>
      <c r="J510" s="12" t="s">
        <v>47</v>
      </c>
      <c r="K510" s="12" t="s">
        <v>49</v>
      </c>
      <c r="L510" s="12" t="s">
        <v>49</v>
      </c>
      <c r="M510" s="11" t="s">
        <v>56</v>
      </c>
      <c r="N510" s="11" t="s">
        <v>76</v>
      </c>
      <c r="O510" s="11" t="s">
        <v>103</v>
      </c>
      <c r="P510" s="11" t="s">
        <v>51</v>
      </c>
      <c r="Q510" s="50" t="s">
        <v>85</v>
      </c>
      <c r="R510" s="47">
        <v>11</v>
      </c>
      <c r="S510" s="48">
        <v>0.76</v>
      </c>
      <c r="T510" s="48">
        <v>7.0000000000000007E-2</v>
      </c>
      <c r="U510" s="48">
        <v>11</v>
      </c>
      <c r="V510" s="47">
        <v>0.8</v>
      </c>
      <c r="W510" s="48">
        <v>0.08</v>
      </c>
      <c r="X510" s="130">
        <f t="shared" si="78"/>
        <v>4.0000000000000036E-2</v>
      </c>
      <c r="Y510" s="16">
        <f t="shared" si="81"/>
        <v>2.2763607319179844E-2</v>
      </c>
      <c r="Z510" s="15">
        <f t="shared" si="82"/>
        <v>0.12000000000000011</v>
      </c>
      <c r="AA510" s="16">
        <f t="shared" si="83"/>
        <v>5.5818181818181817E-3</v>
      </c>
      <c r="AB510" s="16">
        <f t="shared" si="84"/>
        <v>3.060732993744399E-2</v>
      </c>
      <c r="AC510" s="66" t="s">
        <v>49</v>
      </c>
      <c r="AD510" s="51" t="s">
        <v>458</v>
      </c>
      <c r="AE510" s="13">
        <v>12</v>
      </c>
      <c r="AF510" s="13">
        <v>2</v>
      </c>
      <c r="AG510" s="13">
        <v>40</v>
      </c>
      <c r="AH510" s="134" t="s">
        <v>459</v>
      </c>
      <c r="AI510" s="134">
        <v>3.43</v>
      </c>
      <c r="AJ510" s="135">
        <v>146</v>
      </c>
      <c r="AK510" s="136">
        <f t="shared" si="80"/>
        <v>292</v>
      </c>
      <c r="AL510" s="136" t="str" cm="1">
        <f t="array" ref="AL510">_xlfn.IFS(
AI510&lt;3,"Ligera",
AI510&lt;=6,"Moderada",
AI510&gt;6,"Vigorosa"
)</f>
        <v>Moderada</v>
      </c>
      <c r="AM510" s="45" t="s">
        <v>48</v>
      </c>
      <c r="AN510" s="289" t="s">
        <v>60</v>
      </c>
      <c r="AO510" s="46" t="s">
        <v>61</v>
      </c>
      <c r="AP510" s="289" t="s">
        <v>173</v>
      </c>
      <c r="AQ510" s="139">
        <v>0</v>
      </c>
    </row>
    <row r="511" spans="1:45" ht="78.75" customHeight="1" thickBot="1">
      <c r="A511" s="138" t="s">
        <v>456</v>
      </c>
      <c r="B511" s="12">
        <v>32</v>
      </c>
      <c r="C511" s="12">
        <v>90.1</v>
      </c>
      <c r="D511" s="12" t="s">
        <v>47</v>
      </c>
      <c r="E511" s="12" t="s">
        <v>97</v>
      </c>
      <c r="F511" s="12" t="s">
        <v>97</v>
      </c>
      <c r="G511" s="12" t="s">
        <v>46</v>
      </c>
      <c r="H511" s="12"/>
      <c r="I511" s="12" t="s">
        <v>145</v>
      </c>
      <c r="J511" s="12" t="s">
        <v>47</v>
      </c>
      <c r="K511" s="12" t="s">
        <v>49</v>
      </c>
      <c r="L511" s="12" t="s">
        <v>49</v>
      </c>
      <c r="M511" s="11" t="s">
        <v>50</v>
      </c>
      <c r="N511" s="126" t="s">
        <v>50</v>
      </c>
      <c r="O511" s="126" t="s">
        <v>50</v>
      </c>
      <c r="P511" s="11" t="s">
        <v>51</v>
      </c>
      <c r="Q511" s="50" t="s">
        <v>124</v>
      </c>
      <c r="R511" s="47">
        <v>13</v>
      </c>
      <c r="S511" s="48">
        <v>18.399999999999999</v>
      </c>
      <c r="T511" s="48">
        <v>5.0999999999999996</v>
      </c>
      <c r="U511" s="48">
        <v>13</v>
      </c>
      <c r="V511" s="48">
        <v>21.8</v>
      </c>
      <c r="W511" s="47">
        <v>6.3</v>
      </c>
      <c r="X511" s="130">
        <f t="shared" si="78"/>
        <v>3.4000000000000021</v>
      </c>
      <c r="Y511" s="16">
        <f t="shared" si="81"/>
        <v>1.6069560330972632</v>
      </c>
      <c r="Z511" s="286" t="s">
        <v>53</v>
      </c>
      <c r="AA511" s="286" t="s">
        <v>53</v>
      </c>
      <c r="AB511" s="16">
        <v>1.6069560330972632</v>
      </c>
      <c r="AC511" s="66" t="s">
        <v>48</v>
      </c>
      <c r="AD511" s="51" t="s">
        <v>457</v>
      </c>
      <c r="AE511" s="13">
        <v>12</v>
      </c>
      <c r="AF511" s="13">
        <v>4</v>
      </c>
      <c r="AG511" s="13">
        <v>30</v>
      </c>
      <c r="AH511" s="134">
        <v>219060</v>
      </c>
      <c r="AI511" s="134">
        <v>2.5</v>
      </c>
      <c r="AJ511" s="135">
        <f t="shared" ref="AJ511" si="85">AI511*AG511</f>
        <v>75</v>
      </c>
      <c r="AK511" s="136">
        <f t="shared" si="80"/>
        <v>300</v>
      </c>
      <c r="AL511" s="136" t="str" cm="1">
        <f t="array" ref="AL511">_xlfn.IFS(
AI511&lt;3,"Ligera",
AI511&lt;=6,"Moderada",
AI511&gt;6,"Vigorosa"
)</f>
        <v>Ligera</v>
      </c>
      <c r="AM511" s="45" t="s">
        <v>49</v>
      </c>
      <c r="AN511" s="289" t="s">
        <v>49</v>
      </c>
      <c r="AO511" s="46" t="s">
        <v>49</v>
      </c>
      <c r="AP511" s="289" t="s">
        <v>413</v>
      </c>
      <c r="AQ511" s="139">
        <v>0</v>
      </c>
    </row>
    <row r="512" spans="1:45" ht="78.75" customHeight="1" thickBot="1">
      <c r="A512" s="138" t="s">
        <v>456</v>
      </c>
      <c r="B512" s="12">
        <v>32</v>
      </c>
      <c r="C512" s="12">
        <v>93.4</v>
      </c>
      <c r="D512" s="12" t="s">
        <v>47</v>
      </c>
      <c r="E512" s="12" t="s">
        <v>97</v>
      </c>
      <c r="F512" s="12" t="s">
        <v>97</v>
      </c>
      <c r="G512" s="12" t="s">
        <v>46</v>
      </c>
      <c r="H512" s="12"/>
      <c r="I512" s="12" t="s">
        <v>145</v>
      </c>
      <c r="J512" s="12" t="s">
        <v>47</v>
      </c>
      <c r="K512" s="12" t="s">
        <v>49</v>
      </c>
      <c r="L512" s="12" t="s">
        <v>49</v>
      </c>
      <c r="M512" s="11" t="s">
        <v>56</v>
      </c>
      <c r="N512" s="11" t="s">
        <v>76</v>
      </c>
      <c r="O512" s="11" t="s">
        <v>103</v>
      </c>
      <c r="P512" s="11" t="s">
        <v>51</v>
      </c>
      <c r="Q512" s="50" t="s">
        <v>124</v>
      </c>
      <c r="R512" s="47">
        <v>11</v>
      </c>
      <c r="S512" s="48">
        <v>19.899999999999999</v>
      </c>
      <c r="T512" s="48">
        <v>8</v>
      </c>
      <c r="U512" s="48">
        <v>11</v>
      </c>
      <c r="V512" s="47">
        <v>18.8</v>
      </c>
      <c r="W512" s="48">
        <v>7.9</v>
      </c>
      <c r="X512" s="130">
        <f t="shared" ref="X512:X556" si="86">V512-S512</f>
        <v>-1.0999999999999979</v>
      </c>
      <c r="Y512" s="16">
        <f t="shared" si="81"/>
        <v>2.3971574075065734</v>
      </c>
      <c r="Z512" s="15">
        <f t="shared" si="82"/>
        <v>-4.5</v>
      </c>
      <c r="AA512" s="16">
        <f t="shared" si="83"/>
        <v>50.017272727272733</v>
      </c>
      <c r="AB512" s="16">
        <f t="shared" si="84"/>
        <v>2.8973276153847269</v>
      </c>
      <c r="AC512" s="66" t="s">
        <v>48</v>
      </c>
      <c r="AD512" s="51" t="s">
        <v>458</v>
      </c>
      <c r="AE512" s="13">
        <v>12</v>
      </c>
      <c r="AF512" s="13">
        <v>2</v>
      </c>
      <c r="AG512" s="13">
        <v>40</v>
      </c>
      <c r="AH512" s="134" t="s">
        <v>459</v>
      </c>
      <c r="AI512" s="134">
        <v>3.43</v>
      </c>
      <c r="AJ512" s="135">
        <v>146</v>
      </c>
      <c r="AK512" s="136">
        <f t="shared" ref="AK512:AK556" si="87">AJ512*AF512</f>
        <v>292</v>
      </c>
      <c r="AL512" s="136" t="str" cm="1">
        <f t="array" ref="AL512">_xlfn.IFS(
AI512&lt;3,"Ligera",
AI512&lt;=6,"Moderada",
AI512&gt;6,"Vigorosa"
)</f>
        <v>Moderada</v>
      </c>
      <c r="AM512" s="45" t="s">
        <v>48</v>
      </c>
      <c r="AN512" s="289" t="s">
        <v>60</v>
      </c>
      <c r="AO512" s="46" t="s">
        <v>61</v>
      </c>
      <c r="AP512" s="289" t="s">
        <v>173</v>
      </c>
      <c r="AQ512" s="139">
        <v>0</v>
      </c>
    </row>
    <row r="513" spans="1:43" ht="78.75" customHeight="1" thickBot="1">
      <c r="A513" s="138" t="s">
        <v>456</v>
      </c>
      <c r="B513" s="12">
        <v>32</v>
      </c>
      <c r="C513" s="12">
        <v>90.1</v>
      </c>
      <c r="D513" s="12" t="s">
        <v>47</v>
      </c>
      <c r="E513" s="12" t="s">
        <v>97</v>
      </c>
      <c r="F513" s="12" t="s">
        <v>97</v>
      </c>
      <c r="G513" s="12" t="s">
        <v>46</v>
      </c>
      <c r="H513" s="12"/>
      <c r="I513" s="12" t="s">
        <v>145</v>
      </c>
      <c r="J513" s="12" t="s">
        <v>47</v>
      </c>
      <c r="K513" s="12" t="s">
        <v>49</v>
      </c>
      <c r="L513" s="12" t="s">
        <v>49</v>
      </c>
      <c r="M513" s="11" t="s">
        <v>50</v>
      </c>
      <c r="N513" s="126" t="s">
        <v>50</v>
      </c>
      <c r="O513" s="126" t="s">
        <v>50</v>
      </c>
      <c r="P513" s="11" t="s">
        <v>51</v>
      </c>
      <c r="Q513" s="50" t="s">
        <v>64</v>
      </c>
      <c r="R513" s="47">
        <v>13</v>
      </c>
      <c r="S513" s="48">
        <v>6.3</v>
      </c>
      <c r="T513" s="48">
        <v>3.4</v>
      </c>
      <c r="U513" s="63">
        <v>13</v>
      </c>
      <c r="V513" s="48">
        <v>5.4</v>
      </c>
      <c r="W513" s="47">
        <v>3.9</v>
      </c>
      <c r="X513" s="130">
        <f t="shared" si="86"/>
        <v>-0.89999999999999947</v>
      </c>
      <c r="Y513" s="16">
        <f t="shared" ref="Y513:Y556" si="88">SQRT((T513^2+W513^2-(2*0.5*T513*W513)))/SQRT(U513)</f>
        <v>1.0194266865404147</v>
      </c>
      <c r="Z513" s="286" t="s">
        <v>53</v>
      </c>
      <c r="AA513" s="286" t="s">
        <v>53</v>
      </c>
      <c r="AB513" s="16">
        <v>1.0194266865404147</v>
      </c>
      <c r="AC513" s="66" t="s">
        <v>49</v>
      </c>
      <c r="AD513" s="51" t="s">
        <v>457</v>
      </c>
      <c r="AE513" s="13">
        <v>12</v>
      </c>
      <c r="AF513" s="13">
        <v>4</v>
      </c>
      <c r="AG513" s="13">
        <v>30</v>
      </c>
      <c r="AH513" s="134">
        <v>219060</v>
      </c>
      <c r="AI513" s="134">
        <v>2.5</v>
      </c>
      <c r="AJ513" s="135">
        <f t="shared" ref="AJ513" si="89">AI513*AG513</f>
        <v>75</v>
      </c>
      <c r="AK513" s="136">
        <f t="shared" si="87"/>
        <v>300</v>
      </c>
      <c r="AL513" s="136" t="str" cm="1">
        <f t="array" ref="AL513">_xlfn.IFS(
AI513&lt;3,"Ligera",
AI513&lt;=6,"Moderada",
AI513&gt;6,"Vigorosa"
)</f>
        <v>Ligera</v>
      </c>
      <c r="AM513" s="45" t="s">
        <v>49</v>
      </c>
      <c r="AN513" s="289" t="s">
        <v>49</v>
      </c>
      <c r="AO513" s="46" t="s">
        <v>49</v>
      </c>
      <c r="AP513" s="289" t="s">
        <v>413</v>
      </c>
      <c r="AQ513" s="139">
        <v>0</v>
      </c>
    </row>
    <row r="514" spans="1:43" ht="78.75" customHeight="1" thickBot="1">
      <c r="A514" s="138" t="s">
        <v>456</v>
      </c>
      <c r="B514" s="12">
        <v>32</v>
      </c>
      <c r="C514" s="12">
        <v>93.4</v>
      </c>
      <c r="D514" s="12" t="s">
        <v>47</v>
      </c>
      <c r="E514" s="12" t="s">
        <v>97</v>
      </c>
      <c r="F514" s="12" t="s">
        <v>97</v>
      </c>
      <c r="G514" s="12" t="s">
        <v>46</v>
      </c>
      <c r="H514" s="12"/>
      <c r="I514" s="12" t="s">
        <v>145</v>
      </c>
      <c r="J514" s="12" t="s">
        <v>47</v>
      </c>
      <c r="K514" s="12" t="s">
        <v>49</v>
      </c>
      <c r="L514" s="12" t="s">
        <v>49</v>
      </c>
      <c r="M514" s="11" t="s">
        <v>56</v>
      </c>
      <c r="N514" s="11" t="s">
        <v>76</v>
      </c>
      <c r="O514" s="11" t="s">
        <v>103</v>
      </c>
      <c r="P514" s="11" t="s">
        <v>51</v>
      </c>
      <c r="Q514" s="50" t="s">
        <v>64</v>
      </c>
      <c r="R514" s="47">
        <v>11</v>
      </c>
      <c r="S514" s="48">
        <v>6.2</v>
      </c>
      <c r="T514" s="48">
        <v>4.0999999999999996</v>
      </c>
      <c r="U514" s="48">
        <v>11</v>
      </c>
      <c r="V514" s="47">
        <v>9.8000000000000007</v>
      </c>
      <c r="W514" s="48">
        <v>6</v>
      </c>
      <c r="X514" s="130">
        <f t="shared" si="86"/>
        <v>3.6000000000000005</v>
      </c>
      <c r="Y514" s="16">
        <f t="shared" si="88"/>
        <v>1.6014198245761337</v>
      </c>
      <c r="Z514" s="15">
        <f t="shared" ref="Z514:Z554" si="90">X514-X513</f>
        <v>4.5</v>
      </c>
      <c r="AA514" s="16">
        <f t="shared" ref="AA514:AA554" si="91">((U514-1)*W514^2+(U513-1)*W513^2)/((U514-1)+(U513-1))</f>
        <v>24.66</v>
      </c>
      <c r="AB514" s="16">
        <f t="shared" ref="AB514:AB554" si="92">SQRT(AA514*((1/U514)+(1/U513)))</f>
        <v>2.0343896526332559</v>
      </c>
      <c r="AC514" s="66" t="s">
        <v>49</v>
      </c>
      <c r="AD514" s="51" t="s">
        <v>458</v>
      </c>
      <c r="AE514" s="13">
        <v>12</v>
      </c>
      <c r="AF514" s="13">
        <v>2</v>
      </c>
      <c r="AG514" s="13">
        <v>40</v>
      </c>
      <c r="AH514" s="134" t="s">
        <v>459</v>
      </c>
      <c r="AI514" s="134">
        <v>3.43</v>
      </c>
      <c r="AJ514" s="135">
        <v>146</v>
      </c>
      <c r="AK514" s="136">
        <f t="shared" si="87"/>
        <v>292</v>
      </c>
      <c r="AL514" s="136" t="str" cm="1">
        <f t="array" ref="AL514">_xlfn.IFS(
AI514&lt;3,"Ligera",
AI514&lt;=6,"Moderada",
AI514&gt;6,"Vigorosa"
)</f>
        <v>Moderada</v>
      </c>
      <c r="AM514" s="45" t="s">
        <v>48</v>
      </c>
      <c r="AN514" s="289" t="s">
        <v>60</v>
      </c>
      <c r="AO514" s="46" t="s">
        <v>61</v>
      </c>
      <c r="AP514" s="289" t="s">
        <v>173</v>
      </c>
      <c r="AQ514" s="139">
        <v>0</v>
      </c>
    </row>
    <row r="515" spans="1:43" ht="78.75" customHeight="1" thickBot="1">
      <c r="A515" s="138" t="s">
        <v>456</v>
      </c>
      <c r="B515" s="12">
        <v>32</v>
      </c>
      <c r="C515" s="12">
        <v>90.1</v>
      </c>
      <c r="D515" s="12" t="s">
        <v>47</v>
      </c>
      <c r="E515" s="12" t="s">
        <v>97</v>
      </c>
      <c r="F515" s="12" t="s">
        <v>97</v>
      </c>
      <c r="G515" s="12" t="s">
        <v>46</v>
      </c>
      <c r="H515" s="12"/>
      <c r="I515" s="12" t="s">
        <v>145</v>
      </c>
      <c r="J515" s="12" t="s">
        <v>47</v>
      </c>
      <c r="K515" s="12" t="s">
        <v>49</v>
      </c>
      <c r="L515" s="12" t="s">
        <v>49</v>
      </c>
      <c r="M515" s="11" t="s">
        <v>50</v>
      </c>
      <c r="N515" s="126" t="s">
        <v>50</v>
      </c>
      <c r="O515" s="126" t="s">
        <v>50</v>
      </c>
      <c r="P515" s="11" t="s">
        <v>86</v>
      </c>
      <c r="Q515" s="50" t="s">
        <v>86</v>
      </c>
      <c r="R515" s="47">
        <v>13</v>
      </c>
      <c r="S515" s="48">
        <v>0.93</v>
      </c>
      <c r="T515" s="48">
        <v>0.3</v>
      </c>
      <c r="U515" s="48">
        <v>13</v>
      </c>
      <c r="V515" s="47">
        <v>0.8</v>
      </c>
      <c r="W515" s="48">
        <v>0.4</v>
      </c>
      <c r="X515" s="130">
        <f t="shared" si="86"/>
        <v>-0.13</v>
      </c>
      <c r="Y515" s="16">
        <f t="shared" si="88"/>
        <v>0.1</v>
      </c>
      <c r="Z515" s="286" t="s">
        <v>53</v>
      </c>
      <c r="AA515" s="286" t="s">
        <v>53</v>
      </c>
      <c r="AB515" s="16">
        <v>0.1</v>
      </c>
      <c r="AC515" s="66" t="s">
        <v>48</v>
      </c>
      <c r="AD515" s="51" t="s">
        <v>457</v>
      </c>
      <c r="AE515" s="13">
        <v>12</v>
      </c>
      <c r="AF515" s="13">
        <v>4</v>
      </c>
      <c r="AG515" s="13">
        <v>30</v>
      </c>
      <c r="AH515" s="134">
        <v>219060</v>
      </c>
      <c r="AI515" s="134">
        <v>2.5</v>
      </c>
      <c r="AJ515" s="135">
        <f t="shared" ref="AJ515" si="93">AI515*AG515</f>
        <v>75</v>
      </c>
      <c r="AK515" s="136">
        <f t="shared" si="87"/>
        <v>300</v>
      </c>
      <c r="AL515" s="136" t="str" cm="1">
        <f t="array" ref="AL515">_xlfn.IFS(
AI515&lt;3,"Ligera",
AI515&lt;=6,"Moderada",
AI515&gt;6,"Vigorosa"
)</f>
        <v>Ligera</v>
      </c>
      <c r="AM515" s="45" t="s">
        <v>49</v>
      </c>
      <c r="AN515" s="289" t="s">
        <v>49</v>
      </c>
      <c r="AO515" s="46" t="s">
        <v>49</v>
      </c>
      <c r="AP515" s="289" t="s">
        <v>413</v>
      </c>
      <c r="AQ515" s="139">
        <v>0</v>
      </c>
    </row>
    <row r="516" spans="1:43" ht="78.75" customHeight="1" thickBot="1">
      <c r="A516" s="138" t="s">
        <v>456</v>
      </c>
      <c r="B516" s="12">
        <v>32</v>
      </c>
      <c r="C516" s="12">
        <v>93.4</v>
      </c>
      <c r="D516" s="12" t="s">
        <v>47</v>
      </c>
      <c r="E516" s="12" t="s">
        <v>97</v>
      </c>
      <c r="F516" s="12" t="s">
        <v>97</v>
      </c>
      <c r="G516" s="12" t="s">
        <v>46</v>
      </c>
      <c r="H516" s="12"/>
      <c r="I516" s="12" t="s">
        <v>145</v>
      </c>
      <c r="J516" s="12" t="s">
        <v>47</v>
      </c>
      <c r="K516" s="12" t="s">
        <v>49</v>
      </c>
      <c r="L516" s="12" t="s">
        <v>49</v>
      </c>
      <c r="M516" s="11" t="s">
        <v>56</v>
      </c>
      <c r="N516" s="11" t="s">
        <v>76</v>
      </c>
      <c r="O516" s="11" t="s">
        <v>103</v>
      </c>
      <c r="P516" s="11" t="s">
        <v>86</v>
      </c>
      <c r="Q516" s="50" t="s">
        <v>86</v>
      </c>
      <c r="R516" s="47">
        <v>11</v>
      </c>
      <c r="S516" s="48">
        <v>0.77</v>
      </c>
      <c r="T516" s="48">
        <v>0.44</v>
      </c>
      <c r="U516" s="48">
        <v>11</v>
      </c>
      <c r="V516" s="47">
        <v>0</v>
      </c>
      <c r="W516" s="48">
        <v>0</v>
      </c>
      <c r="X516" s="130">
        <f t="shared" si="86"/>
        <v>-0.77</v>
      </c>
      <c r="Y516" s="16">
        <f t="shared" si="88"/>
        <v>0.13266499161421599</v>
      </c>
      <c r="Z516" s="15">
        <f t="shared" si="90"/>
        <v>-0.64</v>
      </c>
      <c r="AA516" s="16">
        <f t="shared" si="91"/>
        <v>8.7272727272727293E-2</v>
      </c>
      <c r="AB516" s="16">
        <f t="shared" si="92"/>
        <v>0.12102549735823183</v>
      </c>
      <c r="AC516" s="66" t="s">
        <v>48</v>
      </c>
      <c r="AD516" s="51" t="s">
        <v>458</v>
      </c>
      <c r="AE516" s="13">
        <v>12</v>
      </c>
      <c r="AF516" s="13">
        <v>2</v>
      </c>
      <c r="AG516" s="13">
        <v>40</v>
      </c>
      <c r="AH516" s="134" t="s">
        <v>459</v>
      </c>
      <c r="AI516" s="134">
        <v>3.43</v>
      </c>
      <c r="AJ516" s="135">
        <v>146</v>
      </c>
      <c r="AK516" s="136">
        <f t="shared" si="87"/>
        <v>292</v>
      </c>
      <c r="AL516" s="136" t="str" cm="1">
        <f t="array" ref="AL516">_xlfn.IFS(
AI516&lt;3,"Ligera",
AI516&lt;=6,"Moderada",
AI516&gt;6,"Vigorosa"
)</f>
        <v>Moderada</v>
      </c>
      <c r="AM516" s="45" t="s">
        <v>48</v>
      </c>
      <c r="AN516" s="289" t="s">
        <v>60</v>
      </c>
      <c r="AO516" s="46" t="s">
        <v>61</v>
      </c>
      <c r="AP516" s="289" t="s">
        <v>173</v>
      </c>
      <c r="AQ516" s="139">
        <v>0</v>
      </c>
    </row>
    <row r="517" spans="1:43" ht="78.75" customHeight="1" thickBot="1">
      <c r="A517" s="138" t="s">
        <v>456</v>
      </c>
      <c r="B517" s="12">
        <v>32</v>
      </c>
      <c r="C517" s="12">
        <v>90.1</v>
      </c>
      <c r="D517" s="12" t="s">
        <v>47</v>
      </c>
      <c r="E517" s="12" t="s">
        <v>97</v>
      </c>
      <c r="F517" s="12" t="s">
        <v>97</v>
      </c>
      <c r="G517" s="12" t="s">
        <v>46</v>
      </c>
      <c r="H517" s="12"/>
      <c r="I517" s="12" t="s">
        <v>145</v>
      </c>
      <c r="J517" s="12" t="s">
        <v>47</v>
      </c>
      <c r="K517" s="12" t="s">
        <v>49</v>
      </c>
      <c r="L517" s="12" t="s">
        <v>49</v>
      </c>
      <c r="M517" s="11" t="s">
        <v>50</v>
      </c>
      <c r="N517" s="126" t="s">
        <v>50</v>
      </c>
      <c r="O517" s="126" t="s">
        <v>50</v>
      </c>
      <c r="P517" s="11" t="s">
        <v>51</v>
      </c>
      <c r="Q517" s="50" t="s">
        <v>92</v>
      </c>
      <c r="R517" s="47">
        <v>13</v>
      </c>
      <c r="S517" s="48">
        <v>16</v>
      </c>
      <c r="T517" s="48">
        <v>6.52</v>
      </c>
      <c r="U517" s="48">
        <v>13</v>
      </c>
      <c r="V517" s="47">
        <v>13.25</v>
      </c>
      <c r="W517" s="48">
        <v>5.91</v>
      </c>
      <c r="X517" s="130">
        <f t="shared" si="86"/>
        <v>-2.75</v>
      </c>
      <c r="Y517" s="16">
        <f t="shared" si="88"/>
        <v>1.7299466421295731</v>
      </c>
      <c r="Z517" s="286" t="s">
        <v>53</v>
      </c>
      <c r="AA517" s="286" t="s">
        <v>53</v>
      </c>
      <c r="AB517" s="16">
        <v>1.7299466421295731</v>
      </c>
      <c r="AC517" s="66" t="s">
        <v>49</v>
      </c>
      <c r="AD517" s="51" t="s">
        <v>457</v>
      </c>
      <c r="AE517" s="13">
        <v>12</v>
      </c>
      <c r="AF517" s="13">
        <v>4</v>
      </c>
      <c r="AG517" s="13">
        <v>30</v>
      </c>
      <c r="AH517" s="134">
        <v>219060</v>
      </c>
      <c r="AI517" s="134">
        <v>2.5</v>
      </c>
      <c r="AJ517" s="135">
        <f t="shared" ref="AJ517" si="94">AI517*AG517</f>
        <v>75</v>
      </c>
      <c r="AK517" s="136">
        <f t="shared" si="87"/>
        <v>300</v>
      </c>
      <c r="AL517" s="136" t="str" cm="1">
        <f t="array" ref="AL517">_xlfn.IFS(
AI517&lt;3,"Ligera",
AI517&lt;=6,"Moderada",
AI517&gt;6,"Vigorosa"
)</f>
        <v>Ligera</v>
      </c>
      <c r="AM517" s="45" t="s">
        <v>49</v>
      </c>
      <c r="AN517" s="289" t="s">
        <v>49</v>
      </c>
      <c r="AO517" s="46" t="s">
        <v>49</v>
      </c>
      <c r="AP517" s="289" t="s">
        <v>413</v>
      </c>
      <c r="AQ517" s="139">
        <v>0</v>
      </c>
    </row>
    <row r="518" spans="1:43" ht="78.75" customHeight="1" thickBot="1">
      <c r="A518" s="138" t="s">
        <v>456</v>
      </c>
      <c r="B518" s="12">
        <v>32</v>
      </c>
      <c r="C518" s="12">
        <v>93.4</v>
      </c>
      <c r="D518" s="12" t="s">
        <v>47</v>
      </c>
      <c r="E518" s="12" t="s">
        <v>97</v>
      </c>
      <c r="F518" s="12" t="s">
        <v>97</v>
      </c>
      <c r="G518" s="12" t="s">
        <v>46</v>
      </c>
      <c r="H518" s="12"/>
      <c r="I518" s="12" t="s">
        <v>145</v>
      </c>
      <c r="J518" s="12" t="s">
        <v>47</v>
      </c>
      <c r="K518" s="12" t="s">
        <v>49</v>
      </c>
      <c r="L518" s="12" t="s">
        <v>49</v>
      </c>
      <c r="M518" s="11" t="s">
        <v>56</v>
      </c>
      <c r="N518" s="11" t="s">
        <v>76</v>
      </c>
      <c r="O518" s="11" t="s">
        <v>103</v>
      </c>
      <c r="P518" s="11" t="s">
        <v>51</v>
      </c>
      <c r="Q518" s="50" t="s">
        <v>92</v>
      </c>
      <c r="R518" s="47">
        <v>11</v>
      </c>
      <c r="S518" s="48">
        <v>16.82</v>
      </c>
      <c r="T518" s="48">
        <v>6.42</v>
      </c>
      <c r="U518" s="48">
        <v>11</v>
      </c>
      <c r="V518" s="47">
        <v>18.649999999999999</v>
      </c>
      <c r="W518" s="48">
        <v>5.3</v>
      </c>
      <c r="X518" s="130">
        <f t="shared" si="86"/>
        <v>1.8299999999999983</v>
      </c>
      <c r="Y518" s="16">
        <f t="shared" si="88"/>
        <v>1.7908961697734158</v>
      </c>
      <c r="Z518" s="15">
        <f t="shared" si="90"/>
        <v>4.5799999999999983</v>
      </c>
      <c r="AA518" s="16">
        <f t="shared" si="91"/>
        <v>31.819872727272728</v>
      </c>
      <c r="AB518" s="16">
        <f t="shared" si="92"/>
        <v>2.3109301633675252</v>
      </c>
      <c r="AC518" s="66" t="s">
        <v>49</v>
      </c>
      <c r="AD518" s="51" t="s">
        <v>458</v>
      </c>
      <c r="AE518" s="13">
        <v>12</v>
      </c>
      <c r="AF518" s="13">
        <v>2</v>
      </c>
      <c r="AG518" s="13">
        <v>40</v>
      </c>
      <c r="AH518" s="134" t="s">
        <v>459</v>
      </c>
      <c r="AI518" s="134">
        <v>3.43</v>
      </c>
      <c r="AJ518" s="135">
        <v>146</v>
      </c>
      <c r="AK518" s="136">
        <f t="shared" si="87"/>
        <v>292</v>
      </c>
      <c r="AL518" s="136" t="str" cm="1">
        <f t="array" ref="AL518">_xlfn.IFS(
AI518&lt;3,"Ligera",
AI518&lt;=6,"Moderada",
AI518&gt;6,"Vigorosa"
)</f>
        <v>Moderada</v>
      </c>
      <c r="AM518" s="45" t="s">
        <v>48</v>
      </c>
      <c r="AN518" s="289" t="s">
        <v>60</v>
      </c>
      <c r="AO518" s="46" t="s">
        <v>61</v>
      </c>
      <c r="AP518" s="289" t="s">
        <v>173</v>
      </c>
      <c r="AQ518" s="139">
        <v>0</v>
      </c>
    </row>
    <row r="519" spans="1:43" ht="78.75" customHeight="1" thickBot="1">
      <c r="A519" s="138" t="s">
        <v>456</v>
      </c>
      <c r="B519" s="12">
        <v>32</v>
      </c>
      <c r="C519" s="12">
        <v>90.1</v>
      </c>
      <c r="D519" s="12" t="s">
        <v>47</v>
      </c>
      <c r="E519" s="12" t="s">
        <v>97</v>
      </c>
      <c r="F519" s="12" t="s">
        <v>97</v>
      </c>
      <c r="G519" s="12" t="s">
        <v>46</v>
      </c>
      <c r="H519" s="12"/>
      <c r="I519" s="12" t="s">
        <v>145</v>
      </c>
      <c r="J519" s="12" t="s">
        <v>47</v>
      </c>
      <c r="K519" s="12" t="s">
        <v>49</v>
      </c>
      <c r="L519" s="12" t="s">
        <v>49</v>
      </c>
      <c r="M519" s="11" t="s">
        <v>50</v>
      </c>
      <c r="N519" s="126" t="s">
        <v>50</v>
      </c>
      <c r="O519" s="126" t="s">
        <v>50</v>
      </c>
      <c r="P519" s="11" t="s">
        <v>51</v>
      </c>
      <c r="Q519" s="50" t="s">
        <v>460</v>
      </c>
      <c r="R519" s="47">
        <v>13</v>
      </c>
      <c r="S519" s="48">
        <v>865</v>
      </c>
      <c r="T519" s="48">
        <v>268</v>
      </c>
      <c r="U519" s="48">
        <v>13</v>
      </c>
      <c r="V519" s="47">
        <v>834</v>
      </c>
      <c r="W519" s="48">
        <v>382</v>
      </c>
      <c r="X519" s="130">
        <f t="shared" si="86"/>
        <v>-31</v>
      </c>
      <c r="Y519" s="16">
        <f t="shared" si="88"/>
        <v>94.205993603216299</v>
      </c>
      <c r="Z519" s="286" t="s">
        <v>53</v>
      </c>
      <c r="AA519" s="286" t="s">
        <v>53</v>
      </c>
      <c r="AB519" s="16">
        <v>94.205993603216299</v>
      </c>
      <c r="AC519" s="66" t="s">
        <v>49</v>
      </c>
      <c r="AD519" s="51" t="s">
        <v>457</v>
      </c>
      <c r="AE519" s="13">
        <v>12</v>
      </c>
      <c r="AF519" s="13">
        <v>4</v>
      </c>
      <c r="AG519" s="13">
        <v>30</v>
      </c>
      <c r="AH519" s="134">
        <v>219060</v>
      </c>
      <c r="AI519" s="134">
        <v>2.5</v>
      </c>
      <c r="AJ519" s="135">
        <f t="shared" ref="AJ519" si="95">AI519*AG519</f>
        <v>75</v>
      </c>
      <c r="AK519" s="136">
        <f t="shared" si="87"/>
        <v>300</v>
      </c>
      <c r="AL519" s="136" t="str" cm="1">
        <f t="array" ref="AL519">_xlfn.IFS(
AI519&lt;3,"Ligera",
AI519&lt;=6,"Moderada",
AI519&gt;6,"Vigorosa"
)</f>
        <v>Ligera</v>
      </c>
      <c r="AM519" s="45" t="s">
        <v>49</v>
      </c>
      <c r="AN519" s="289" t="s">
        <v>49</v>
      </c>
      <c r="AO519" s="46" t="s">
        <v>49</v>
      </c>
      <c r="AP519" s="289" t="s">
        <v>413</v>
      </c>
      <c r="AQ519" s="139">
        <v>0</v>
      </c>
    </row>
    <row r="520" spans="1:43" ht="78.75" customHeight="1" thickBot="1">
      <c r="A520" s="138" t="s">
        <v>456</v>
      </c>
      <c r="B520" s="12">
        <v>32</v>
      </c>
      <c r="C520" s="12">
        <v>93.4</v>
      </c>
      <c r="D520" s="12" t="s">
        <v>47</v>
      </c>
      <c r="E520" s="12" t="s">
        <v>97</v>
      </c>
      <c r="F520" s="12" t="s">
        <v>97</v>
      </c>
      <c r="G520" s="12" t="s">
        <v>46</v>
      </c>
      <c r="H520" s="12"/>
      <c r="I520" s="12" t="s">
        <v>145</v>
      </c>
      <c r="J520" s="12" t="s">
        <v>47</v>
      </c>
      <c r="K520" s="12" t="s">
        <v>49</v>
      </c>
      <c r="L520" s="12" t="s">
        <v>49</v>
      </c>
      <c r="M520" s="11" t="s">
        <v>56</v>
      </c>
      <c r="N520" s="11" t="s">
        <v>76</v>
      </c>
      <c r="O520" s="11" t="s">
        <v>103</v>
      </c>
      <c r="P520" s="11" t="s">
        <v>51</v>
      </c>
      <c r="Q520" s="50" t="s">
        <v>460</v>
      </c>
      <c r="R520" s="47">
        <v>11</v>
      </c>
      <c r="S520" s="48">
        <v>1057</v>
      </c>
      <c r="T520" s="48">
        <v>262</v>
      </c>
      <c r="U520" s="48">
        <v>11</v>
      </c>
      <c r="V520" s="47">
        <v>1284</v>
      </c>
      <c r="W520" s="48">
        <v>203</v>
      </c>
      <c r="X520" s="130">
        <f t="shared" si="86"/>
        <v>227</v>
      </c>
      <c r="Y520" s="16">
        <f t="shared" si="88"/>
        <v>71.774267356382353</v>
      </c>
      <c r="Z520" s="15">
        <f t="shared" si="90"/>
        <v>258</v>
      </c>
      <c r="AA520" s="16">
        <f t="shared" si="91"/>
        <v>98326.272727272721</v>
      </c>
      <c r="AB520" s="16">
        <f t="shared" si="92"/>
        <v>128.46132299908459</v>
      </c>
      <c r="AC520" s="66" t="s">
        <v>49</v>
      </c>
      <c r="AD520" s="51" t="s">
        <v>458</v>
      </c>
      <c r="AE520" s="13">
        <v>12</v>
      </c>
      <c r="AF520" s="13">
        <v>2</v>
      </c>
      <c r="AG520" s="13">
        <v>40</v>
      </c>
      <c r="AH520" s="134" t="s">
        <v>459</v>
      </c>
      <c r="AI520" s="134">
        <v>3.43</v>
      </c>
      <c r="AJ520" s="135">
        <v>146</v>
      </c>
      <c r="AK520" s="136">
        <f t="shared" si="87"/>
        <v>292</v>
      </c>
      <c r="AL520" s="136" t="str" cm="1">
        <f t="array" ref="AL520">_xlfn.IFS(
AI520&lt;3,"Ligera",
AI520&lt;=6,"Moderada",
AI520&gt;6,"Vigorosa"
)</f>
        <v>Moderada</v>
      </c>
      <c r="AM520" s="45" t="s">
        <v>48</v>
      </c>
      <c r="AN520" s="289" t="s">
        <v>60</v>
      </c>
      <c r="AO520" s="46" t="s">
        <v>61</v>
      </c>
      <c r="AP520" s="289" t="s">
        <v>173</v>
      </c>
      <c r="AQ520" s="139">
        <v>0</v>
      </c>
    </row>
    <row r="521" spans="1:43" ht="78.75" customHeight="1" thickBot="1">
      <c r="A521" s="138" t="s">
        <v>456</v>
      </c>
      <c r="B521" s="12">
        <v>32</v>
      </c>
      <c r="C521" s="12">
        <v>90.1</v>
      </c>
      <c r="D521" s="12" t="s">
        <v>47</v>
      </c>
      <c r="E521" s="12" t="s">
        <v>97</v>
      </c>
      <c r="F521" s="12" t="s">
        <v>97</v>
      </c>
      <c r="G521" s="12" t="s">
        <v>46</v>
      </c>
      <c r="H521" s="12"/>
      <c r="I521" s="12" t="s">
        <v>145</v>
      </c>
      <c r="J521" s="12" t="s">
        <v>47</v>
      </c>
      <c r="K521" s="12" t="s">
        <v>49</v>
      </c>
      <c r="L521" s="12" t="s">
        <v>49</v>
      </c>
      <c r="M521" s="11" t="s">
        <v>50</v>
      </c>
      <c r="N521" s="126" t="s">
        <v>50</v>
      </c>
      <c r="O521" s="126" t="s">
        <v>50</v>
      </c>
      <c r="P521" s="11" t="s">
        <v>51</v>
      </c>
      <c r="Q521" s="50" t="s">
        <v>461</v>
      </c>
      <c r="R521" s="47">
        <v>13</v>
      </c>
      <c r="S521" s="48">
        <v>1206</v>
      </c>
      <c r="T521" s="48">
        <v>336</v>
      </c>
      <c r="U521" s="48">
        <v>13</v>
      </c>
      <c r="V521" s="47">
        <v>1042</v>
      </c>
      <c r="W521" s="48">
        <v>353</v>
      </c>
      <c r="X521" s="130">
        <f t="shared" si="86"/>
        <v>-164</v>
      </c>
      <c r="Y521" s="16">
        <f t="shared" si="88"/>
        <v>95.634319555916107</v>
      </c>
      <c r="Z521" s="286" t="s">
        <v>53</v>
      </c>
      <c r="AA521" s="286" t="s">
        <v>53</v>
      </c>
      <c r="AB521" s="16">
        <v>95.634319555916107</v>
      </c>
      <c r="AC521" s="66" t="s">
        <v>49</v>
      </c>
      <c r="AD521" s="51" t="s">
        <v>457</v>
      </c>
      <c r="AE521" s="13">
        <v>12</v>
      </c>
      <c r="AF521" s="13">
        <v>4</v>
      </c>
      <c r="AG521" s="13">
        <v>30</v>
      </c>
      <c r="AH521" s="134">
        <v>219060</v>
      </c>
      <c r="AI521" s="134">
        <v>2.5</v>
      </c>
      <c r="AJ521" s="135">
        <f t="shared" ref="AJ521" si="96">AI521*AG521</f>
        <v>75</v>
      </c>
      <c r="AK521" s="136">
        <f t="shared" si="87"/>
        <v>300</v>
      </c>
      <c r="AL521" s="136" t="str" cm="1">
        <f t="array" ref="AL521">_xlfn.IFS(
AI521&lt;3,"Ligera",
AI521&lt;=6,"Moderada",
AI521&gt;6,"Vigorosa"
)</f>
        <v>Ligera</v>
      </c>
      <c r="AM521" s="45" t="s">
        <v>49</v>
      </c>
      <c r="AN521" s="289" t="s">
        <v>49</v>
      </c>
      <c r="AO521" s="46" t="s">
        <v>49</v>
      </c>
      <c r="AP521" s="289" t="s">
        <v>413</v>
      </c>
      <c r="AQ521" s="139">
        <v>0</v>
      </c>
    </row>
    <row r="522" spans="1:43" ht="78.75" customHeight="1" thickBot="1">
      <c r="A522" s="140" t="s">
        <v>456</v>
      </c>
      <c r="B522" s="141">
        <v>32</v>
      </c>
      <c r="C522" s="141">
        <v>93.4</v>
      </c>
      <c r="D522" s="141" t="s">
        <v>47</v>
      </c>
      <c r="E522" s="141" t="s">
        <v>97</v>
      </c>
      <c r="F522" s="141" t="s">
        <v>97</v>
      </c>
      <c r="G522" s="141" t="s">
        <v>46</v>
      </c>
      <c r="H522" s="141"/>
      <c r="I522" s="141" t="s">
        <v>145</v>
      </c>
      <c r="J522" s="141" t="s">
        <v>47</v>
      </c>
      <c r="K522" s="141" t="s">
        <v>49</v>
      </c>
      <c r="L522" s="141" t="s">
        <v>49</v>
      </c>
      <c r="M522" s="142" t="s">
        <v>56</v>
      </c>
      <c r="N522" s="142" t="s">
        <v>76</v>
      </c>
      <c r="O522" s="142" t="s">
        <v>103</v>
      </c>
      <c r="P522" s="142" t="s">
        <v>51</v>
      </c>
      <c r="Q522" s="158" t="s">
        <v>461</v>
      </c>
      <c r="R522" s="169">
        <v>11</v>
      </c>
      <c r="S522" s="170">
        <v>1451</v>
      </c>
      <c r="T522" s="170">
        <v>441</v>
      </c>
      <c r="U522" s="169">
        <v>30</v>
      </c>
      <c r="V522" s="169">
        <v>1745</v>
      </c>
      <c r="W522" s="170">
        <v>460</v>
      </c>
      <c r="X522" s="130">
        <f t="shared" si="86"/>
        <v>294</v>
      </c>
      <c r="Y522" s="16">
        <f t="shared" si="88"/>
        <v>82.304515874484878</v>
      </c>
      <c r="Z522" s="15">
        <f t="shared" si="90"/>
        <v>458</v>
      </c>
      <c r="AA522" s="16">
        <f t="shared" si="91"/>
        <v>186139.21951219512</v>
      </c>
      <c r="AB522" s="16">
        <f t="shared" si="92"/>
        <v>143.25865471706967</v>
      </c>
      <c r="AC522" s="66" t="s">
        <v>49</v>
      </c>
      <c r="AD522" s="151" t="s">
        <v>458</v>
      </c>
      <c r="AE522" s="146">
        <v>12</v>
      </c>
      <c r="AF522" s="146">
        <v>2</v>
      </c>
      <c r="AG522" s="146">
        <v>40</v>
      </c>
      <c r="AH522" s="134" t="s">
        <v>459</v>
      </c>
      <c r="AI522" s="134">
        <v>3.43</v>
      </c>
      <c r="AJ522" s="135">
        <v>146</v>
      </c>
      <c r="AK522" s="136">
        <f t="shared" si="87"/>
        <v>292</v>
      </c>
      <c r="AL522" s="136" t="str" cm="1">
        <f t="array" ref="AL522">_xlfn.IFS(
AI522&lt;3,"Ligera",
AI522&lt;=6,"Moderada",
AI522&gt;6,"Vigorosa"
)</f>
        <v>Moderada</v>
      </c>
      <c r="AM522" s="147" t="s">
        <v>48</v>
      </c>
      <c r="AN522" s="290" t="s">
        <v>60</v>
      </c>
      <c r="AO522" s="148" t="s">
        <v>61</v>
      </c>
      <c r="AP522" s="290" t="s">
        <v>173</v>
      </c>
      <c r="AQ522" s="149">
        <v>0</v>
      </c>
    </row>
    <row r="523" spans="1:43" ht="78.75" customHeight="1" thickBot="1">
      <c r="A523" s="193" t="s">
        <v>462</v>
      </c>
      <c r="B523" s="125">
        <v>78</v>
      </c>
      <c r="C523" s="125">
        <v>81.5</v>
      </c>
      <c r="D523" s="125">
        <v>33.33</v>
      </c>
      <c r="E523" s="125" t="s">
        <v>45</v>
      </c>
      <c r="F523" s="125" t="s">
        <v>45</v>
      </c>
      <c r="G523" s="125" t="s">
        <v>223</v>
      </c>
      <c r="H523" s="125"/>
      <c r="I523" s="125" t="s">
        <v>45</v>
      </c>
      <c r="J523" s="125" t="s">
        <v>47</v>
      </c>
      <c r="K523" s="125" t="s">
        <v>49</v>
      </c>
      <c r="L523" s="125" t="s">
        <v>49</v>
      </c>
      <c r="M523" s="126" t="s">
        <v>56</v>
      </c>
      <c r="N523" s="126" t="s">
        <v>76</v>
      </c>
      <c r="O523" s="126" t="s">
        <v>100</v>
      </c>
      <c r="P523" s="11" t="s">
        <v>86</v>
      </c>
      <c r="Q523" s="159" t="s">
        <v>87</v>
      </c>
      <c r="R523" s="167">
        <v>30</v>
      </c>
      <c r="S523" s="168">
        <v>49.83</v>
      </c>
      <c r="T523" s="168">
        <v>5.69</v>
      </c>
      <c r="U523" s="167">
        <v>36</v>
      </c>
      <c r="V523" s="167">
        <v>52.74</v>
      </c>
      <c r="W523" s="168">
        <v>3.97</v>
      </c>
      <c r="X523" s="130">
        <f t="shared" si="86"/>
        <v>2.9100000000000037</v>
      </c>
      <c r="Y523" s="16">
        <f t="shared" si="88"/>
        <v>0.84241221105426367</v>
      </c>
      <c r="Z523" s="286" t="s">
        <v>53</v>
      </c>
      <c r="AA523" s="286" t="s">
        <v>53</v>
      </c>
      <c r="AB523" s="16">
        <v>0.84241221105426367</v>
      </c>
      <c r="AC523" s="66" t="s">
        <v>49</v>
      </c>
      <c r="AD523" s="133" t="s">
        <v>463</v>
      </c>
      <c r="AE523" s="134">
        <v>6</v>
      </c>
      <c r="AF523" s="134">
        <v>3</v>
      </c>
      <c r="AG523" s="134">
        <v>45</v>
      </c>
      <c r="AH523" s="134">
        <v>211360</v>
      </c>
      <c r="AI523" s="134">
        <v>3.5</v>
      </c>
      <c r="AJ523" s="135">
        <f t="shared" ref="AJ523:AJ556" si="97">AI523*AG523</f>
        <v>157.5</v>
      </c>
      <c r="AK523" s="136">
        <f t="shared" si="87"/>
        <v>472.5</v>
      </c>
      <c r="AL523" s="136" t="str" cm="1">
        <f t="array" ref="AL523">_xlfn.IFS(
AI523&lt;3,"Ligera",
AI523&lt;=6,"Moderada",
AI523&gt;6,"Vigorosa"
)</f>
        <v>Moderada</v>
      </c>
      <c r="AM523" s="136" t="s">
        <v>49</v>
      </c>
      <c r="AN523" s="288" t="s">
        <v>49</v>
      </c>
      <c r="AO523" s="135" t="s">
        <v>61</v>
      </c>
      <c r="AP523" s="288" t="s">
        <v>155</v>
      </c>
      <c r="AQ523" s="137">
        <v>0</v>
      </c>
    </row>
    <row r="524" spans="1:43" ht="78.75" customHeight="1" thickBot="1">
      <c r="A524" s="194" t="s">
        <v>462</v>
      </c>
      <c r="B524" s="12">
        <v>78</v>
      </c>
      <c r="C524" s="12">
        <v>79.400000000000006</v>
      </c>
      <c r="D524" s="12">
        <v>44.44</v>
      </c>
      <c r="E524" s="12" t="s">
        <v>45</v>
      </c>
      <c r="F524" s="12" t="s">
        <v>45</v>
      </c>
      <c r="G524" s="12" t="s">
        <v>223</v>
      </c>
      <c r="H524" s="12"/>
      <c r="I524" s="12" t="s">
        <v>45</v>
      </c>
      <c r="J524" s="12" t="s">
        <v>47</v>
      </c>
      <c r="K524" s="12" t="s">
        <v>49</v>
      </c>
      <c r="L524" s="12" t="s">
        <v>49</v>
      </c>
      <c r="M524" s="11" t="s">
        <v>56</v>
      </c>
      <c r="N524" s="11" t="s">
        <v>76</v>
      </c>
      <c r="O524" s="11" t="s">
        <v>103</v>
      </c>
      <c r="P524" s="11" t="s">
        <v>86</v>
      </c>
      <c r="Q524" s="50" t="s">
        <v>87</v>
      </c>
      <c r="R524" s="47">
        <v>36</v>
      </c>
      <c r="S524" s="63">
        <v>50.2</v>
      </c>
      <c r="T524" s="48">
        <v>5.01</v>
      </c>
      <c r="U524" s="47">
        <v>30</v>
      </c>
      <c r="V524" s="47">
        <v>54.92</v>
      </c>
      <c r="W524" s="48">
        <v>1.85</v>
      </c>
      <c r="X524" s="130">
        <f t="shared" si="86"/>
        <v>4.7199999999999989</v>
      </c>
      <c r="Y524" s="16">
        <f t="shared" si="88"/>
        <v>0.8011262905018991</v>
      </c>
      <c r="Z524" s="15">
        <f t="shared" si="90"/>
        <v>1.8099999999999952</v>
      </c>
      <c r="AA524" s="16">
        <f t="shared" si="91"/>
        <v>10.170062500000002</v>
      </c>
      <c r="AB524" s="16">
        <f t="shared" si="92"/>
        <v>0.78835513535743806</v>
      </c>
      <c r="AC524" s="66" t="s">
        <v>49</v>
      </c>
      <c r="AD524" s="51" t="s">
        <v>464</v>
      </c>
      <c r="AE524" s="13">
        <v>6</v>
      </c>
      <c r="AF524" s="13">
        <v>3</v>
      </c>
      <c r="AG524" s="13">
        <v>55</v>
      </c>
      <c r="AH524" s="13" t="s">
        <v>465</v>
      </c>
      <c r="AI524" s="13">
        <v>5</v>
      </c>
      <c r="AJ524" s="135">
        <v>222.5</v>
      </c>
      <c r="AK524" s="136">
        <f t="shared" si="87"/>
        <v>667.5</v>
      </c>
      <c r="AL524" s="136" t="str" cm="1">
        <f t="array" ref="AL524">_xlfn.IFS(
AI524&lt;3,"Ligera",
AI524&lt;=6,"Moderada",
AI524&gt;6,"Vigorosa"
)</f>
        <v>Moderada</v>
      </c>
      <c r="AM524" s="45" t="s">
        <v>49</v>
      </c>
      <c r="AN524" s="289" t="s">
        <v>49</v>
      </c>
      <c r="AO524" s="46" t="s">
        <v>61</v>
      </c>
      <c r="AP524" s="289" t="s">
        <v>155</v>
      </c>
      <c r="AQ524" s="139">
        <v>0</v>
      </c>
    </row>
    <row r="525" spans="1:43" ht="78.75" customHeight="1" thickBot="1">
      <c r="A525" s="124" t="s">
        <v>466</v>
      </c>
      <c r="B525" s="125">
        <v>69</v>
      </c>
      <c r="C525" s="125">
        <v>75.400000000000006</v>
      </c>
      <c r="D525" s="125">
        <v>47.3</v>
      </c>
      <c r="E525" s="125" t="s">
        <v>45</v>
      </c>
      <c r="F525" s="125" t="s">
        <v>45</v>
      </c>
      <c r="G525" s="125" t="s">
        <v>328</v>
      </c>
      <c r="H525" s="125"/>
      <c r="I525" s="125" t="s">
        <v>45</v>
      </c>
      <c r="J525" s="125" t="s">
        <v>47</v>
      </c>
      <c r="K525" s="125" t="s">
        <v>49</v>
      </c>
      <c r="L525" s="125" t="s">
        <v>49</v>
      </c>
      <c r="M525" s="126" t="s">
        <v>50</v>
      </c>
      <c r="N525" s="126" t="s">
        <v>50</v>
      </c>
      <c r="O525" s="126" t="s">
        <v>50</v>
      </c>
      <c r="P525" s="126" t="s">
        <v>51</v>
      </c>
      <c r="Q525" s="159" t="s">
        <v>83</v>
      </c>
      <c r="R525" s="167">
        <v>24</v>
      </c>
      <c r="S525" s="168">
        <v>2.6</v>
      </c>
      <c r="T525" s="168">
        <v>12.68</v>
      </c>
      <c r="U525" s="167">
        <v>24</v>
      </c>
      <c r="V525" s="167">
        <v>-2.38</v>
      </c>
      <c r="W525" s="168">
        <v>11.55</v>
      </c>
      <c r="X525" s="130">
        <f t="shared" si="86"/>
        <v>-4.9800000000000004</v>
      </c>
      <c r="Y525" s="16">
        <f t="shared" si="88"/>
        <v>2.481018775960123</v>
      </c>
      <c r="Z525" s="286" t="s">
        <v>53</v>
      </c>
      <c r="AA525" s="286" t="s">
        <v>53</v>
      </c>
      <c r="AB525" s="16">
        <v>2.481018775960123</v>
      </c>
      <c r="AC525" s="66" t="s">
        <v>49</v>
      </c>
      <c r="AD525" s="133" t="s">
        <v>467</v>
      </c>
      <c r="AE525" s="134">
        <v>24</v>
      </c>
      <c r="AF525" s="134">
        <v>0</v>
      </c>
      <c r="AG525" s="134">
        <v>0</v>
      </c>
      <c r="AH525" s="134">
        <v>0</v>
      </c>
      <c r="AI525" s="134">
        <v>0</v>
      </c>
      <c r="AJ525" s="135">
        <f t="shared" si="97"/>
        <v>0</v>
      </c>
      <c r="AK525" s="136">
        <f t="shared" si="87"/>
        <v>0</v>
      </c>
      <c r="AL525" s="136" t="str" cm="1">
        <f t="array" ref="AL525">_xlfn.IFS(
AI525&lt;3,"Ligera",
AI525&lt;=6,"Moderada",
AI525&gt;6,"Vigorosa"
)</f>
        <v>Ligera</v>
      </c>
      <c r="AM525" s="136" t="s">
        <v>49</v>
      </c>
      <c r="AN525" s="288" t="s">
        <v>49</v>
      </c>
      <c r="AO525" s="135" t="s">
        <v>49</v>
      </c>
      <c r="AP525" s="288" t="s">
        <v>49</v>
      </c>
      <c r="AQ525" s="137">
        <v>0</v>
      </c>
    </row>
    <row r="526" spans="1:43" ht="78.75" customHeight="1" thickBot="1">
      <c r="A526" s="138" t="s">
        <v>466</v>
      </c>
      <c r="B526" s="12">
        <v>69</v>
      </c>
      <c r="C526" s="12">
        <v>75.400000000000006</v>
      </c>
      <c r="D526" s="12">
        <v>47.3</v>
      </c>
      <c r="E526" s="12" t="s">
        <v>45</v>
      </c>
      <c r="F526" s="12" t="s">
        <v>45</v>
      </c>
      <c r="G526" s="12" t="s">
        <v>328</v>
      </c>
      <c r="H526" s="12"/>
      <c r="I526" s="12" t="s">
        <v>45</v>
      </c>
      <c r="J526" s="12" t="s">
        <v>47</v>
      </c>
      <c r="K526" s="12" t="s">
        <v>49</v>
      </c>
      <c r="L526" s="12" t="s">
        <v>49</v>
      </c>
      <c r="M526" s="11" t="s">
        <v>56</v>
      </c>
      <c r="N526" s="11" t="s">
        <v>410</v>
      </c>
      <c r="O526" s="50" t="s">
        <v>468</v>
      </c>
      <c r="P526" s="11" t="s">
        <v>51</v>
      </c>
      <c r="Q526" s="50" t="s">
        <v>83</v>
      </c>
      <c r="R526" s="47">
        <v>31</v>
      </c>
      <c r="S526" s="48">
        <v>-1.53</v>
      </c>
      <c r="T526" s="48">
        <v>8.76</v>
      </c>
      <c r="U526" s="47">
        <v>31</v>
      </c>
      <c r="V526" s="47">
        <v>0.36</v>
      </c>
      <c r="W526" s="48">
        <v>7.64</v>
      </c>
      <c r="X526" s="130">
        <f t="shared" si="86"/>
        <v>1.8900000000000001</v>
      </c>
      <c r="Y526" s="16">
        <f t="shared" si="88"/>
        <v>1.4830308982490186</v>
      </c>
      <c r="Z526" s="15">
        <f t="shared" si="90"/>
        <v>6.870000000000001</v>
      </c>
      <c r="AA526" s="16">
        <f t="shared" si="91"/>
        <v>90.931047169811322</v>
      </c>
      <c r="AB526" s="16">
        <f t="shared" si="92"/>
        <v>2.5926922721754728</v>
      </c>
      <c r="AC526" s="66" t="s">
        <v>49</v>
      </c>
      <c r="AD526" s="51" t="s">
        <v>469</v>
      </c>
      <c r="AE526" s="13">
        <v>24</v>
      </c>
      <c r="AF526" s="13">
        <v>3</v>
      </c>
      <c r="AG526" s="13">
        <v>75</v>
      </c>
      <c r="AH526" s="134">
        <v>219060</v>
      </c>
      <c r="AI526" s="134">
        <v>2.5</v>
      </c>
      <c r="AJ526" s="135">
        <f t="shared" si="97"/>
        <v>187.5</v>
      </c>
      <c r="AK526" s="136">
        <f t="shared" si="87"/>
        <v>562.5</v>
      </c>
      <c r="AL526" s="136" t="str" cm="1">
        <f t="array" ref="AL526">_xlfn.IFS(
AI526&lt;3,"Ligera",
AI526&lt;=6,"Moderada",
AI526&gt;6,"Vigorosa"
)</f>
        <v>Ligera</v>
      </c>
      <c r="AM526" s="45" t="s">
        <v>49</v>
      </c>
      <c r="AN526" s="289" t="s">
        <v>49</v>
      </c>
      <c r="AO526" s="46" t="s">
        <v>61</v>
      </c>
      <c r="AP526" s="289" t="s">
        <v>173</v>
      </c>
      <c r="AQ526" s="139">
        <v>0</v>
      </c>
    </row>
    <row r="527" spans="1:43" ht="78.75" customHeight="1" thickBot="1">
      <c r="A527" s="138" t="s">
        <v>466</v>
      </c>
      <c r="B527" s="12">
        <v>69</v>
      </c>
      <c r="C527" s="12">
        <v>75.400000000000006</v>
      </c>
      <c r="D527" s="12">
        <v>47.3</v>
      </c>
      <c r="E527" s="12" t="s">
        <v>45</v>
      </c>
      <c r="F527" s="12" t="s">
        <v>45</v>
      </c>
      <c r="G527" s="12" t="s">
        <v>328</v>
      </c>
      <c r="H527" s="12"/>
      <c r="I527" s="12" t="s">
        <v>45</v>
      </c>
      <c r="J527" s="12" t="s">
        <v>47</v>
      </c>
      <c r="K527" s="12" t="s">
        <v>49</v>
      </c>
      <c r="L527" s="12" t="s">
        <v>49</v>
      </c>
      <c r="M527" s="11" t="s">
        <v>50</v>
      </c>
      <c r="N527" s="11" t="s">
        <v>50</v>
      </c>
      <c r="O527" s="11" t="s">
        <v>50</v>
      </c>
      <c r="P527" s="11" t="s">
        <v>51</v>
      </c>
      <c r="Q527" s="50" t="s">
        <v>249</v>
      </c>
      <c r="R527" s="47">
        <v>24</v>
      </c>
      <c r="S527" s="48">
        <v>0.752</v>
      </c>
      <c r="T527" s="48">
        <v>0.37</v>
      </c>
      <c r="U527" s="47">
        <v>24</v>
      </c>
      <c r="V527" s="47">
        <v>0.71499999999999997</v>
      </c>
      <c r="W527" s="48">
        <v>0.35699999999999998</v>
      </c>
      <c r="X527" s="130">
        <f t="shared" si="86"/>
        <v>-3.7000000000000033E-2</v>
      </c>
      <c r="Y527" s="16">
        <f t="shared" si="88"/>
        <v>7.423470661804131E-2</v>
      </c>
      <c r="Z527" s="286" t="s">
        <v>53</v>
      </c>
      <c r="AA527" s="286" t="s">
        <v>53</v>
      </c>
      <c r="AB527" s="16">
        <v>7.423470661804131E-2</v>
      </c>
      <c r="AC527" s="66" t="s">
        <v>49</v>
      </c>
      <c r="AD527" s="51" t="s">
        <v>467</v>
      </c>
      <c r="AE527" s="13">
        <v>24</v>
      </c>
      <c r="AF527" s="13">
        <v>0</v>
      </c>
      <c r="AG527" s="13">
        <v>0</v>
      </c>
      <c r="AH527" s="134">
        <v>0</v>
      </c>
      <c r="AI527" s="134">
        <v>0</v>
      </c>
      <c r="AJ527" s="135">
        <f t="shared" si="97"/>
        <v>0</v>
      </c>
      <c r="AK527" s="136">
        <f t="shared" si="87"/>
        <v>0</v>
      </c>
      <c r="AL527" s="136" t="str" cm="1">
        <f t="array" ref="AL527">_xlfn.IFS(
AI527&lt;3,"Ligera",
AI527&lt;=6,"Moderada",
AI527&gt;6,"Vigorosa"
)</f>
        <v>Ligera</v>
      </c>
      <c r="AM527" s="45" t="s">
        <v>49</v>
      </c>
      <c r="AN527" s="289" t="s">
        <v>49</v>
      </c>
      <c r="AO527" s="46" t="s">
        <v>49</v>
      </c>
      <c r="AP527" s="289" t="s">
        <v>49</v>
      </c>
      <c r="AQ527" s="139">
        <v>0</v>
      </c>
    </row>
    <row r="528" spans="1:43" ht="78.75" customHeight="1" thickBot="1">
      <c r="A528" s="140" t="s">
        <v>466</v>
      </c>
      <c r="B528" s="141">
        <v>69</v>
      </c>
      <c r="C528" s="141">
        <v>75.400000000000006</v>
      </c>
      <c r="D528" s="141">
        <v>47.3</v>
      </c>
      <c r="E528" s="141" t="s">
        <v>45</v>
      </c>
      <c r="F528" s="141" t="s">
        <v>45</v>
      </c>
      <c r="G528" s="141" t="s">
        <v>328</v>
      </c>
      <c r="H528" s="141"/>
      <c r="I528" s="141" t="s">
        <v>45</v>
      </c>
      <c r="J528" s="141" t="s">
        <v>47</v>
      </c>
      <c r="K528" s="141" t="s">
        <v>49</v>
      </c>
      <c r="L528" s="141" t="s">
        <v>49</v>
      </c>
      <c r="M528" s="142" t="s">
        <v>56</v>
      </c>
      <c r="N528" s="142" t="s">
        <v>410</v>
      </c>
      <c r="O528" s="158" t="s">
        <v>468</v>
      </c>
      <c r="P528" s="142" t="s">
        <v>51</v>
      </c>
      <c r="Q528" s="158" t="s">
        <v>249</v>
      </c>
      <c r="R528" s="169">
        <v>31</v>
      </c>
      <c r="S528" s="170">
        <v>0.72499999999999998</v>
      </c>
      <c r="T528" s="170">
        <v>0.184</v>
      </c>
      <c r="U528" s="169">
        <v>31</v>
      </c>
      <c r="V528" s="169">
        <v>0.87</v>
      </c>
      <c r="W528" s="170">
        <v>0.27400000000000002</v>
      </c>
      <c r="X528" s="130">
        <f t="shared" si="86"/>
        <v>0.14500000000000002</v>
      </c>
      <c r="Y528" s="16">
        <f t="shared" si="88"/>
        <v>4.3446667343143903E-2</v>
      </c>
      <c r="Z528" s="15">
        <f t="shared" si="90"/>
        <v>0.18200000000000005</v>
      </c>
      <c r="AA528" s="16">
        <f t="shared" si="91"/>
        <v>9.780390566037736E-2</v>
      </c>
      <c r="AB528" s="16">
        <f t="shared" si="92"/>
        <v>8.5030156030498419E-2</v>
      </c>
      <c r="AC528" s="66" t="s">
        <v>49</v>
      </c>
      <c r="AD528" s="151" t="s">
        <v>470</v>
      </c>
      <c r="AE528" s="146">
        <v>24</v>
      </c>
      <c r="AF528" s="146">
        <v>3</v>
      </c>
      <c r="AG528" s="146">
        <v>75</v>
      </c>
      <c r="AH528" s="134">
        <v>219060</v>
      </c>
      <c r="AI528" s="134">
        <v>2.5</v>
      </c>
      <c r="AJ528" s="135">
        <f t="shared" si="97"/>
        <v>187.5</v>
      </c>
      <c r="AK528" s="136">
        <f t="shared" si="87"/>
        <v>562.5</v>
      </c>
      <c r="AL528" s="136" t="str" cm="1">
        <f t="array" ref="AL528">_xlfn.IFS(
AI528&lt;3,"Ligera",
AI528&lt;=6,"Moderada",
AI528&gt;6,"Vigorosa"
)</f>
        <v>Ligera</v>
      </c>
      <c r="AM528" s="147" t="s">
        <v>49</v>
      </c>
      <c r="AN528" s="290" t="s">
        <v>49</v>
      </c>
      <c r="AO528" s="148" t="s">
        <v>61</v>
      </c>
      <c r="AP528" s="290" t="s">
        <v>173</v>
      </c>
      <c r="AQ528" s="149">
        <v>0</v>
      </c>
    </row>
    <row r="529" spans="1:45" ht="78.75" customHeight="1" thickBot="1">
      <c r="A529" s="124" t="s">
        <v>471</v>
      </c>
      <c r="B529" s="12">
        <v>127</v>
      </c>
      <c r="C529" s="12">
        <v>79.150000000000006</v>
      </c>
      <c r="D529" s="12">
        <v>50.9</v>
      </c>
      <c r="E529" s="12" t="s">
        <v>45</v>
      </c>
      <c r="F529" s="12" t="s">
        <v>45</v>
      </c>
      <c r="G529" s="12" t="s">
        <v>328</v>
      </c>
      <c r="H529" s="12"/>
      <c r="I529" s="12" t="s">
        <v>45</v>
      </c>
      <c r="J529" s="12">
        <v>2.11</v>
      </c>
      <c r="K529" s="12" t="s">
        <v>49</v>
      </c>
      <c r="L529" s="12" t="s">
        <v>48</v>
      </c>
      <c r="M529" s="11" t="s">
        <v>50</v>
      </c>
      <c r="N529" s="11" t="s">
        <v>50</v>
      </c>
      <c r="O529" s="11" t="s">
        <v>50</v>
      </c>
      <c r="P529" s="11" t="s">
        <v>51</v>
      </c>
      <c r="Q529" s="50" t="s">
        <v>83</v>
      </c>
      <c r="R529" s="47">
        <v>55</v>
      </c>
      <c r="S529" s="48">
        <v>-13.93</v>
      </c>
      <c r="T529" s="48">
        <v>13.31</v>
      </c>
      <c r="U529" s="47">
        <v>55</v>
      </c>
      <c r="V529" s="47">
        <v>-16.71</v>
      </c>
      <c r="W529" s="48">
        <v>13.56</v>
      </c>
      <c r="X529" s="130">
        <f t="shared" si="86"/>
        <v>-2.7800000000000011</v>
      </c>
      <c r="Y529" s="16">
        <f t="shared" si="88"/>
        <v>1.8118102449308437</v>
      </c>
      <c r="Z529" s="286" t="s">
        <v>53</v>
      </c>
      <c r="AA529" s="286" t="s">
        <v>53</v>
      </c>
      <c r="AB529" s="16">
        <v>1.8118102449308437</v>
      </c>
      <c r="AC529" s="66" t="s">
        <v>49</v>
      </c>
      <c r="AD529" s="51" t="s">
        <v>472</v>
      </c>
      <c r="AE529" s="13">
        <v>24</v>
      </c>
      <c r="AF529" s="13">
        <v>0</v>
      </c>
      <c r="AG529" s="13">
        <v>0</v>
      </c>
      <c r="AH529" s="134">
        <v>0</v>
      </c>
      <c r="AI529" s="134">
        <v>0</v>
      </c>
      <c r="AJ529" s="135">
        <f t="shared" si="97"/>
        <v>0</v>
      </c>
      <c r="AK529" s="136">
        <f t="shared" si="87"/>
        <v>0</v>
      </c>
      <c r="AL529" s="136" t="str" cm="1">
        <f t="array" ref="AL529">_xlfn.IFS(
AI529&lt;3,"Ligera",
AI529&lt;=6,"Moderada",
AI529&gt;6,"Vigorosa"
)</f>
        <v>Ligera</v>
      </c>
      <c r="AM529" s="45" t="s">
        <v>49</v>
      </c>
      <c r="AN529" s="289" t="s">
        <v>49</v>
      </c>
      <c r="AO529" s="46" t="s">
        <v>49</v>
      </c>
      <c r="AP529" s="289" t="s">
        <v>49</v>
      </c>
      <c r="AQ529" s="139">
        <v>0</v>
      </c>
      <c r="AS529" s="43" t="s">
        <v>473</v>
      </c>
    </row>
    <row r="530" spans="1:45" ht="78.75" customHeight="1" thickBot="1">
      <c r="A530" s="124" t="s">
        <v>471</v>
      </c>
      <c r="B530" s="12">
        <v>127</v>
      </c>
      <c r="C530" s="12">
        <v>79.150000000000006</v>
      </c>
      <c r="D530" s="12">
        <v>50.9</v>
      </c>
      <c r="E530" s="12" t="s">
        <v>45</v>
      </c>
      <c r="F530" s="12" t="s">
        <v>45</v>
      </c>
      <c r="G530" s="12" t="s">
        <v>328</v>
      </c>
      <c r="H530" s="12"/>
      <c r="I530" s="12" t="s">
        <v>45</v>
      </c>
      <c r="J530" s="12">
        <v>2.11</v>
      </c>
      <c r="K530" s="12" t="s">
        <v>49</v>
      </c>
      <c r="L530" s="12" t="s">
        <v>48</v>
      </c>
      <c r="M530" s="11" t="s">
        <v>56</v>
      </c>
      <c r="N530" s="11" t="s">
        <v>57</v>
      </c>
      <c r="O530" s="11" t="s">
        <v>147</v>
      </c>
      <c r="P530" s="11" t="s">
        <v>51</v>
      </c>
      <c r="Q530" s="50" t="s">
        <v>83</v>
      </c>
      <c r="R530" s="47">
        <v>59</v>
      </c>
      <c r="S530" s="48">
        <v>-17.91</v>
      </c>
      <c r="T530" s="48">
        <v>12.94</v>
      </c>
      <c r="U530" s="47">
        <v>59</v>
      </c>
      <c r="V530" s="47">
        <v>-13.32</v>
      </c>
      <c r="W530" s="48">
        <v>13.14</v>
      </c>
      <c r="X530" s="130">
        <f t="shared" si="86"/>
        <v>4.59</v>
      </c>
      <c r="Y530" s="16">
        <f t="shared" si="88"/>
        <v>1.6978131497680846</v>
      </c>
      <c r="Z530" s="15">
        <f t="shared" si="90"/>
        <v>7.370000000000001</v>
      </c>
      <c r="AA530" s="16">
        <f t="shared" si="91"/>
        <v>178.06635</v>
      </c>
      <c r="AB530" s="16">
        <f t="shared" si="92"/>
        <v>2.5011284910642955</v>
      </c>
      <c r="AC530" s="66" t="s">
        <v>49</v>
      </c>
      <c r="AD530" s="51" t="s">
        <v>474</v>
      </c>
      <c r="AE530" s="13">
        <v>24</v>
      </c>
      <c r="AF530" s="13">
        <v>3</v>
      </c>
      <c r="AG530" s="13">
        <v>40</v>
      </c>
      <c r="AH530" s="134">
        <v>205460</v>
      </c>
      <c r="AI530" s="134">
        <v>4.3</v>
      </c>
      <c r="AJ530" s="135">
        <f t="shared" si="97"/>
        <v>172</v>
      </c>
      <c r="AK530" s="136">
        <f t="shared" si="87"/>
        <v>516</v>
      </c>
      <c r="AL530" s="136" t="str" cm="1">
        <f t="array" ref="AL530">_xlfn.IFS(
AI530&lt;3,"Ligera",
AI530&lt;=6,"Moderada",
AI530&gt;6,"Vigorosa"
)</f>
        <v>Moderada</v>
      </c>
      <c r="AM530" s="45" t="s">
        <v>48</v>
      </c>
      <c r="AN530" s="289" t="s">
        <v>60</v>
      </c>
      <c r="AO530" s="46" t="s">
        <v>61</v>
      </c>
      <c r="AP530" s="289" t="s">
        <v>173</v>
      </c>
      <c r="AQ530" s="139">
        <v>0</v>
      </c>
      <c r="AS530" s="43" t="s">
        <v>473</v>
      </c>
    </row>
    <row r="531" spans="1:45" ht="78.599999999999994" customHeight="1" thickBot="1">
      <c r="A531" s="124" t="s">
        <v>471</v>
      </c>
      <c r="B531" s="12">
        <v>127</v>
      </c>
      <c r="C531" s="12">
        <v>79.150000000000006</v>
      </c>
      <c r="D531" s="12">
        <v>50.9</v>
      </c>
      <c r="E531" s="12" t="s">
        <v>45</v>
      </c>
      <c r="F531" s="12" t="s">
        <v>45</v>
      </c>
      <c r="G531" s="12" t="s">
        <v>328</v>
      </c>
      <c r="H531" s="12"/>
      <c r="I531" s="12" t="s">
        <v>45</v>
      </c>
      <c r="J531" s="12">
        <v>2.11</v>
      </c>
      <c r="K531" s="12" t="s">
        <v>49</v>
      </c>
      <c r="L531" s="12" t="s">
        <v>48</v>
      </c>
      <c r="M531" s="11" t="s">
        <v>50</v>
      </c>
      <c r="N531" s="11" t="s">
        <v>50</v>
      </c>
      <c r="O531" s="11" t="s">
        <v>50</v>
      </c>
      <c r="P531" s="11" t="s">
        <v>51</v>
      </c>
      <c r="Q531" s="50" t="s">
        <v>92</v>
      </c>
      <c r="R531" s="47">
        <v>55</v>
      </c>
      <c r="S531" s="48">
        <v>11.99</v>
      </c>
      <c r="T531" s="48">
        <v>5.94</v>
      </c>
      <c r="U531" s="47">
        <v>55</v>
      </c>
      <c r="V531" s="47">
        <v>11.57</v>
      </c>
      <c r="W531" s="48">
        <v>5.96</v>
      </c>
      <c r="X531" s="130">
        <f t="shared" si="86"/>
        <v>-0.41999999999999993</v>
      </c>
      <c r="Y531" s="16">
        <f t="shared" si="88"/>
        <v>0.80230123565109446</v>
      </c>
      <c r="Z531" s="286" t="s">
        <v>53</v>
      </c>
      <c r="AA531" s="286" t="s">
        <v>53</v>
      </c>
      <c r="AB531" s="16">
        <v>0.80230123565109446</v>
      </c>
      <c r="AC531" s="66" t="s">
        <v>49</v>
      </c>
      <c r="AD531" s="51" t="s">
        <v>472</v>
      </c>
      <c r="AE531" s="13">
        <v>24</v>
      </c>
      <c r="AF531" s="13">
        <v>0</v>
      </c>
      <c r="AG531" s="13">
        <v>0</v>
      </c>
      <c r="AH531" s="134">
        <v>0</v>
      </c>
      <c r="AI531" s="134">
        <v>0</v>
      </c>
      <c r="AJ531" s="135">
        <f t="shared" si="97"/>
        <v>0</v>
      </c>
      <c r="AK531" s="136">
        <f t="shared" si="87"/>
        <v>0</v>
      </c>
      <c r="AL531" s="136" t="str" cm="1">
        <f t="array" ref="AL531">_xlfn.IFS(
AI531&lt;3,"Ligera",
AI531&lt;=6,"Moderada",
AI531&gt;6,"Vigorosa"
)</f>
        <v>Ligera</v>
      </c>
      <c r="AM531" s="45" t="s">
        <v>49</v>
      </c>
      <c r="AN531" s="289" t="s">
        <v>49</v>
      </c>
      <c r="AO531" s="46" t="s">
        <v>49</v>
      </c>
      <c r="AP531" s="289" t="s">
        <v>49</v>
      </c>
      <c r="AQ531" s="139">
        <v>0</v>
      </c>
      <c r="AS531" s="43" t="s">
        <v>473</v>
      </c>
    </row>
    <row r="532" spans="1:45" ht="78.75" customHeight="1" thickBot="1">
      <c r="A532" s="124" t="s">
        <v>471</v>
      </c>
      <c r="B532" s="12">
        <v>127</v>
      </c>
      <c r="C532" s="12">
        <v>79.150000000000006</v>
      </c>
      <c r="D532" s="12">
        <v>50.9</v>
      </c>
      <c r="E532" s="12" t="s">
        <v>45</v>
      </c>
      <c r="F532" s="12" t="s">
        <v>45</v>
      </c>
      <c r="G532" s="12" t="s">
        <v>328</v>
      </c>
      <c r="H532" s="12"/>
      <c r="I532" s="12" t="s">
        <v>45</v>
      </c>
      <c r="J532" s="12">
        <v>2.11</v>
      </c>
      <c r="K532" s="12" t="s">
        <v>49</v>
      </c>
      <c r="L532" s="12" t="s">
        <v>48</v>
      </c>
      <c r="M532" s="11" t="s">
        <v>56</v>
      </c>
      <c r="N532" s="11" t="s">
        <v>57</v>
      </c>
      <c r="O532" s="11" t="s">
        <v>147</v>
      </c>
      <c r="P532" s="11" t="s">
        <v>51</v>
      </c>
      <c r="Q532" s="50" t="s">
        <v>92</v>
      </c>
      <c r="R532" s="47">
        <v>59</v>
      </c>
      <c r="S532" s="48">
        <v>13.56</v>
      </c>
      <c r="T532" s="48">
        <v>5.84</v>
      </c>
      <c r="U532" s="47">
        <v>59</v>
      </c>
      <c r="V532" s="47">
        <v>14.64</v>
      </c>
      <c r="W532" s="48">
        <v>6.43</v>
      </c>
      <c r="X532" s="130">
        <f t="shared" si="86"/>
        <v>1.08</v>
      </c>
      <c r="Y532" s="16">
        <f t="shared" si="88"/>
        <v>0.80147427716000508</v>
      </c>
      <c r="Z532" s="15">
        <f t="shared" si="90"/>
        <v>1.5</v>
      </c>
      <c r="AA532" s="16">
        <f t="shared" si="91"/>
        <v>38.537237499999996</v>
      </c>
      <c r="AB532" s="16">
        <f t="shared" si="92"/>
        <v>1.1635508422083232</v>
      </c>
      <c r="AC532" s="66" t="s">
        <v>49</v>
      </c>
      <c r="AD532" s="51" t="s">
        <v>474</v>
      </c>
      <c r="AE532" s="13">
        <v>24</v>
      </c>
      <c r="AF532" s="13">
        <v>3</v>
      </c>
      <c r="AG532" s="13">
        <v>40</v>
      </c>
      <c r="AH532" s="134">
        <v>205460</v>
      </c>
      <c r="AI532" s="134">
        <v>4.3</v>
      </c>
      <c r="AJ532" s="135">
        <f t="shared" si="97"/>
        <v>172</v>
      </c>
      <c r="AK532" s="136">
        <f t="shared" si="87"/>
        <v>516</v>
      </c>
      <c r="AL532" s="136" t="str" cm="1">
        <f t="array" ref="AL532">_xlfn.IFS(
AI532&lt;3,"Ligera",
AI532&lt;=6,"Moderada",
AI532&gt;6,"Vigorosa"
)</f>
        <v>Moderada</v>
      </c>
      <c r="AM532" s="45" t="s">
        <v>48</v>
      </c>
      <c r="AN532" s="289" t="s">
        <v>60</v>
      </c>
      <c r="AO532" s="46" t="s">
        <v>61</v>
      </c>
      <c r="AP532" s="289" t="s">
        <v>173</v>
      </c>
      <c r="AQ532" s="139">
        <v>0</v>
      </c>
      <c r="AS532" s="43" t="s">
        <v>473</v>
      </c>
    </row>
    <row r="533" spans="1:45" ht="78.599999999999994" customHeight="1" thickBot="1">
      <c r="A533" s="124" t="s">
        <v>471</v>
      </c>
      <c r="B533" s="12">
        <v>127</v>
      </c>
      <c r="C533" s="12">
        <v>79.150000000000006</v>
      </c>
      <c r="D533" s="12">
        <v>50.9</v>
      </c>
      <c r="E533" s="12" t="s">
        <v>45</v>
      </c>
      <c r="F533" s="12" t="s">
        <v>45</v>
      </c>
      <c r="G533" s="12" t="s">
        <v>328</v>
      </c>
      <c r="H533" s="12"/>
      <c r="I533" s="12" t="s">
        <v>45</v>
      </c>
      <c r="J533" s="12">
        <v>2.11</v>
      </c>
      <c r="K533" s="12" t="s">
        <v>49</v>
      </c>
      <c r="L533" s="12" t="s">
        <v>48</v>
      </c>
      <c r="M533" s="11" t="s">
        <v>50</v>
      </c>
      <c r="N533" s="11" t="s">
        <v>50</v>
      </c>
      <c r="O533" s="11" t="s">
        <v>50</v>
      </c>
      <c r="P533" s="11" t="s">
        <v>51</v>
      </c>
      <c r="Q533" s="50" t="s">
        <v>81</v>
      </c>
      <c r="R533" s="47">
        <v>55</v>
      </c>
      <c r="S533" s="48">
        <v>5.35</v>
      </c>
      <c r="T533" s="48">
        <v>4.8499999999999996</v>
      </c>
      <c r="U533" s="47">
        <v>55</v>
      </c>
      <c r="V533" s="47">
        <v>4.82</v>
      </c>
      <c r="W533" s="48">
        <v>4.32</v>
      </c>
      <c r="X533" s="130">
        <f t="shared" si="86"/>
        <v>-0.52999999999999936</v>
      </c>
      <c r="Y533" s="16">
        <f t="shared" si="88"/>
        <v>0.62133141500549227</v>
      </c>
      <c r="Z533" s="286" t="s">
        <v>53</v>
      </c>
      <c r="AA533" s="286" t="s">
        <v>53</v>
      </c>
      <c r="AB533" s="16">
        <v>0.62133141500549227</v>
      </c>
      <c r="AC533" s="66" t="s">
        <v>49</v>
      </c>
      <c r="AD533" s="51" t="s">
        <v>472</v>
      </c>
      <c r="AE533" s="13">
        <v>24</v>
      </c>
      <c r="AF533" s="13">
        <v>0</v>
      </c>
      <c r="AG533" s="13">
        <v>0</v>
      </c>
      <c r="AH533" s="134">
        <v>0</v>
      </c>
      <c r="AI533" s="134">
        <v>0</v>
      </c>
      <c r="AJ533" s="135">
        <f t="shared" si="97"/>
        <v>0</v>
      </c>
      <c r="AK533" s="136">
        <f t="shared" si="87"/>
        <v>0</v>
      </c>
      <c r="AL533" s="136" t="str" cm="1">
        <f t="array" ref="AL533">_xlfn.IFS(
AI533&lt;3,"Ligera",
AI533&lt;=6,"Moderada",
AI533&gt;6,"Vigorosa"
)</f>
        <v>Ligera</v>
      </c>
      <c r="AM533" s="45" t="s">
        <v>49</v>
      </c>
      <c r="AN533" s="289" t="s">
        <v>49</v>
      </c>
      <c r="AO533" s="46" t="s">
        <v>49</v>
      </c>
      <c r="AP533" s="289" t="s">
        <v>49</v>
      </c>
      <c r="AQ533" s="139">
        <v>0</v>
      </c>
      <c r="AS533" s="43" t="s">
        <v>473</v>
      </c>
    </row>
    <row r="534" spans="1:45" ht="78.75" customHeight="1" thickBot="1">
      <c r="A534" s="124" t="s">
        <v>471</v>
      </c>
      <c r="B534" s="12">
        <v>127</v>
      </c>
      <c r="C534" s="12">
        <v>79.150000000000006</v>
      </c>
      <c r="D534" s="12">
        <v>50.9</v>
      </c>
      <c r="E534" s="12" t="s">
        <v>45</v>
      </c>
      <c r="F534" s="12" t="s">
        <v>45</v>
      </c>
      <c r="G534" s="12" t="s">
        <v>328</v>
      </c>
      <c r="H534" s="12"/>
      <c r="I534" s="12" t="s">
        <v>45</v>
      </c>
      <c r="J534" s="12">
        <v>2.11</v>
      </c>
      <c r="K534" s="12" t="s">
        <v>49</v>
      </c>
      <c r="L534" s="12" t="s">
        <v>48</v>
      </c>
      <c r="M534" s="11" t="s">
        <v>56</v>
      </c>
      <c r="N534" s="11" t="s">
        <v>57</v>
      </c>
      <c r="O534" s="11" t="s">
        <v>147</v>
      </c>
      <c r="P534" s="11" t="s">
        <v>51</v>
      </c>
      <c r="Q534" s="50" t="s">
        <v>81</v>
      </c>
      <c r="R534" s="47">
        <v>59</v>
      </c>
      <c r="S534" s="48">
        <v>7.44</v>
      </c>
      <c r="T534" s="48">
        <v>4.95</v>
      </c>
      <c r="U534" s="47">
        <v>59</v>
      </c>
      <c r="V534" s="47">
        <v>9.73</v>
      </c>
      <c r="W534" s="48">
        <v>5.05</v>
      </c>
      <c r="X534" s="130">
        <f t="shared" si="86"/>
        <v>2.29</v>
      </c>
      <c r="Y534" s="16">
        <f t="shared" si="88"/>
        <v>0.65104218926532698</v>
      </c>
      <c r="Z534" s="15">
        <f t="shared" si="90"/>
        <v>2.8199999999999994</v>
      </c>
      <c r="AA534" s="16">
        <f t="shared" si="91"/>
        <v>22.204594642857142</v>
      </c>
      <c r="AB534" s="16">
        <f t="shared" si="92"/>
        <v>0.88321512913940958</v>
      </c>
      <c r="AC534" s="66" t="s">
        <v>49</v>
      </c>
      <c r="AD534" s="51" t="s">
        <v>474</v>
      </c>
      <c r="AE534" s="13">
        <v>24</v>
      </c>
      <c r="AF534" s="13">
        <v>3</v>
      </c>
      <c r="AG534" s="13">
        <v>40</v>
      </c>
      <c r="AH534" s="134">
        <v>205460</v>
      </c>
      <c r="AI534" s="134">
        <v>4.3</v>
      </c>
      <c r="AJ534" s="135">
        <f t="shared" si="97"/>
        <v>172</v>
      </c>
      <c r="AK534" s="136">
        <f t="shared" si="87"/>
        <v>516</v>
      </c>
      <c r="AL534" s="136" t="str" cm="1">
        <f t="array" ref="AL534">_xlfn.IFS(
AI534&lt;3,"Ligera",
AI534&lt;=6,"Moderada",
AI534&gt;6,"Vigorosa"
)</f>
        <v>Moderada</v>
      </c>
      <c r="AM534" s="45" t="s">
        <v>48</v>
      </c>
      <c r="AN534" s="289" t="s">
        <v>60</v>
      </c>
      <c r="AO534" s="46" t="s">
        <v>61</v>
      </c>
      <c r="AP534" s="289" t="s">
        <v>173</v>
      </c>
      <c r="AQ534" s="139">
        <v>0</v>
      </c>
      <c r="AS534" s="43" t="s">
        <v>473</v>
      </c>
    </row>
    <row r="535" spans="1:45" ht="78.599999999999994" customHeight="1" thickBot="1">
      <c r="A535" s="124" t="s">
        <v>471</v>
      </c>
      <c r="B535" s="12">
        <v>127</v>
      </c>
      <c r="C535" s="12">
        <v>79.150000000000006</v>
      </c>
      <c r="D535" s="12">
        <v>50.9</v>
      </c>
      <c r="E535" s="12" t="s">
        <v>45</v>
      </c>
      <c r="F535" s="12" t="s">
        <v>45</v>
      </c>
      <c r="G535" s="12" t="s">
        <v>328</v>
      </c>
      <c r="H535" s="12"/>
      <c r="I535" s="12" t="s">
        <v>45</v>
      </c>
      <c r="J535" s="12">
        <v>2.11</v>
      </c>
      <c r="K535" s="12" t="s">
        <v>49</v>
      </c>
      <c r="L535" s="12" t="s">
        <v>48</v>
      </c>
      <c r="M535" s="11" t="s">
        <v>50</v>
      </c>
      <c r="N535" s="11" t="s">
        <v>50</v>
      </c>
      <c r="O535" s="11" t="s">
        <v>50</v>
      </c>
      <c r="P535" s="11" t="s">
        <v>51</v>
      </c>
      <c r="Q535" s="50" t="s">
        <v>64</v>
      </c>
      <c r="R535" s="47">
        <v>55</v>
      </c>
      <c r="S535" s="48">
        <v>0.89</v>
      </c>
      <c r="T535" s="48">
        <v>2.37</v>
      </c>
      <c r="U535" s="47">
        <v>55</v>
      </c>
      <c r="V535" s="47">
        <v>0.87</v>
      </c>
      <c r="W535" s="48">
        <v>2.23</v>
      </c>
      <c r="X535" s="130">
        <f t="shared" si="86"/>
        <v>-2.0000000000000018E-2</v>
      </c>
      <c r="Y535" s="16">
        <f t="shared" si="88"/>
        <v>0.31056253944912754</v>
      </c>
      <c r="Z535" s="286" t="s">
        <v>53</v>
      </c>
      <c r="AA535" s="286" t="s">
        <v>53</v>
      </c>
      <c r="AB535" s="16">
        <v>0.31056253944912754</v>
      </c>
      <c r="AC535" s="66" t="s">
        <v>49</v>
      </c>
      <c r="AD535" s="51" t="s">
        <v>472</v>
      </c>
      <c r="AE535" s="13">
        <v>24</v>
      </c>
      <c r="AF535" s="13">
        <v>0</v>
      </c>
      <c r="AG535" s="13">
        <v>0</v>
      </c>
      <c r="AH535" s="134">
        <v>0</v>
      </c>
      <c r="AI535" s="134">
        <v>0</v>
      </c>
      <c r="AJ535" s="135">
        <f t="shared" si="97"/>
        <v>0</v>
      </c>
      <c r="AK535" s="136">
        <f t="shared" si="87"/>
        <v>0</v>
      </c>
      <c r="AL535" s="136" t="str" cm="1">
        <f t="array" ref="AL535">_xlfn.IFS(
AI535&lt;3,"Ligera",
AI535&lt;=6,"Moderada",
AI535&gt;6,"Vigorosa"
)</f>
        <v>Ligera</v>
      </c>
      <c r="AM535" s="45" t="s">
        <v>49</v>
      </c>
      <c r="AN535" s="289" t="s">
        <v>49</v>
      </c>
      <c r="AO535" s="46" t="s">
        <v>49</v>
      </c>
      <c r="AP535" s="289" t="s">
        <v>49</v>
      </c>
      <c r="AQ535" s="139">
        <v>0</v>
      </c>
      <c r="AS535" s="43" t="s">
        <v>473</v>
      </c>
    </row>
    <row r="536" spans="1:45" ht="78.75" customHeight="1" thickBot="1">
      <c r="A536" s="124" t="s">
        <v>471</v>
      </c>
      <c r="B536" s="141">
        <v>127</v>
      </c>
      <c r="C536" s="141">
        <v>79.150000000000006</v>
      </c>
      <c r="D536" s="141">
        <v>50.9</v>
      </c>
      <c r="E536" s="141" t="s">
        <v>45</v>
      </c>
      <c r="F536" s="141" t="s">
        <v>45</v>
      </c>
      <c r="G536" s="141" t="s">
        <v>328</v>
      </c>
      <c r="H536" s="141"/>
      <c r="I536" s="141" t="s">
        <v>45</v>
      </c>
      <c r="J536" s="141">
        <v>2.11</v>
      </c>
      <c r="K536" s="141" t="s">
        <v>49</v>
      </c>
      <c r="L536" s="141" t="s">
        <v>48</v>
      </c>
      <c r="M536" s="142" t="s">
        <v>56</v>
      </c>
      <c r="N536" s="142" t="s">
        <v>57</v>
      </c>
      <c r="O536" s="142" t="s">
        <v>147</v>
      </c>
      <c r="P536" s="142" t="s">
        <v>51</v>
      </c>
      <c r="Q536" s="158" t="s">
        <v>64</v>
      </c>
      <c r="R536" s="169">
        <v>59</v>
      </c>
      <c r="S536" s="170">
        <v>1.53</v>
      </c>
      <c r="T536" s="170">
        <v>3.04</v>
      </c>
      <c r="U536" s="169">
        <v>59</v>
      </c>
      <c r="V536" s="169">
        <v>2.58</v>
      </c>
      <c r="W536" s="170">
        <v>4.18</v>
      </c>
      <c r="X536" s="130">
        <f t="shared" si="86"/>
        <v>1.05</v>
      </c>
      <c r="Y536" s="16">
        <f t="shared" si="88"/>
        <v>0.48724058721591385</v>
      </c>
      <c r="Z536" s="15">
        <f t="shared" si="90"/>
        <v>1.07</v>
      </c>
      <c r="AA536" s="16">
        <f t="shared" si="91"/>
        <v>11.445855357142856</v>
      </c>
      <c r="AB536" s="16">
        <f t="shared" si="92"/>
        <v>0.63411671596411268</v>
      </c>
      <c r="AC536" s="66" t="s">
        <v>49</v>
      </c>
      <c r="AD536" s="151" t="s">
        <v>474</v>
      </c>
      <c r="AE536" s="146">
        <v>24</v>
      </c>
      <c r="AF536" s="146">
        <v>3</v>
      </c>
      <c r="AG536" s="146">
        <v>40</v>
      </c>
      <c r="AH536" s="134">
        <v>205460</v>
      </c>
      <c r="AI536" s="134">
        <v>4.3</v>
      </c>
      <c r="AJ536" s="135">
        <f t="shared" si="97"/>
        <v>172</v>
      </c>
      <c r="AK536" s="136">
        <f t="shared" si="87"/>
        <v>516</v>
      </c>
      <c r="AL536" s="136" t="str" cm="1">
        <f t="array" ref="AL536">_xlfn.IFS(
AI536&lt;3,"Ligera",
AI536&lt;=6,"Moderada",
AI536&gt;6,"Vigorosa"
)</f>
        <v>Moderada</v>
      </c>
      <c r="AM536" s="147" t="s">
        <v>48</v>
      </c>
      <c r="AN536" s="290" t="s">
        <v>60</v>
      </c>
      <c r="AO536" s="148" t="s">
        <v>61</v>
      </c>
      <c r="AP536" s="290" t="s">
        <v>173</v>
      </c>
      <c r="AQ536" s="149">
        <v>0</v>
      </c>
      <c r="AS536" s="43" t="s">
        <v>473</v>
      </c>
    </row>
    <row r="537" spans="1:45" ht="78.75" customHeight="1" thickBot="1">
      <c r="A537" s="124" t="s">
        <v>475</v>
      </c>
      <c r="B537" s="125">
        <v>224</v>
      </c>
      <c r="C537" s="125">
        <v>81.2</v>
      </c>
      <c r="D537" s="125">
        <v>16</v>
      </c>
      <c r="E537" s="125" t="s">
        <v>45</v>
      </c>
      <c r="F537" s="125" t="s">
        <v>45</v>
      </c>
      <c r="G537" s="125" t="s">
        <v>476</v>
      </c>
      <c r="H537" s="125"/>
      <c r="I537" s="125" t="s">
        <v>45</v>
      </c>
      <c r="J537" s="125" t="s">
        <v>47</v>
      </c>
      <c r="K537" s="125" t="s">
        <v>49</v>
      </c>
      <c r="L537" s="125" t="s">
        <v>49</v>
      </c>
      <c r="M537" s="126" t="s">
        <v>50</v>
      </c>
      <c r="N537" s="126" t="s">
        <v>50</v>
      </c>
      <c r="O537" s="126" t="s">
        <v>50</v>
      </c>
      <c r="P537" s="126" t="s">
        <v>51</v>
      </c>
      <c r="Q537" s="159" t="s">
        <v>376</v>
      </c>
      <c r="R537" s="167">
        <v>31</v>
      </c>
      <c r="S537" s="168">
        <v>22.8</v>
      </c>
      <c r="T537" s="168">
        <v>8.1999999999999993</v>
      </c>
      <c r="U537" s="167">
        <v>31</v>
      </c>
      <c r="V537" s="167">
        <v>23.6</v>
      </c>
      <c r="W537" s="198">
        <v>9.64</v>
      </c>
      <c r="X537" s="130">
        <f t="shared" si="86"/>
        <v>0.80000000000000071</v>
      </c>
      <c r="Y537" s="16">
        <f t="shared" si="88"/>
        <v>1.617660596803796</v>
      </c>
      <c r="Z537" s="286" t="s">
        <v>53</v>
      </c>
      <c r="AA537" s="286" t="s">
        <v>53</v>
      </c>
      <c r="AB537" s="16">
        <v>1.617660596803796</v>
      </c>
      <c r="AC537" s="66" t="s">
        <v>49</v>
      </c>
      <c r="AD537" s="133" t="s">
        <v>477</v>
      </c>
      <c r="AE537" s="134">
        <v>24</v>
      </c>
      <c r="AF537" s="134">
        <v>0</v>
      </c>
      <c r="AG537" s="134">
        <v>0</v>
      </c>
      <c r="AH537" s="134">
        <v>0</v>
      </c>
      <c r="AI537" s="134">
        <v>0</v>
      </c>
      <c r="AJ537" s="135">
        <f t="shared" si="97"/>
        <v>0</v>
      </c>
      <c r="AK537" s="136">
        <f t="shared" si="87"/>
        <v>0</v>
      </c>
      <c r="AL537" s="136" t="str" cm="1">
        <f t="array" ref="AL537">_xlfn.IFS(
AI537&lt;3,"Ligera",
AI537&lt;=6,"Moderada",
AI537&gt;6,"Vigorosa"
)</f>
        <v>Ligera</v>
      </c>
      <c r="AM537" s="136" t="s">
        <v>49</v>
      </c>
      <c r="AN537" s="288" t="s">
        <v>49</v>
      </c>
      <c r="AO537" s="135" t="s">
        <v>49</v>
      </c>
      <c r="AP537" s="288" t="s">
        <v>49</v>
      </c>
      <c r="AQ537" s="137">
        <v>0</v>
      </c>
      <c r="AS537" s="197" t="s">
        <v>305</v>
      </c>
    </row>
    <row r="538" spans="1:45" ht="78.75" customHeight="1" thickBot="1">
      <c r="A538" s="138" t="s">
        <v>475</v>
      </c>
      <c r="B538" s="12">
        <v>224</v>
      </c>
      <c r="C538" s="12">
        <v>80.900000000000006</v>
      </c>
      <c r="D538" s="12">
        <v>28</v>
      </c>
      <c r="E538" s="12" t="s">
        <v>45</v>
      </c>
      <c r="F538" s="12" t="s">
        <v>45</v>
      </c>
      <c r="G538" s="12" t="s">
        <v>476</v>
      </c>
      <c r="H538" s="12"/>
      <c r="I538" s="12" t="s">
        <v>45</v>
      </c>
      <c r="J538" s="12" t="s">
        <v>47</v>
      </c>
      <c r="K538" s="12" t="s">
        <v>49</v>
      </c>
      <c r="L538" s="12" t="s">
        <v>49</v>
      </c>
      <c r="M538" s="11" t="s">
        <v>56</v>
      </c>
      <c r="N538" s="11" t="s">
        <v>57</v>
      </c>
      <c r="O538" s="11" t="s">
        <v>126</v>
      </c>
      <c r="P538" s="11" t="s">
        <v>51</v>
      </c>
      <c r="Q538" s="50" t="s">
        <v>376</v>
      </c>
      <c r="R538" s="47">
        <v>40</v>
      </c>
      <c r="S538" s="48">
        <v>18.399999999999999</v>
      </c>
      <c r="T538" s="48">
        <v>7.1</v>
      </c>
      <c r="U538" s="47">
        <v>40</v>
      </c>
      <c r="V538" s="47">
        <v>17.7</v>
      </c>
      <c r="W538" s="195">
        <v>8.36</v>
      </c>
      <c r="X538" s="130">
        <f t="shared" si="86"/>
        <v>-0.69999999999999929</v>
      </c>
      <c r="Y538" s="16">
        <f t="shared" si="88"/>
        <v>1.2343378791886763</v>
      </c>
      <c r="Z538" s="15">
        <f t="shared" si="90"/>
        <v>-1.5</v>
      </c>
      <c r="AA538" s="16">
        <f t="shared" si="91"/>
        <v>79.906991304347812</v>
      </c>
      <c r="AB538" s="16">
        <f t="shared" si="92"/>
        <v>2.1389996875628823</v>
      </c>
      <c r="AC538" s="66" t="s">
        <v>49</v>
      </c>
      <c r="AD538" s="51" t="s">
        <v>478</v>
      </c>
      <c r="AE538" s="13">
        <v>24</v>
      </c>
      <c r="AF538" s="13">
        <v>2</v>
      </c>
      <c r="AG538" s="13">
        <v>52.5</v>
      </c>
      <c r="AH538" s="134">
        <v>205460</v>
      </c>
      <c r="AI538" s="134">
        <v>4.3</v>
      </c>
      <c r="AJ538" s="135">
        <f t="shared" si="97"/>
        <v>225.75</v>
      </c>
      <c r="AK538" s="136">
        <f t="shared" si="87"/>
        <v>451.5</v>
      </c>
      <c r="AL538" s="136" t="str" cm="1">
        <f t="array" ref="AL538">_xlfn.IFS(
AI538&lt;3,"Ligera",
AI538&lt;=6,"Moderada",
AI538&gt;6,"Vigorosa"
)</f>
        <v>Moderada</v>
      </c>
      <c r="AM538" s="45" t="s">
        <v>48</v>
      </c>
      <c r="AN538" s="289" t="s">
        <v>60</v>
      </c>
      <c r="AO538" s="46" t="s">
        <v>61</v>
      </c>
      <c r="AP538" s="289" t="s">
        <v>128</v>
      </c>
      <c r="AQ538" s="139">
        <v>0</v>
      </c>
      <c r="AS538" s="197" t="s">
        <v>305</v>
      </c>
    </row>
    <row r="539" spans="1:45" ht="78.75" customHeight="1" thickBot="1">
      <c r="A539" s="138" t="s">
        <v>475</v>
      </c>
      <c r="B539" s="12">
        <v>224</v>
      </c>
      <c r="C539" s="12">
        <v>81.599999999999994</v>
      </c>
      <c r="D539" s="12">
        <v>21</v>
      </c>
      <c r="E539" s="12" t="s">
        <v>45</v>
      </c>
      <c r="F539" s="12" t="s">
        <v>45</v>
      </c>
      <c r="G539" s="12" t="s">
        <v>476</v>
      </c>
      <c r="H539" s="12"/>
      <c r="I539" s="12" t="s">
        <v>45</v>
      </c>
      <c r="J539" s="12" t="s">
        <v>47</v>
      </c>
      <c r="K539" s="12" t="s">
        <v>49</v>
      </c>
      <c r="L539" s="12" t="s">
        <v>49</v>
      </c>
      <c r="M539" s="11" t="s">
        <v>56</v>
      </c>
      <c r="N539" s="11" t="s">
        <v>57</v>
      </c>
      <c r="O539" s="284" t="s">
        <v>208</v>
      </c>
      <c r="P539" s="11" t="s">
        <v>51</v>
      </c>
      <c r="Q539" s="50" t="s">
        <v>376</v>
      </c>
      <c r="R539" s="47">
        <v>44</v>
      </c>
      <c r="S539" s="48">
        <v>20.7</v>
      </c>
      <c r="T539" s="48">
        <v>8.6999999999999993</v>
      </c>
      <c r="U539" s="47">
        <v>44</v>
      </c>
      <c r="V539" s="47">
        <v>22.5</v>
      </c>
      <c r="W539" s="195">
        <v>10.11</v>
      </c>
      <c r="X539" s="130">
        <f t="shared" si="86"/>
        <v>1.8000000000000007</v>
      </c>
      <c r="Y539" s="16">
        <f>SQRT((T539^2+W539^2-(2*0.5*T539*W539)))/SQRT(U539)</f>
        <v>1.4297576081916183</v>
      </c>
      <c r="Z539" s="15">
        <f>X539-X537</f>
        <v>1</v>
      </c>
      <c r="AA539" s="16">
        <f>((U539-1)*W539^2+(U537-1)*W537^2)/((U539-1)+(U537-1))</f>
        <v>98.397373972602736</v>
      </c>
      <c r="AB539" s="16">
        <f>SQRT(AA539*((1/U539)+(1/U537)))</f>
        <v>2.3260294047472154</v>
      </c>
      <c r="AC539" s="66" t="s">
        <v>49</v>
      </c>
      <c r="AD539" s="51" t="s">
        <v>479</v>
      </c>
      <c r="AE539" s="13">
        <v>24</v>
      </c>
      <c r="AF539" s="13">
        <v>2</v>
      </c>
      <c r="AG539" s="13">
        <v>47.5</v>
      </c>
      <c r="AH539" s="134">
        <v>205160</v>
      </c>
      <c r="AI539" s="134">
        <v>3</v>
      </c>
      <c r="AJ539" s="135">
        <f t="shared" si="97"/>
        <v>142.5</v>
      </c>
      <c r="AK539" s="136">
        <f t="shared" si="87"/>
        <v>285</v>
      </c>
      <c r="AL539" s="136" t="str" cm="1">
        <f t="array" ref="AL539">_xlfn.IFS(
AI539&lt;3,"Ligera",
AI539&lt;=6,"Moderada",
AI539&gt;6,"Vigorosa"
)</f>
        <v>Moderada</v>
      </c>
      <c r="AM539" s="45" t="s">
        <v>48</v>
      </c>
      <c r="AN539" s="289" t="s">
        <v>60</v>
      </c>
      <c r="AO539" s="46" t="s">
        <v>61</v>
      </c>
      <c r="AP539" s="289" t="s">
        <v>128</v>
      </c>
      <c r="AQ539" s="139">
        <v>0</v>
      </c>
      <c r="AS539" s="197" t="s">
        <v>305</v>
      </c>
    </row>
    <row r="540" spans="1:45" ht="78.75" customHeight="1" thickBot="1">
      <c r="A540" s="138" t="s">
        <v>475</v>
      </c>
      <c r="B540" s="12">
        <v>224</v>
      </c>
      <c r="C540" s="12">
        <v>80.7</v>
      </c>
      <c r="D540" s="12">
        <v>16</v>
      </c>
      <c r="E540" s="12" t="s">
        <v>45</v>
      </c>
      <c r="F540" s="12" t="s">
        <v>45</v>
      </c>
      <c r="G540" s="12" t="s">
        <v>476</v>
      </c>
      <c r="H540" s="12"/>
      <c r="I540" s="12" t="s">
        <v>45</v>
      </c>
      <c r="J540" s="12" t="s">
        <v>47</v>
      </c>
      <c r="K540" s="12" t="s">
        <v>49</v>
      </c>
      <c r="L540" s="12" t="s">
        <v>49</v>
      </c>
      <c r="M540" s="11" t="s">
        <v>56</v>
      </c>
      <c r="N540" s="11" t="s">
        <v>57</v>
      </c>
      <c r="O540" s="11" t="s">
        <v>126</v>
      </c>
      <c r="P540" s="11" t="s">
        <v>51</v>
      </c>
      <c r="Q540" s="50" t="s">
        <v>376</v>
      </c>
      <c r="R540" s="47">
        <v>44</v>
      </c>
      <c r="S540" s="48">
        <v>21.6</v>
      </c>
      <c r="T540" s="48">
        <v>8.6</v>
      </c>
      <c r="U540" s="47">
        <v>44</v>
      </c>
      <c r="V540" s="47">
        <v>22.2</v>
      </c>
      <c r="W540" s="195">
        <v>10</v>
      </c>
      <c r="X540" s="130">
        <f t="shared" si="86"/>
        <v>0.59999999999999787</v>
      </c>
      <c r="Y540" s="16">
        <f t="shared" si="88"/>
        <v>1.4138921136674145</v>
      </c>
      <c r="Z540" s="15">
        <f>X540-X537</f>
        <v>-0.20000000000000284</v>
      </c>
      <c r="AA540" s="16">
        <f>((U540-1)*W540^2+(U537-1)*W537^2)/((U540-1)+(U537-1))</f>
        <v>97.094356164383569</v>
      </c>
      <c r="AB540" s="16">
        <f>SQRT(AA540*((1/U540)+(1/U537)))</f>
        <v>2.3105769665020022</v>
      </c>
      <c r="AC540" s="66" t="s">
        <v>49</v>
      </c>
      <c r="AD540" s="51" t="s">
        <v>480</v>
      </c>
      <c r="AE540" s="13">
        <v>24</v>
      </c>
      <c r="AF540" s="13">
        <v>2</v>
      </c>
      <c r="AG540" s="13">
        <v>50</v>
      </c>
      <c r="AH540" s="134" t="s">
        <v>481</v>
      </c>
      <c r="AI540" s="134">
        <v>3.65</v>
      </c>
      <c r="AJ540" s="135">
        <f t="shared" si="97"/>
        <v>182.5</v>
      </c>
      <c r="AK540" s="136">
        <f t="shared" si="87"/>
        <v>365</v>
      </c>
      <c r="AL540" s="136" t="str" cm="1">
        <f t="array" ref="AL540">_xlfn.IFS(
AI540&lt;3,"Ligera",
AI540&lt;=6,"Moderada",
AI540&gt;6,"Vigorosa"
)</f>
        <v>Moderada</v>
      </c>
      <c r="AM540" s="45" t="s">
        <v>48</v>
      </c>
      <c r="AN540" s="289" t="s">
        <v>60</v>
      </c>
      <c r="AO540" s="46" t="s">
        <v>61</v>
      </c>
      <c r="AP540" s="289" t="s">
        <v>128</v>
      </c>
      <c r="AQ540" s="139">
        <v>0</v>
      </c>
      <c r="AS540" s="197" t="s">
        <v>305</v>
      </c>
    </row>
    <row r="541" spans="1:45" ht="78.75" customHeight="1" thickBot="1">
      <c r="A541" s="138" t="s">
        <v>475</v>
      </c>
      <c r="B541" s="12">
        <v>224</v>
      </c>
      <c r="C541" s="12">
        <v>81.2</v>
      </c>
      <c r="D541" s="12">
        <v>16</v>
      </c>
      <c r="E541" s="12" t="s">
        <v>45</v>
      </c>
      <c r="F541" s="12" t="s">
        <v>45</v>
      </c>
      <c r="G541" s="12" t="s">
        <v>476</v>
      </c>
      <c r="H541" s="12"/>
      <c r="I541" s="12" t="s">
        <v>45</v>
      </c>
      <c r="J541" s="12" t="s">
        <v>47</v>
      </c>
      <c r="K541" s="12" t="s">
        <v>49</v>
      </c>
      <c r="L541" s="12" t="s">
        <v>49</v>
      </c>
      <c r="M541" s="126" t="s">
        <v>50</v>
      </c>
      <c r="N541" s="126" t="s">
        <v>50</v>
      </c>
      <c r="O541" s="126" t="s">
        <v>50</v>
      </c>
      <c r="P541" s="11" t="s">
        <v>51</v>
      </c>
      <c r="Q541" s="50" t="s">
        <v>289</v>
      </c>
      <c r="R541" s="47">
        <v>31</v>
      </c>
      <c r="S541" s="48">
        <v>15.7</v>
      </c>
      <c r="T541" s="48">
        <v>12.3</v>
      </c>
      <c r="U541" s="47">
        <v>31</v>
      </c>
      <c r="V541" s="47">
        <v>20.6</v>
      </c>
      <c r="W541" s="195">
        <v>18.579999999999998</v>
      </c>
      <c r="X541" s="130">
        <f t="shared" si="86"/>
        <v>4.9000000000000021</v>
      </c>
      <c r="Y541" s="16">
        <f t="shared" si="88"/>
        <v>2.9401141079458015</v>
      </c>
      <c r="Z541" s="286" t="s">
        <v>53</v>
      </c>
      <c r="AA541" s="286" t="s">
        <v>53</v>
      </c>
      <c r="AB541" s="16">
        <v>2.9401141079458015</v>
      </c>
      <c r="AC541" s="66" t="s">
        <v>49</v>
      </c>
      <c r="AD541" s="51" t="s">
        <v>477</v>
      </c>
      <c r="AE541" s="13">
        <v>24</v>
      </c>
      <c r="AF541" s="13">
        <v>0</v>
      </c>
      <c r="AG541" s="13">
        <v>0</v>
      </c>
      <c r="AH541" s="134">
        <v>0</v>
      </c>
      <c r="AI541" s="134">
        <v>0</v>
      </c>
      <c r="AJ541" s="135">
        <f t="shared" si="97"/>
        <v>0</v>
      </c>
      <c r="AK541" s="136">
        <f t="shared" si="87"/>
        <v>0</v>
      </c>
      <c r="AL541" s="136" t="str" cm="1">
        <f t="array" ref="AL541">_xlfn.IFS(
AI541&lt;3,"Ligera",
AI541&lt;=6,"Moderada",
AI541&gt;6,"Vigorosa"
)</f>
        <v>Ligera</v>
      </c>
      <c r="AM541" s="45" t="s">
        <v>49</v>
      </c>
      <c r="AN541" s="289" t="s">
        <v>49</v>
      </c>
      <c r="AO541" s="46" t="s">
        <v>49</v>
      </c>
      <c r="AP541" s="289" t="s">
        <v>49</v>
      </c>
      <c r="AQ541" s="139">
        <v>0</v>
      </c>
      <c r="AS541" s="197" t="s">
        <v>305</v>
      </c>
    </row>
    <row r="542" spans="1:45" ht="78.75" customHeight="1" thickBot="1">
      <c r="A542" s="138" t="s">
        <v>475</v>
      </c>
      <c r="B542" s="12">
        <v>224</v>
      </c>
      <c r="C542" s="12">
        <v>80.900000000000006</v>
      </c>
      <c r="D542" s="12">
        <v>28</v>
      </c>
      <c r="E542" s="12" t="s">
        <v>45</v>
      </c>
      <c r="F542" s="12" t="s">
        <v>45</v>
      </c>
      <c r="G542" s="12" t="s">
        <v>476</v>
      </c>
      <c r="H542" s="12"/>
      <c r="I542" s="12" t="s">
        <v>45</v>
      </c>
      <c r="J542" s="12" t="s">
        <v>47</v>
      </c>
      <c r="K542" s="12" t="s">
        <v>49</v>
      </c>
      <c r="L542" s="12" t="s">
        <v>49</v>
      </c>
      <c r="M542" s="11" t="s">
        <v>56</v>
      </c>
      <c r="N542" s="11" t="s">
        <v>57</v>
      </c>
      <c r="O542" s="11" t="s">
        <v>126</v>
      </c>
      <c r="P542" s="11" t="s">
        <v>51</v>
      </c>
      <c r="Q542" s="50" t="s">
        <v>289</v>
      </c>
      <c r="R542" s="47">
        <v>40</v>
      </c>
      <c r="S542" s="48">
        <v>16.2</v>
      </c>
      <c r="T542" s="48">
        <v>12</v>
      </c>
      <c r="U542" s="47">
        <v>40</v>
      </c>
      <c r="V542" s="47">
        <v>20.6</v>
      </c>
      <c r="W542" s="195">
        <v>17.59</v>
      </c>
      <c r="X542" s="130">
        <f t="shared" si="86"/>
        <v>4.4000000000000021</v>
      </c>
      <c r="Y542" s="16">
        <f t="shared" si="88"/>
        <v>2.4613416057101865</v>
      </c>
      <c r="Z542" s="15">
        <f t="shared" si="90"/>
        <v>-0.5</v>
      </c>
      <c r="AA542" s="16">
        <f t="shared" si="91"/>
        <v>324.9769260869565</v>
      </c>
      <c r="AB542" s="16">
        <f t="shared" si="92"/>
        <v>4.3136469257624981</v>
      </c>
      <c r="AC542" s="66" t="s">
        <v>49</v>
      </c>
      <c r="AD542" s="51" t="s">
        <v>482</v>
      </c>
      <c r="AE542" s="13">
        <v>24</v>
      </c>
      <c r="AF542" s="13">
        <v>2</v>
      </c>
      <c r="AG542" s="13">
        <v>52.5</v>
      </c>
      <c r="AH542" s="134">
        <v>205460</v>
      </c>
      <c r="AI542" s="134">
        <v>4.3</v>
      </c>
      <c r="AJ542" s="135">
        <f t="shared" si="97"/>
        <v>225.75</v>
      </c>
      <c r="AK542" s="136">
        <f t="shared" si="87"/>
        <v>451.5</v>
      </c>
      <c r="AL542" s="136" t="str" cm="1">
        <f t="array" ref="AL542">_xlfn.IFS(
AI542&lt;3,"Ligera",
AI542&lt;=6,"Moderada",
AI542&gt;6,"Vigorosa"
)</f>
        <v>Moderada</v>
      </c>
      <c r="AM542" s="45" t="s">
        <v>48</v>
      </c>
      <c r="AN542" s="289" t="s">
        <v>60</v>
      </c>
      <c r="AO542" s="46" t="s">
        <v>61</v>
      </c>
      <c r="AP542" s="289" t="s">
        <v>128</v>
      </c>
      <c r="AQ542" s="139">
        <v>0</v>
      </c>
      <c r="AS542" s="197" t="s">
        <v>305</v>
      </c>
    </row>
    <row r="543" spans="1:45" ht="78.75" customHeight="1" thickBot="1">
      <c r="A543" s="138" t="s">
        <v>475</v>
      </c>
      <c r="B543" s="12">
        <v>224</v>
      </c>
      <c r="C543" s="12">
        <v>81.599999999999994</v>
      </c>
      <c r="D543" s="12">
        <v>21</v>
      </c>
      <c r="E543" s="12" t="s">
        <v>45</v>
      </c>
      <c r="F543" s="12" t="s">
        <v>45</v>
      </c>
      <c r="G543" s="12" t="s">
        <v>476</v>
      </c>
      <c r="H543" s="12"/>
      <c r="I543" s="12" t="s">
        <v>45</v>
      </c>
      <c r="J543" s="12" t="s">
        <v>47</v>
      </c>
      <c r="K543" s="12" t="s">
        <v>49</v>
      </c>
      <c r="L543" s="12" t="s">
        <v>49</v>
      </c>
      <c r="M543" s="11" t="s">
        <v>56</v>
      </c>
      <c r="N543" s="11" t="s">
        <v>57</v>
      </c>
      <c r="O543" s="284" t="s">
        <v>208</v>
      </c>
      <c r="P543" s="11" t="s">
        <v>51</v>
      </c>
      <c r="Q543" s="50" t="s">
        <v>289</v>
      </c>
      <c r="R543" s="47">
        <v>44</v>
      </c>
      <c r="S543" s="48">
        <v>15.7</v>
      </c>
      <c r="T543" s="48">
        <v>11.64</v>
      </c>
      <c r="U543" s="47">
        <v>44</v>
      </c>
      <c r="V543" s="47">
        <v>17.5</v>
      </c>
      <c r="W543" s="195">
        <v>16.63</v>
      </c>
      <c r="X543" s="130">
        <f t="shared" si="86"/>
        <v>1.8000000000000007</v>
      </c>
      <c r="Y543" s="16">
        <f t="shared" si="88"/>
        <v>2.2282958225350766</v>
      </c>
      <c r="Z543" s="15">
        <f>X543-X541</f>
        <v>-3.1000000000000014</v>
      </c>
      <c r="AA543" s="16">
        <f>((U543-1)*W543^2+(U541-1)*W541^2)/((U543-1)+(U541-1))</f>
        <v>304.77313287671234</v>
      </c>
      <c r="AB543" s="16">
        <f>SQRT(AA543*((1/U543)+(1/U541)))</f>
        <v>4.0936601585810859</v>
      </c>
      <c r="AC543" s="66" t="s">
        <v>49</v>
      </c>
      <c r="AD543" s="51" t="s">
        <v>483</v>
      </c>
      <c r="AE543" s="13">
        <v>24</v>
      </c>
      <c r="AF543" s="13">
        <v>2</v>
      </c>
      <c r="AG543" s="13">
        <v>47.5</v>
      </c>
      <c r="AH543" s="134">
        <v>205160</v>
      </c>
      <c r="AI543" s="134">
        <v>3</v>
      </c>
      <c r="AJ543" s="135">
        <f t="shared" si="97"/>
        <v>142.5</v>
      </c>
      <c r="AK543" s="136">
        <f t="shared" si="87"/>
        <v>285</v>
      </c>
      <c r="AL543" s="136" t="str" cm="1">
        <f t="array" ref="AL543">_xlfn.IFS(
AI543&lt;3,"Ligera",
AI543&lt;=6,"Moderada",
AI543&gt;6,"Vigorosa"
)</f>
        <v>Moderada</v>
      </c>
      <c r="AM543" s="45" t="s">
        <v>48</v>
      </c>
      <c r="AN543" s="289" t="s">
        <v>60</v>
      </c>
      <c r="AO543" s="46" t="s">
        <v>61</v>
      </c>
      <c r="AP543" s="289" t="s">
        <v>128</v>
      </c>
      <c r="AQ543" s="139">
        <v>0</v>
      </c>
      <c r="AS543" s="197" t="s">
        <v>305</v>
      </c>
    </row>
    <row r="544" spans="1:45" ht="78.75" customHeight="1" thickBot="1">
      <c r="A544" s="138" t="s">
        <v>475</v>
      </c>
      <c r="B544" s="12">
        <v>224</v>
      </c>
      <c r="C544" s="12">
        <v>80.7</v>
      </c>
      <c r="D544" s="12">
        <v>16</v>
      </c>
      <c r="E544" s="12" t="s">
        <v>45</v>
      </c>
      <c r="F544" s="12" t="s">
        <v>45</v>
      </c>
      <c r="G544" s="12" t="s">
        <v>476</v>
      </c>
      <c r="H544" s="12"/>
      <c r="I544" s="12" t="s">
        <v>45</v>
      </c>
      <c r="J544" s="12" t="s">
        <v>47</v>
      </c>
      <c r="K544" s="12" t="s">
        <v>49</v>
      </c>
      <c r="L544" s="12" t="s">
        <v>49</v>
      </c>
      <c r="M544" s="11" t="s">
        <v>56</v>
      </c>
      <c r="N544" s="11" t="s">
        <v>57</v>
      </c>
      <c r="O544" s="11" t="s">
        <v>126</v>
      </c>
      <c r="P544" s="11" t="s">
        <v>51</v>
      </c>
      <c r="Q544" s="50" t="s">
        <v>289</v>
      </c>
      <c r="R544" s="47">
        <v>44</v>
      </c>
      <c r="S544" s="48">
        <v>14.2</v>
      </c>
      <c r="T544" s="48">
        <v>10.5</v>
      </c>
      <c r="U544" s="47">
        <v>44</v>
      </c>
      <c r="V544" s="47">
        <v>15.4</v>
      </c>
      <c r="W544" s="195">
        <v>14.95</v>
      </c>
      <c r="X544" s="130">
        <f t="shared" si="86"/>
        <v>1.2000000000000011</v>
      </c>
      <c r="Y544" s="16">
        <f t="shared" si="88"/>
        <v>2.0044127455555292</v>
      </c>
      <c r="Z544" s="15">
        <f>X544-X541</f>
        <v>-3.7000000000000011</v>
      </c>
      <c r="AA544" s="16">
        <f>((U544-1)*W544^2+(U541-1)*W541^2)/((U544-1)+(U541-1))</f>
        <v>273.52191095890407</v>
      </c>
      <c r="AB544" s="16">
        <f>SQRT(AA544*((1/U544)+(1/U541)))</f>
        <v>3.878104500594981</v>
      </c>
      <c r="AC544" s="66" t="s">
        <v>49</v>
      </c>
      <c r="AD544" s="51" t="s">
        <v>480</v>
      </c>
      <c r="AE544" s="13">
        <v>24</v>
      </c>
      <c r="AF544" s="13">
        <v>2</v>
      </c>
      <c r="AG544" s="13">
        <v>50</v>
      </c>
      <c r="AH544" s="134" t="s">
        <v>481</v>
      </c>
      <c r="AI544" s="134">
        <v>3.65</v>
      </c>
      <c r="AJ544" s="135">
        <f t="shared" si="97"/>
        <v>182.5</v>
      </c>
      <c r="AK544" s="136">
        <f t="shared" si="87"/>
        <v>365</v>
      </c>
      <c r="AL544" s="136" t="str" cm="1">
        <f t="array" ref="AL544">_xlfn.IFS(
AI544&lt;3,"Ligera",
AI544&lt;=6,"Moderada",
AI544&gt;6,"Vigorosa"
)</f>
        <v>Moderada</v>
      </c>
      <c r="AM544" s="45" t="s">
        <v>48</v>
      </c>
      <c r="AN544" s="289" t="s">
        <v>60</v>
      </c>
      <c r="AO544" s="46" t="s">
        <v>61</v>
      </c>
      <c r="AP544" s="289" t="s">
        <v>128</v>
      </c>
      <c r="AQ544" s="139">
        <v>0</v>
      </c>
      <c r="AS544" s="197" t="s">
        <v>305</v>
      </c>
    </row>
    <row r="545" spans="1:45" ht="78.75" customHeight="1" thickBot="1">
      <c r="A545" s="138" t="s">
        <v>475</v>
      </c>
      <c r="B545" s="12">
        <v>224</v>
      </c>
      <c r="C545" s="12">
        <v>81.2</v>
      </c>
      <c r="D545" s="12">
        <v>16</v>
      </c>
      <c r="E545" s="12" t="s">
        <v>45</v>
      </c>
      <c r="F545" s="12" t="s">
        <v>45</v>
      </c>
      <c r="G545" s="12" t="s">
        <v>476</v>
      </c>
      <c r="H545" s="12"/>
      <c r="I545" s="12" t="s">
        <v>45</v>
      </c>
      <c r="J545" s="12" t="s">
        <v>47</v>
      </c>
      <c r="K545" s="12" t="s">
        <v>49</v>
      </c>
      <c r="L545" s="12" t="s">
        <v>49</v>
      </c>
      <c r="M545" s="126" t="s">
        <v>50</v>
      </c>
      <c r="N545" s="126" t="s">
        <v>50</v>
      </c>
      <c r="O545" s="126" t="s">
        <v>50</v>
      </c>
      <c r="P545" s="11" t="s">
        <v>51</v>
      </c>
      <c r="Q545" s="50" t="s">
        <v>226</v>
      </c>
      <c r="R545" s="47">
        <v>31</v>
      </c>
      <c r="S545" s="48">
        <v>8</v>
      </c>
      <c r="T545" s="48">
        <v>7.8</v>
      </c>
      <c r="U545" s="47">
        <v>31</v>
      </c>
      <c r="V545" s="47">
        <v>11.1</v>
      </c>
      <c r="W545" s="195">
        <v>12.12</v>
      </c>
      <c r="X545" s="130">
        <f t="shared" si="86"/>
        <v>3.0999999999999996</v>
      </c>
      <c r="Y545" s="16">
        <f t="shared" si="88"/>
        <v>1.9109058821204619</v>
      </c>
      <c r="Z545" s="286" t="s">
        <v>53</v>
      </c>
      <c r="AA545" s="286" t="s">
        <v>53</v>
      </c>
      <c r="AB545" s="16">
        <v>1.9109058821204619</v>
      </c>
      <c r="AC545" s="66" t="s">
        <v>49</v>
      </c>
      <c r="AD545" s="51" t="s">
        <v>477</v>
      </c>
      <c r="AE545" s="13">
        <v>24</v>
      </c>
      <c r="AF545" s="13">
        <v>0</v>
      </c>
      <c r="AG545" s="13">
        <v>0</v>
      </c>
      <c r="AH545" s="134">
        <v>0</v>
      </c>
      <c r="AI545" s="134">
        <v>0</v>
      </c>
      <c r="AJ545" s="135">
        <f t="shared" si="97"/>
        <v>0</v>
      </c>
      <c r="AK545" s="136">
        <f t="shared" si="87"/>
        <v>0</v>
      </c>
      <c r="AL545" s="136" t="str" cm="1">
        <f t="array" ref="AL545">_xlfn.IFS(
AI545&lt;3,"Ligera",
AI545&lt;=6,"Moderada",
AI545&gt;6,"Vigorosa"
)</f>
        <v>Ligera</v>
      </c>
      <c r="AM545" s="45" t="s">
        <v>49</v>
      </c>
      <c r="AN545" s="289" t="s">
        <v>49</v>
      </c>
      <c r="AO545" s="46" t="s">
        <v>49</v>
      </c>
      <c r="AP545" s="289" t="s">
        <v>49</v>
      </c>
      <c r="AQ545" s="139">
        <v>0</v>
      </c>
      <c r="AS545" s="197" t="s">
        <v>305</v>
      </c>
    </row>
    <row r="546" spans="1:45" ht="78.75" customHeight="1" thickBot="1">
      <c r="A546" s="138" t="s">
        <v>475</v>
      </c>
      <c r="B546" s="12">
        <v>224</v>
      </c>
      <c r="C546" s="12">
        <v>80.900000000000006</v>
      </c>
      <c r="D546" s="12">
        <v>28</v>
      </c>
      <c r="E546" s="12" t="s">
        <v>45</v>
      </c>
      <c r="F546" s="12" t="s">
        <v>45</v>
      </c>
      <c r="G546" s="12" t="s">
        <v>476</v>
      </c>
      <c r="H546" s="12"/>
      <c r="I546" s="12" t="s">
        <v>45</v>
      </c>
      <c r="J546" s="12" t="s">
        <v>47</v>
      </c>
      <c r="K546" s="12" t="s">
        <v>49</v>
      </c>
      <c r="L546" s="12" t="s">
        <v>49</v>
      </c>
      <c r="M546" s="11" t="s">
        <v>56</v>
      </c>
      <c r="N546" s="11" t="s">
        <v>57</v>
      </c>
      <c r="O546" s="11" t="s">
        <v>126</v>
      </c>
      <c r="P546" s="11" t="s">
        <v>51</v>
      </c>
      <c r="Q546" s="50" t="s">
        <v>226</v>
      </c>
      <c r="R546" s="47">
        <v>40</v>
      </c>
      <c r="S546" s="48">
        <v>8</v>
      </c>
      <c r="T546" s="48">
        <v>7.9</v>
      </c>
      <c r="U546" s="47">
        <v>40</v>
      </c>
      <c r="V546" s="47">
        <v>9</v>
      </c>
      <c r="W546" s="195">
        <v>10.74</v>
      </c>
      <c r="X546" s="130">
        <f t="shared" si="86"/>
        <v>1</v>
      </c>
      <c r="Y546" s="16">
        <f t="shared" si="88"/>
        <v>1.5240702083565574</v>
      </c>
      <c r="Z546" s="15">
        <f t="shared" si="90"/>
        <v>-2.0999999999999996</v>
      </c>
      <c r="AA546" s="16">
        <f t="shared" si="91"/>
        <v>129.06360000000001</v>
      </c>
      <c r="AB546" s="16">
        <f t="shared" si="92"/>
        <v>2.7184429248163133</v>
      </c>
      <c r="AC546" s="66" t="s">
        <v>49</v>
      </c>
      <c r="AD546" s="51" t="s">
        <v>482</v>
      </c>
      <c r="AE546" s="13">
        <v>24</v>
      </c>
      <c r="AF546" s="13">
        <v>2</v>
      </c>
      <c r="AG546" s="13">
        <v>52.5</v>
      </c>
      <c r="AH546" s="134">
        <v>205460</v>
      </c>
      <c r="AI546" s="134">
        <v>4.3</v>
      </c>
      <c r="AJ546" s="135">
        <f t="shared" si="97"/>
        <v>225.75</v>
      </c>
      <c r="AK546" s="136">
        <f t="shared" si="87"/>
        <v>451.5</v>
      </c>
      <c r="AL546" s="136" t="str" cm="1">
        <f t="array" ref="AL546">_xlfn.IFS(
AI546&lt;3,"Ligera",
AI546&lt;=6,"Moderada",
AI546&gt;6,"Vigorosa"
)</f>
        <v>Moderada</v>
      </c>
      <c r="AM546" s="45" t="s">
        <v>48</v>
      </c>
      <c r="AN546" s="289" t="s">
        <v>60</v>
      </c>
      <c r="AO546" s="46" t="s">
        <v>61</v>
      </c>
      <c r="AP546" s="289" t="s">
        <v>128</v>
      </c>
      <c r="AQ546" s="139">
        <v>0</v>
      </c>
      <c r="AS546" s="197" t="s">
        <v>305</v>
      </c>
    </row>
    <row r="547" spans="1:45" ht="78.75" customHeight="1" thickBot="1">
      <c r="A547" s="138" t="s">
        <v>475</v>
      </c>
      <c r="B547" s="12">
        <v>224</v>
      </c>
      <c r="C547" s="12">
        <v>81.599999999999994</v>
      </c>
      <c r="D547" s="12">
        <v>21</v>
      </c>
      <c r="E547" s="12" t="s">
        <v>45</v>
      </c>
      <c r="F547" s="12" t="s">
        <v>45</v>
      </c>
      <c r="G547" s="12" t="s">
        <v>476</v>
      </c>
      <c r="H547" s="12"/>
      <c r="I547" s="12" t="s">
        <v>45</v>
      </c>
      <c r="J547" s="12" t="s">
        <v>47</v>
      </c>
      <c r="K547" s="12" t="s">
        <v>49</v>
      </c>
      <c r="L547" s="12" t="s">
        <v>49</v>
      </c>
      <c r="M547" s="11" t="s">
        <v>56</v>
      </c>
      <c r="N547" s="11" t="s">
        <v>57</v>
      </c>
      <c r="O547" s="284" t="s">
        <v>208</v>
      </c>
      <c r="P547" s="11" t="s">
        <v>51</v>
      </c>
      <c r="Q547" s="50" t="s">
        <v>226</v>
      </c>
      <c r="R547" s="47">
        <v>44</v>
      </c>
      <c r="S547" s="48">
        <v>8.6999999999999993</v>
      </c>
      <c r="T547" s="48">
        <v>9.1999999999999993</v>
      </c>
      <c r="U547" s="47">
        <v>44</v>
      </c>
      <c r="V547" s="47">
        <v>9.1</v>
      </c>
      <c r="W547" s="195">
        <v>12.39</v>
      </c>
      <c r="X547" s="130">
        <f t="shared" si="86"/>
        <v>0.40000000000000036</v>
      </c>
      <c r="Y547" s="16">
        <f t="shared" si="88"/>
        <v>1.6798545662158864</v>
      </c>
      <c r="Z547" s="15">
        <f>X547-X545</f>
        <v>-2.6999999999999993</v>
      </c>
      <c r="AA547" s="16">
        <f>((U547-1)*W547^2+(U545-1)*W545^2)/((U547-1)+(U545-1))</f>
        <v>150.79249726027396</v>
      </c>
      <c r="AB547" s="16">
        <f>SQRT(AA547*((1/U547)+(1/U545)))</f>
        <v>2.879475006946735</v>
      </c>
      <c r="AC547" s="66" t="s">
        <v>49</v>
      </c>
      <c r="AD547" s="51" t="s">
        <v>483</v>
      </c>
      <c r="AE547" s="13">
        <v>24</v>
      </c>
      <c r="AF547" s="13">
        <v>2</v>
      </c>
      <c r="AG547" s="13">
        <v>47.5</v>
      </c>
      <c r="AH547" s="134">
        <v>205160</v>
      </c>
      <c r="AI547" s="134">
        <v>3</v>
      </c>
      <c r="AJ547" s="135">
        <f t="shared" si="97"/>
        <v>142.5</v>
      </c>
      <c r="AK547" s="136">
        <f t="shared" si="87"/>
        <v>285</v>
      </c>
      <c r="AL547" s="136" t="str" cm="1">
        <f t="array" ref="AL547">_xlfn.IFS(
AI547&lt;3,"Ligera",
AI547&lt;=6,"Moderada",
AI547&gt;6,"Vigorosa"
)</f>
        <v>Moderada</v>
      </c>
      <c r="AM547" s="45" t="s">
        <v>48</v>
      </c>
      <c r="AN547" s="289" t="s">
        <v>60</v>
      </c>
      <c r="AO547" s="46" t="s">
        <v>61</v>
      </c>
      <c r="AP547" s="289" t="s">
        <v>128</v>
      </c>
      <c r="AQ547" s="139">
        <v>0</v>
      </c>
      <c r="AS547" s="197" t="s">
        <v>305</v>
      </c>
    </row>
    <row r="548" spans="1:45" ht="78.75" customHeight="1" thickBot="1">
      <c r="A548" s="138" t="s">
        <v>475</v>
      </c>
      <c r="B548" s="12">
        <v>224</v>
      </c>
      <c r="C548" s="12">
        <v>80.7</v>
      </c>
      <c r="D548" s="12">
        <v>16</v>
      </c>
      <c r="E548" s="12" t="s">
        <v>45</v>
      </c>
      <c r="F548" s="12" t="s">
        <v>45</v>
      </c>
      <c r="G548" s="12" t="s">
        <v>476</v>
      </c>
      <c r="H548" s="12"/>
      <c r="I548" s="12" t="s">
        <v>45</v>
      </c>
      <c r="J548" s="12" t="s">
        <v>47</v>
      </c>
      <c r="K548" s="12" t="s">
        <v>49</v>
      </c>
      <c r="L548" s="12" t="s">
        <v>49</v>
      </c>
      <c r="M548" s="11" t="s">
        <v>56</v>
      </c>
      <c r="N548" s="11" t="s">
        <v>57</v>
      </c>
      <c r="O548" s="11" t="s">
        <v>126</v>
      </c>
      <c r="P548" s="11" t="s">
        <v>51</v>
      </c>
      <c r="Q548" s="50" t="s">
        <v>226</v>
      </c>
      <c r="R548" s="47">
        <v>44</v>
      </c>
      <c r="S548" s="48">
        <v>7.2</v>
      </c>
      <c r="T548" s="48">
        <v>8.1999999999999993</v>
      </c>
      <c r="U548" s="47">
        <v>44</v>
      </c>
      <c r="V548" s="47">
        <v>8.4</v>
      </c>
      <c r="W548" s="196">
        <v>11.08</v>
      </c>
      <c r="X548" s="130">
        <f t="shared" si="86"/>
        <v>1.2000000000000002</v>
      </c>
      <c r="Y548" s="16">
        <f t="shared" si="88"/>
        <v>1.5011389615282731</v>
      </c>
      <c r="Z548" s="15">
        <f>X548-X545</f>
        <v>-1.8999999999999995</v>
      </c>
      <c r="AA548" s="16">
        <f>((U548-1)*W548^2+(U545-1)*W545^2)/((U548-1)+(U545-1))</f>
        <v>132.68201643835616</v>
      </c>
      <c r="AB548" s="16">
        <f>SQRT(AA548*((1/U548)+(1/U545)))</f>
        <v>2.7010304367032942</v>
      </c>
      <c r="AC548" s="66" t="s">
        <v>49</v>
      </c>
      <c r="AD548" s="51" t="s">
        <v>480</v>
      </c>
      <c r="AE548" s="13">
        <v>24</v>
      </c>
      <c r="AF548" s="13">
        <v>2</v>
      </c>
      <c r="AG548" s="13">
        <v>50</v>
      </c>
      <c r="AH548" s="134" t="s">
        <v>481</v>
      </c>
      <c r="AI548" s="134">
        <v>3.65</v>
      </c>
      <c r="AJ548" s="135">
        <f t="shared" si="97"/>
        <v>182.5</v>
      </c>
      <c r="AK548" s="136">
        <f t="shared" si="87"/>
        <v>365</v>
      </c>
      <c r="AL548" s="136" t="str" cm="1">
        <f t="array" ref="AL548">_xlfn.IFS(
AI548&lt;3,"Ligera",
AI548&lt;=6,"Moderada",
AI548&gt;6,"Vigorosa"
)</f>
        <v>Moderada</v>
      </c>
      <c r="AM548" s="45" t="s">
        <v>48</v>
      </c>
      <c r="AN548" s="289" t="s">
        <v>60</v>
      </c>
      <c r="AO548" s="46" t="s">
        <v>61</v>
      </c>
      <c r="AP548" s="289" t="s">
        <v>128</v>
      </c>
      <c r="AQ548" s="139">
        <v>0</v>
      </c>
      <c r="AS548" s="197" t="s">
        <v>305</v>
      </c>
    </row>
    <row r="549" spans="1:45" ht="78.75" customHeight="1" thickBot="1">
      <c r="A549" s="138" t="s">
        <v>475</v>
      </c>
      <c r="B549" s="12">
        <v>224</v>
      </c>
      <c r="C549" s="12">
        <v>81.2</v>
      </c>
      <c r="D549" s="12">
        <v>16</v>
      </c>
      <c r="E549" s="12" t="s">
        <v>45</v>
      </c>
      <c r="F549" s="12" t="s">
        <v>45</v>
      </c>
      <c r="G549" s="12" t="s">
        <v>476</v>
      </c>
      <c r="H549" s="12"/>
      <c r="I549" s="12" t="s">
        <v>45</v>
      </c>
      <c r="J549" s="12" t="s">
        <v>47</v>
      </c>
      <c r="K549" s="12" t="s">
        <v>49</v>
      </c>
      <c r="L549" s="12" t="s">
        <v>49</v>
      </c>
      <c r="M549" s="126" t="s">
        <v>50</v>
      </c>
      <c r="N549" s="126" t="s">
        <v>50</v>
      </c>
      <c r="O549" s="126" t="s">
        <v>50</v>
      </c>
      <c r="P549" s="11" t="s">
        <v>51</v>
      </c>
      <c r="Q549" s="50" t="s">
        <v>149</v>
      </c>
      <c r="R549" s="47">
        <v>31</v>
      </c>
      <c r="S549" s="48">
        <v>20.8</v>
      </c>
      <c r="T549" s="48">
        <v>6.3</v>
      </c>
      <c r="U549" s="47">
        <v>31</v>
      </c>
      <c r="V549" s="47">
        <v>18.2</v>
      </c>
      <c r="W549" s="195">
        <v>7.35</v>
      </c>
      <c r="X549" s="130">
        <f t="shared" si="86"/>
        <v>-2.6000000000000014</v>
      </c>
      <c r="Y549" s="16">
        <f t="shared" si="88"/>
        <v>1.2366382630132333</v>
      </c>
      <c r="Z549" s="286" t="s">
        <v>53</v>
      </c>
      <c r="AA549" s="286" t="s">
        <v>53</v>
      </c>
      <c r="AB549" s="16">
        <v>1.2366382630132333</v>
      </c>
      <c r="AC549" s="66" t="s">
        <v>48</v>
      </c>
      <c r="AD549" s="51" t="s">
        <v>477</v>
      </c>
      <c r="AE549" s="13">
        <v>24</v>
      </c>
      <c r="AF549" s="13">
        <v>0</v>
      </c>
      <c r="AG549" s="13">
        <v>0</v>
      </c>
      <c r="AH549" s="134">
        <v>0</v>
      </c>
      <c r="AI549" s="134">
        <v>0</v>
      </c>
      <c r="AJ549" s="135">
        <f t="shared" si="97"/>
        <v>0</v>
      </c>
      <c r="AK549" s="136">
        <f t="shared" si="87"/>
        <v>0</v>
      </c>
      <c r="AL549" s="136" t="str" cm="1">
        <f t="array" ref="AL549">_xlfn.IFS(
AI549&lt;3,"Ligera",
AI549&lt;=6,"Moderada",
AI549&gt;6,"Vigorosa"
)</f>
        <v>Ligera</v>
      </c>
      <c r="AM549" s="45" t="s">
        <v>49</v>
      </c>
      <c r="AN549" s="289" t="s">
        <v>49</v>
      </c>
      <c r="AO549" s="46" t="s">
        <v>49</v>
      </c>
      <c r="AP549" s="289" t="s">
        <v>49</v>
      </c>
      <c r="AQ549" s="139">
        <v>0</v>
      </c>
      <c r="AS549" s="197" t="s">
        <v>305</v>
      </c>
    </row>
    <row r="550" spans="1:45" ht="78.75" customHeight="1" thickBot="1">
      <c r="A550" s="138" t="s">
        <v>475</v>
      </c>
      <c r="B550" s="12">
        <v>224</v>
      </c>
      <c r="C550" s="12">
        <v>80.900000000000006</v>
      </c>
      <c r="D550" s="12">
        <v>28</v>
      </c>
      <c r="E550" s="12" t="s">
        <v>45</v>
      </c>
      <c r="F550" s="12" t="s">
        <v>45</v>
      </c>
      <c r="G550" s="12" t="s">
        <v>476</v>
      </c>
      <c r="H550" s="12"/>
      <c r="I550" s="12" t="s">
        <v>45</v>
      </c>
      <c r="J550" s="12" t="s">
        <v>47</v>
      </c>
      <c r="K550" s="12" t="s">
        <v>49</v>
      </c>
      <c r="L550" s="12" t="s">
        <v>49</v>
      </c>
      <c r="M550" s="11" t="s">
        <v>56</v>
      </c>
      <c r="N550" s="11" t="s">
        <v>57</v>
      </c>
      <c r="O550" s="11" t="s">
        <v>126</v>
      </c>
      <c r="P550" s="11" t="s">
        <v>51</v>
      </c>
      <c r="Q550" s="50" t="s">
        <v>149</v>
      </c>
      <c r="R550" s="47">
        <v>40</v>
      </c>
      <c r="S550" s="48">
        <v>24.66</v>
      </c>
      <c r="T550" s="48">
        <v>9.9</v>
      </c>
      <c r="U550" s="47">
        <v>40</v>
      </c>
      <c r="V550" s="47">
        <v>22.6</v>
      </c>
      <c r="W550" s="195">
        <v>11.75</v>
      </c>
      <c r="X550" s="130">
        <f t="shared" si="86"/>
        <v>-2.0599999999999987</v>
      </c>
      <c r="Y550" s="16">
        <f t="shared" si="88"/>
        <v>1.7302275861862797</v>
      </c>
      <c r="Z550" s="15">
        <f t="shared" si="90"/>
        <v>0.5400000000000027</v>
      </c>
      <c r="AA550" s="16">
        <f t="shared" si="91"/>
        <v>101.52336956521738</v>
      </c>
      <c r="AB550" s="16">
        <f t="shared" si="92"/>
        <v>2.4110229456519128</v>
      </c>
      <c r="AC550" s="66" t="s">
        <v>48</v>
      </c>
      <c r="AD550" s="51" t="s">
        <v>482</v>
      </c>
      <c r="AE550" s="13">
        <v>24</v>
      </c>
      <c r="AF550" s="13">
        <v>2</v>
      </c>
      <c r="AG550" s="13">
        <v>52.5</v>
      </c>
      <c r="AH550" s="134">
        <v>205460</v>
      </c>
      <c r="AI550" s="134">
        <v>4.3</v>
      </c>
      <c r="AJ550" s="135">
        <f t="shared" si="97"/>
        <v>225.75</v>
      </c>
      <c r="AK550" s="136">
        <f t="shared" si="87"/>
        <v>451.5</v>
      </c>
      <c r="AL550" s="136" t="str" cm="1">
        <f t="array" ref="AL550">_xlfn.IFS(
AI550&lt;3,"Ligera",
AI550&lt;=6,"Moderada",
AI550&gt;6,"Vigorosa"
)</f>
        <v>Moderada</v>
      </c>
      <c r="AM550" s="45" t="s">
        <v>48</v>
      </c>
      <c r="AN550" s="289" t="s">
        <v>60</v>
      </c>
      <c r="AO550" s="46" t="s">
        <v>61</v>
      </c>
      <c r="AP550" s="289" t="s">
        <v>128</v>
      </c>
      <c r="AQ550" s="139">
        <v>0</v>
      </c>
      <c r="AS550" s="197" t="s">
        <v>305</v>
      </c>
    </row>
    <row r="551" spans="1:45" ht="78.75" customHeight="1" thickBot="1">
      <c r="A551" s="138" t="s">
        <v>475</v>
      </c>
      <c r="B551" s="12">
        <v>224</v>
      </c>
      <c r="C551" s="12">
        <v>81.599999999999994</v>
      </c>
      <c r="D551" s="12">
        <v>21</v>
      </c>
      <c r="E551" s="12" t="s">
        <v>45</v>
      </c>
      <c r="F551" s="12" t="s">
        <v>45</v>
      </c>
      <c r="G551" s="12" t="s">
        <v>476</v>
      </c>
      <c r="H551" s="12"/>
      <c r="I551" s="12" t="s">
        <v>45</v>
      </c>
      <c r="J551" s="12" t="s">
        <v>47</v>
      </c>
      <c r="K551" s="12" t="s">
        <v>49</v>
      </c>
      <c r="L551" s="12" t="s">
        <v>49</v>
      </c>
      <c r="M551" s="11" t="s">
        <v>56</v>
      </c>
      <c r="N551" s="11" t="s">
        <v>57</v>
      </c>
      <c r="O551" s="284" t="s">
        <v>208</v>
      </c>
      <c r="P551" s="11" t="s">
        <v>51</v>
      </c>
      <c r="Q551" s="50" t="s">
        <v>149</v>
      </c>
      <c r="R551" s="47">
        <v>44</v>
      </c>
      <c r="S551" s="48">
        <v>25.2</v>
      </c>
      <c r="T551" s="48">
        <v>10.199999999999999</v>
      </c>
      <c r="U551" s="47">
        <v>44</v>
      </c>
      <c r="V551" s="47">
        <v>22.5</v>
      </c>
      <c r="W551" s="195">
        <v>11.85</v>
      </c>
      <c r="X551" s="130">
        <f t="shared" si="86"/>
        <v>-2.6999999999999993</v>
      </c>
      <c r="Y551" s="16">
        <f t="shared" si="88"/>
        <v>1.6759834290784184</v>
      </c>
      <c r="Z551" s="15">
        <f>X551-X549</f>
        <v>-9.9999999999997868E-2</v>
      </c>
      <c r="AA551" s="16">
        <f>((U551-1)*W551^2+(U549-1)*W549^2)/((U551-1)+(U549-1))</f>
        <v>104.91565068493149</v>
      </c>
      <c r="AB551" s="16">
        <f>SQRT(AA551*((1/U551)+(1/U549)))</f>
        <v>2.4018373040282919</v>
      </c>
      <c r="AC551" s="66" t="s">
        <v>48</v>
      </c>
      <c r="AD551" s="51" t="s">
        <v>483</v>
      </c>
      <c r="AE551" s="13">
        <v>24</v>
      </c>
      <c r="AF551" s="13">
        <v>2</v>
      </c>
      <c r="AG551" s="13">
        <v>47.5</v>
      </c>
      <c r="AH551" s="134">
        <v>205160</v>
      </c>
      <c r="AI551" s="134">
        <v>3</v>
      </c>
      <c r="AJ551" s="135">
        <f t="shared" si="97"/>
        <v>142.5</v>
      </c>
      <c r="AK551" s="136">
        <f t="shared" si="87"/>
        <v>285</v>
      </c>
      <c r="AL551" s="136" t="str" cm="1">
        <f t="array" ref="AL551">_xlfn.IFS(
AI551&lt;3,"Ligera",
AI551&lt;=6,"Moderada",
AI551&gt;6,"Vigorosa"
)</f>
        <v>Moderada</v>
      </c>
      <c r="AM551" s="45" t="s">
        <v>48</v>
      </c>
      <c r="AN551" s="289" t="s">
        <v>60</v>
      </c>
      <c r="AO551" s="46" t="s">
        <v>61</v>
      </c>
      <c r="AP551" s="289" t="s">
        <v>128</v>
      </c>
      <c r="AQ551" s="139">
        <v>0</v>
      </c>
      <c r="AS551" s="197" t="s">
        <v>305</v>
      </c>
    </row>
    <row r="552" spans="1:45" ht="78.75" customHeight="1" thickBot="1">
      <c r="A552" s="138" t="s">
        <v>475</v>
      </c>
      <c r="B552" s="12">
        <v>224</v>
      </c>
      <c r="C552" s="12">
        <v>80.7</v>
      </c>
      <c r="D552" s="12">
        <v>16</v>
      </c>
      <c r="E552" s="12" t="s">
        <v>45</v>
      </c>
      <c r="F552" s="12" t="s">
        <v>45</v>
      </c>
      <c r="G552" s="12" t="s">
        <v>476</v>
      </c>
      <c r="H552" s="12"/>
      <c r="I552" s="12" t="s">
        <v>45</v>
      </c>
      <c r="J552" s="12" t="s">
        <v>47</v>
      </c>
      <c r="K552" s="12" t="s">
        <v>49</v>
      </c>
      <c r="L552" s="12" t="s">
        <v>49</v>
      </c>
      <c r="M552" s="11" t="s">
        <v>56</v>
      </c>
      <c r="N552" s="11" t="s">
        <v>57</v>
      </c>
      <c r="O552" s="11" t="s">
        <v>126</v>
      </c>
      <c r="P552" s="11" t="s">
        <v>51</v>
      </c>
      <c r="Q552" s="50" t="s">
        <v>149</v>
      </c>
      <c r="R552" s="47">
        <v>44</v>
      </c>
      <c r="S552" s="48">
        <v>25.8</v>
      </c>
      <c r="T552" s="48">
        <v>18.100000000000001</v>
      </c>
      <c r="U552" s="47">
        <v>44</v>
      </c>
      <c r="V552" s="47">
        <v>21.1</v>
      </c>
      <c r="W552" s="195">
        <v>21.55</v>
      </c>
      <c r="X552" s="130">
        <f t="shared" si="86"/>
        <v>-4.6999999999999993</v>
      </c>
      <c r="Y552" s="16">
        <f t="shared" si="88"/>
        <v>3.0224820474690541</v>
      </c>
      <c r="Z552" s="15">
        <f>X552-X549</f>
        <v>-2.0999999999999979</v>
      </c>
      <c r="AA552" s="16">
        <f>((U552-1)*W552^2+(U549-1)*W549^2)/((U552-1)+(U549-1))</f>
        <v>295.75318493150689</v>
      </c>
      <c r="AB552" s="16">
        <f>SQRT(AA552*((1/U552)+(1/U549)))</f>
        <v>4.0326280034574324</v>
      </c>
      <c r="AC552" s="66" t="s">
        <v>48</v>
      </c>
      <c r="AD552" s="51" t="s">
        <v>480</v>
      </c>
      <c r="AE552" s="13">
        <v>24</v>
      </c>
      <c r="AF552" s="13">
        <v>2</v>
      </c>
      <c r="AG552" s="13">
        <v>50</v>
      </c>
      <c r="AH552" s="134" t="s">
        <v>481</v>
      </c>
      <c r="AI552" s="134">
        <v>3.65</v>
      </c>
      <c r="AJ552" s="135">
        <f t="shared" si="97"/>
        <v>182.5</v>
      </c>
      <c r="AK552" s="136">
        <f t="shared" si="87"/>
        <v>365</v>
      </c>
      <c r="AL552" s="136" t="str" cm="1">
        <f t="array" ref="AL552">_xlfn.IFS(
AI552&lt;3,"Ligera",
AI552&lt;=6,"Moderada",
AI552&gt;6,"Vigorosa"
)</f>
        <v>Moderada</v>
      </c>
      <c r="AM552" s="45" t="s">
        <v>48</v>
      </c>
      <c r="AN552" s="289" t="s">
        <v>60</v>
      </c>
      <c r="AO552" s="46" t="s">
        <v>61</v>
      </c>
      <c r="AP552" s="289" t="s">
        <v>128</v>
      </c>
      <c r="AQ552" s="139">
        <v>0</v>
      </c>
      <c r="AS552" s="197" t="s">
        <v>305</v>
      </c>
    </row>
    <row r="553" spans="1:45" ht="78.75" customHeight="1" thickBot="1">
      <c r="A553" s="138" t="s">
        <v>475</v>
      </c>
      <c r="B553" s="12">
        <v>224</v>
      </c>
      <c r="C553" s="12">
        <v>81.2</v>
      </c>
      <c r="D553" s="12">
        <v>16</v>
      </c>
      <c r="E553" s="12" t="s">
        <v>45</v>
      </c>
      <c r="F553" s="12" t="s">
        <v>45</v>
      </c>
      <c r="G553" s="12" t="s">
        <v>476</v>
      </c>
      <c r="H553" s="12"/>
      <c r="I553" s="12" t="s">
        <v>45</v>
      </c>
      <c r="J553" s="12" t="s">
        <v>47</v>
      </c>
      <c r="K553" s="12" t="s">
        <v>49</v>
      </c>
      <c r="L553" s="12" t="s">
        <v>49</v>
      </c>
      <c r="M553" s="126" t="s">
        <v>50</v>
      </c>
      <c r="N553" s="126" t="s">
        <v>50</v>
      </c>
      <c r="O553" s="126" t="s">
        <v>50</v>
      </c>
      <c r="P553" s="11" t="s">
        <v>51</v>
      </c>
      <c r="Q553" s="50" t="s">
        <v>85</v>
      </c>
      <c r="R553" s="47">
        <v>31</v>
      </c>
      <c r="S553" s="48">
        <v>1.1000000000000001</v>
      </c>
      <c r="T553" s="48">
        <v>0.3</v>
      </c>
      <c r="U553" s="47">
        <v>31</v>
      </c>
      <c r="V553" s="47">
        <v>1.1000000000000001</v>
      </c>
      <c r="W553" s="195">
        <v>0.37</v>
      </c>
      <c r="X553" s="130">
        <f t="shared" si="86"/>
        <v>0</v>
      </c>
      <c r="Y553" s="16">
        <f t="shared" si="88"/>
        <v>6.1144988980450031E-2</v>
      </c>
      <c r="Z553" s="286" t="s">
        <v>53</v>
      </c>
      <c r="AA553" s="286" t="s">
        <v>53</v>
      </c>
      <c r="AB553" s="16">
        <v>6.1144988980450031E-2</v>
      </c>
      <c r="AC553" s="66" t="s">
        <v>49</v>
      </c>
      <c r="AD553" s="51" t="s">
        <v>477</v>
      </c>
      <c r="AE553" s="13">
        <v>24</v>
      </c>
      <c r="AF553" s="13">
        <v>0</v>
      </c>
      <c r="AG553" s="13">
        <v>0</v>
      </c>
      <c r="AH553" s="134">
        <v>0</v>
      </c>
      <c r="AI553" s="134">
        <v>0</v>
      </c>
      <c r="AJ553" s="135">
        <f t="shared" si="97"/>
        <v>0</v>
      </c>
      <c r="AK553" s="136">
        <f t="shared" si="87"/>
        <v>0</v>
      </c>
      <c r="AL553" s="136" t="str" cm="1">
        <f t="array" ref="AL553">_xlfn.IFS(
AI553&lt;3,"Ligera",
AI553&lt;=6,"Moderada",
AI553&gt;6,"Vigorosa"
)</f>
        <v>Ligera</v>
      </c>
      <c r="AM553" s="45" t="s">
        <v>49</v>
      </c>
      <c r="AN553" s="289" t="s">
        <v>49</v>
      </c>
      <c r="AO553" s="46" t="s">
        <v>49</v>
      </c>
      <c r="AP553" s="289" t="s">
        <v>49</v>
      </c>
      <c r="AQ553" s="139">
        <v>0</v>
      </c>
      <c r="AS553" s="197" t="s">
        <v>305</v>
      </c>
    </row>
    <row r="554" spans="1:45" ht="78.75" customHeight="1" thickBot="1">
      <c r="A554" s="138" t="s">
        <v>475</v>
      </c>
      <c r="B554" s="12">
        <v>224</v>
      </c>
      <c r="C554" s="12">
        <v>80.900000000000006</v>
      </c>
      <c r="D554" s="12">
        <v>28</v>
      </c>
      <c r="E554" s="12" t="s">
        <v>45</v>
      </c>
      <c r="F554" s="12" t="s">
        <v>45</v>
      </c>
      <c r="G554" s="12" t="s">
        <v>476</v>
      </c>
      <c r="H554" s="12"/>
      <c r="I554" s="12" t="s">
        <v>45</v>
      </c>
      <c r="J554" s="12" t="s">
        <v>47</v>
      </c>
      <c r="K554" s="12" t="s">
        <v>49</v>
      </c>
      <c r="L554" s="12" t="s">
        <v>49</v>
      </c>
      <c r="M554" s="11" t="s">
        <v>56</v>
      </c>
      <c r="N554" s="11" t="s">
        <v>57</v>
      </c>
      <c r="O554" s="11" t="s">
        <v>126</v>
      </c>
      <c r="P554" s="11" t="s">
        <v>51</v>
      </c>
      <c r="Q554" s="50" t="s">
        <v>85</v>
      </c>
      <c r="R554" s="47">
        <v>40</v>
      </c>
      <c r="S554" s="48">
        <v>1</v>
      </c>
      <c r="T554" s="48">
        <v>0.4</v>
      </c>
      <c r="U554" s="47">
        <v>40</v>
      </c>
      <c r="V554" s="47">
        <v>1</v>
      </c>
      <c r="W554" s="195">
        <v>0.51</v>
      </c>
      <c r="X554" s="130">
        <f t="shared" si="86"/>
        <v>0</v>
      </c>
      <c r="Y554" s="16">
        <f t="shared" si="88"/>
        <v>7.3501700660596969E-2</v>
      </c>
      <c r="Z554" s="15">
        <f t="shared" si="90"/>
        <v>0</v>
      </c>
      <c r="AA554" s="16">
        <f t="shared" si="91"/>
        <v>0.20653478260869568</v>
      </c>
      <c r="AB554" s="16">
        <f t="shared" si="92"/>
        <v>0.10874641100943691</v>
      </c>
      <c r="AC554" s="66" t="s">
        <v>49</v>
      </c>
      <c r="AD554" s="51" t="s">
        <v>482</v>
      </c>
      <c r="AE554" s="13">
        <v>24</v>
      </c>
      <c r="AF554" s="13">
        <v>2</v>
      </c>
      <c r="AG554" s="13">
        <v>52.5</v>
      </c>
      <c r="AH554" s="134">
        <v>205460</v>
      </c>
      <c r="AI554" s="134">
        <v>4.3</v>
      </c>
      <c r="AJ554" s="135">
        <f t="shared" si="97"/>
        <v>225.75</v>
      </c>
      <c r="AK554" s="136">
        <f t="shared" si="87"/>
        <v>451.5</v>
      </c>
      <c r="AL554" s="136" t="str" cm="1">
        <f t="array" ref="AL554">_xlfn.IFS(
AI554&lt;3,"Ligera",
AI554&lt;=6,"Moderada",
AI554&gt;6,"Vigorosa"
)</f>
        <v>Moderada</v>
      </c>
      <c r="AM554" s="45" t="s">
        <v>48</v>
      </c>
      <c r="AN554" s="289" t="s">
        <v>60</v>
      </c>
      <c r="AO554" s="46" t="s">
        <v>61</v>
      </c>
      <c r="AP554" s="289" t="s">
        <v>128</v>
      </c>
      <c r="AQ554" s="139">
        <v>0</v>
      </c>
      <c r="AS554" s="197" t="s">
        <v>305</v>
      </c>
    </row>
    <row r="555" spans="1:45" ht="78.75" customHeight="1" thickBot="1">
      <c r="A555" s="138" t="s">
        <v>475</v>
      </c>
      <c r="B555" s="12">
        <v>224</v>
      </c>
      <c r="C555" s="12">
        <v>81.599999999999994</v>
      </c>
      <c r="D555" s="12">
        <v>21</v>
      </c>
      <c r="E555" s="12" t="s">
        <v>45</v>
      </c>
      <c r="F555" s="12" t="s">
        <v>45</v>
      </c>
      <c r="G555" s="12" t="s">
        <v>476</v>
      </c>
      <c r="H555" s="12"/>
      <c r="I555" s="12" t="s">
        <v>45</v>
      </c>
      <c r="J555" s="12" t="s">
        <v>47</v>
      </c>
      <c r="K555" s="12" t="s">
        <v>49</v>
      </c>
      <c r="L555" s="12" t="s">
        <v>49</v>
      </c>
      <c r="M555" s="11" t="s">
        <v>56</v>
      </c>
      <c r="N555" s="11" t="s">
        <v>57</v>
      </c>
      <c r="O555" s="284" t="s">
        <v>208</v>
      </c>
      <c r="P555" s="11" t="s">
        <v>51</v>
      </c>
      <c r="Q555" s="50" t="s">
        <v>85</v>
      </c>
      <c r="R555" s="47">
        <v>44</v>
      </c>
      <c r="S555" s="48">
        <v>1.1000000000000001</v>
      </c>
      <c r="T555" s="48">
        <v>0.3</v>
      </c>
      <c r="U555" s="47">
        <v>44</v>
      </c>
      <c r="V555" s="48">
        <v>1.1000000000000001</v>
      </c>
      <c r="W555" s="195">
        <v>0.38</v>
      </c>
      <c r="X555" s="130">
        <f t="shared" si="86"/>
        <v>0</v>
      </c>
      <c r="Y555" s="16">
        <f t="shared" si="88"/>
        <v>5.2310263202966556E-2</v>
      </c>
      <c r="Z555" s="15">
        <f>X555-X553</f>
        <v>0</v>
      </c>
      <c r="AA555" s="16">
        <f>((U555-1)*W555^2+(U553-1)*W553^2)/((U555-1)+(U553-1))</f>
        <v>0.14131780821917808</v>
      </c>
      <c r="AB555" s="16">
        <f>SQRT(AA555*((1/U555)+(1/U553)))</f>
        <v>8.8149914029622745E-2</v>
      </c>
      <c r="AC555" s="66" t="s">
        <v>49</v>
      </c>
      <c r="AD555" s="51" t="s">
        <v>483</v>
      </c>
      <c r="AE555" s="13">
        <v>24</v>
      </c>
      <c r="AF555" s="13">
        <v>2</v>
      </c>
      <c r="AG555" s="13">
        <v>47.5</v>
      </c>
      <c r="AH555" s="134">
        <v>205160</v>
      </c>
      <c r="AI555" s="134">
        <v>3</v>
      </c>
      <c r="AJ555" s="135">
        <f t="shared" si="97"/>
        <v>142.5</v>
      </c>
      <c r="AK555" s="136">
        <f t="shared" si="87"/>
        <v>285</v>
      </c>
      <c r="AL555" s="136" t="str" cm="1">
        <f t="array" ref="AL555">_xlfn.IFS(
AI555&lt;3,"Ligera",
AI555&lt;=6,"Moderada",
AI555&gt;6,"Vigorosa"
)</f>
        <v>Moderada</v>
      </c>
      <c r="AM555" s="45" t="s">
        <v>48</v>
      </c>
      <c r="AN555" s="289" t="s">
        <v>60</v>
      </c>
      <c r="AO555" s="46" t="s">
        <v>61</v>
      </c>
      <c r="AP555" s="289" t="s">
        <v>128</v>
      </c>
      <c r="AQ555" s="139">
        <v>0</v>
      </c>
      <c r="AS555" s="197" t="s">
        <v>305</v>
      </c>
    </row>
    <row r="556" spans="1:45" ht="78.75" customHeight="1" thickBot="1">
      <c r="A556" s="140" t="s">
        <v>475</v>
      </c>
      <c r="B556" s="141">
        <v>224</v>
      </c>
      <c r="C556" s="141">
        <v>80.7</v>
      </c>
      <c r="D556" s="141">
        <v>16</v>
      </c>
      <c r="E556" s="141" t="s">
        <v>45</v>
      </c>
      <c r="F556" s="141" t="s">
        <v>45</v>
      </c>
      <c r="G556" s="141" t="s">
        <v>476</v>
      </c>
      <c r="H556" s="141"/>
      <c r="I556" s="141" t="s">
        <v>45</v>
      </c>
      <c r="J556" s="141" t="s">
        <v>47</v>
      </c>
      <c r="K556" s="141" t="s">
        <v>49</v>
      </c>
      <c r="L556" s="141" t="s">
        <v>49</v>
      </c>
      <c r="M556" s="285" t="s">
        <v>56</v>
      </c>
      <c r="N556" s="285" t="s">
        <v>57</v>
      </c>
      <c r="O556" s="285" t="s">
        <v>126</v>
      </c>
      <c r="P556" s="142" t="s">
        <v>51</v>
      </c>
      <c r="Q556" s="158" t="s">
        <v>85</v>
      </c>
      <c r="R556" s="169">
        <v>44</v>
      </c>
      <c r="S556" s="170">
        <v>1.1000000000000001</v>
      </c>
      <c r="T556" s="170">
        <v>0.3</v>
      </c>
      <c r="U556" s="169">
        <v>44</v>
      </c>
      <c r="V556" s="170">
        <v>1.1000000000000001</v>
      </c>
      <c r="W556" s="199">
        <v>0.38</v>
      </c>
      <c r="X556" s="130">
        <f t="shared" si="86"/>
        <v>0</v>
      </c>
      <c r="Y556" s="16">
        <f t="shared" si="88"/>
        <v>5.2310263202966556E-2</v>
      </c>
      <c r="Z556" s="15">
        <f>X556-X553</f>
        <v>0</v>
      </c>
      <c r="AA556" s="16">
        <f>((U556-1)*W556^2+(U553-1)*W553^2)/((U556-1)+(U553-1))</f>
        <v>0.14131780821917808</v>
      </c>
      <c r="AB556" s="16">
        <f>SQRT(AA556*((1/U556)+(1/U553)))</f>
        <v>8.8149914029622745E-2</v>
      </c>
      <c r="AC556" s="66" t="s">
        <v>49</v>
      </c>
      <c r="AD556" s="151" t="s">
        <v>480</v>
      </c>
      <c r="AE556" s="146">
        <v>24</v>
      </c>
      <c r="AF556" s="146">
        <v>2</v>
      </c>
      <c r="AG556" s="146">
        <v>50</v>
      </c>
      <c r="AH556" s="134" t="s">
        <v>481</v>
      </c>
      <c r="AI556" s="134">
        <v>3.65</v>
      </c>
      <c r="AJ556" s="135">
        <f t="shared" si="97"/>
        <v>182.5</v>
      </c>
      <c r="AK556" s="136">
        <f t="shared" si="87"/>
        <v>365</v>
      </c>
      <c r="AL556" s="136" t="str" cm="1">
        <f t="array" ref="AL556">_xlfn.IFS(
AI556&lt;3,"Ligera",
AI556&lt;=6,"Moderada",
AI556&gt;6,"Vigorosa"
)</f>
        <v>Moderada</v>
      </c>
      <c r="AM556" s="147" t="s">
        <v>48</v>
      </c>
      <c r="AN556" s="290" t="s">
        <v>60</v>
      </c>
      <c r="AO556" s="148" t="s">
        <v>61</v>
      </c>
      <c r="AP556" s="290" t="s">
        <v>128</v>
      </c>
      <c r="AQ556" s="149">
        <v>0</v>
      </c>
      <c r="AS556" s="197" t="s">
        <v>305</v>
      </c>
    </row>
    <row r="557" spans="1:45" ht="78.75" customHeight="1" thickBot="1">
      <c r="A557" s="124" t="s">
        <v>486</v>
      </c>
      <c r="B557" s="125">
        <v>81</v>
      </c>
      <c r="C557" s="125">
        <v>78.41</v>
      </c>
      <c r="D557" s="125">
        <v>46.3</v>
      </c>
      <c r="E557" s="125" t="s">
        <v>45</v>
      </c>
      <c r="F557" s="125" t="s">
        <v>45</v>
      </c>
      <c r="G557" s="125" t="s">
        <v>328</v>
      </c>
      <c r="H557" s="125"/>
      <c r="I557" s="125" t="s">
        <v>145</v>
      </c>
      <c r="J557" s="125">
        <v>2.02</v>
      </c>
      <c r="K557" s="125" t="s">
        <v>49</v>
      </c>
      <c r="L557" s="125" t="s">
        <v>48</v>
      </c>
      <c r="M557" s="126" t="s">
        <v>50</v>
      </c>
      <c r="N557" s="126" t="s">
        <v>50</v>
      </c>
      <c r="O557" s="126" t="s">
        <v>50</v>
      </c>
      <c r="P557" s="126" t="s">
        <v>51</v>
      </c>
      <c r="Q557" s="159" t="s">
        <v>92</v>
      </c>
      <c r="R557" s="167">
        <v>41</v>
      </c>
      <c r="S557" s="168">
        <v>12.85</v>
      </c>
      <c r="T557" s="168">
        <v>4.93</v>
      </c>
      <c r="U557" s="167">
        <v>41</v>
      </c>
      <c r="V557" s="167">
        <v>11.28</v>
      </c>
      <c r="W557" s="168">
        <v>4.8099999999999996</v>
      </c>
      <c r="X557" s="130">
        <f t="shared" ref="X557:X613" si="98">V557-S557</f>
        <v>-1.5700000000000003</v>
      </c>
      <c r="Y557" s="16">
        <f t="shared" ref="Y557:Y614" si="99">SQRT((T557^2+W557^2-(2*0.5*T557*W557)))/SQRT(U557)</f>
        <v>0.76073937077287013</v>
      </c>
      <c r="Z557" s="286" t="s">
        <v>53</v>
      </c>
      <c r="AA557" s="286" t="s">
        <v>53</v>
      </c>
      <c r="AB557" s="16">
        <v>0.76073937077287013</v>
      </c>
      <c r="AC557" s="66" t="s">
        <v>49</v>
      </c>
      <c r="AD557" s="133" t="s">
        <v>487</v>
      </c>
      <c r="AE557" s="134">
        <v>24</v>
      </c>
      <c r="AF557" s="134">
        <v>0</v>
      </c>
      <c r="AG557" s="134">
        <v>0</v>
      </c>
      <c r="AH557" s="134">
        <v>0</v>
      </c>
      <c r="AI557" s="134">
        <v>0</v>
      </c>
      <c r="AJ557" s="135">
        <f t="shared" ref="AJ557:AJ609" si="100">AI557*AG557</f>
        <v>0</v>
      </c>
      <c r="AK557" s="136">
        <f t="shared" ref="AK557:AK563" si="101">AJ557*AF557</f>
        <v>0</v>
      </c>
      <c r="AL557" s="136" t="str" cm="1">
        <f t="array" ref="AL557">_xlfn.IFS(
AI557&lt;3,"Ligera",
AI557&lt;=6,"Moderada",
AI557&gt;6,"Vigorosa"
)</f>
        <v>Ligera</v>
      </c>
      <c r="AM557" s="136" t="s">
        <v>49</v>
      </c>
      <c r="AN557" s="288" t="s">
        <v>49</v>
      </c>
      <c r="AO557" s="135" t="s">
        <v>49</v>
      </c>
      <c r="AP557" s="288" t="s">
        <v>49</v>
      </c>
      <c r="AQ557" s="137">
        <v>0</v>
      </c>
    </row>
    <row r="558" spans="1:45" ht="78.75" customHeight="1" thickBot="1">
      <c r="A558" s="138" t="s">
        <v>486</v>
      </c>
      <c r="B558" s="12">
        <v>81</v>
      </c>
      <c r="C558" s="12">
        <v>79.67</v>
      </c>
      <c r="D558" s="12">
        <v>52.5</v>
      </c>
      <c r="E558" s="12" t="s">
        <v>45</v>
      </c>
      <c r="F558" s="12" t="s">
        <v>45</v>
      </c>
      <c r="G558" s="12" t="s">
        <v>328</v>
      </c>
      <c r="H558" s="12"/>
      <c r="I558" s="12" t="s">
        <v>145</v>
      </c>
      <c r="J558" s="12">
        <v>2.0499999999999998</v>
      </c>
      <c r="K558" s="12" t="s">
        <v>49</v>
      </c>
      <c r="L558" s="12" t="s">
        <v>48</v>
      </c>
      <c r="M558" s="11" t="s">
        <v>56</v>
      </c>
      <c r="N558" s="11" t="s">
        <v>410</v>
      </c>
      <c r="O558" s="50" t="s">
        <v>488</v>
      </c>
      <c r="P558" s="11" t="s">
        <v>51</v>
      </c>
      <c r="Q558" s="50" t="s">
        <v>92</v>
      </c>
      <c r="R558" s="47">
        <v>40</v>
      </c>
      <c r="S558" s="48">
        <v>12.08</v>
      </c>
      <c r="T558" s="48">
        <v>4.6399999999999997</v>
      </c>
      <c r="U558" s="47">
        <v>40</v>
      </c>
      <c r="V558" s="47">
        <v>13.56</v>
      </c>
      <c r="W558" s="48">
        <v>5.07</v>
      </c>
      <c r="X558" s="130">
        <f t="shared" si="98"/>
        <v>1.4800000000000004</v>
      </c>
      <c r="Y558" s="16">
        <f t="shared" si="99"/>
        <v>0.76989772047980498</v>
      </c>
      <c r="Z558" s="15">
        <f t="shared" ref="Z558:Z614" si="102">X558-X557</f>
        <v>3.0500000000000007</v>
      </c>
      <c r="AA558" s="16">
        <f t="shared" ref="AA558:AA614" si="103">((U558-1)*W558^2+(U557-1)*W557^2)/((U558-1)+(U557-1))</f>
        <v>24.404241772151899</v>
      </c>
      <c r="AB558" s="16">
        <f t="shared" ref="AB558:AB614" si="104">SQRT(AA558*((1/U558)+(1/U557)))</f>
        <v>1.0978758825025137</v>
      </c>
      <c r="AC558" s="66" t="s">
        <v>49</v>
      </c>
      <c r="AD558" s="51" t="s">
        <v>489</v>
      </c>
      <c r="AE558" s="13">
        <v>24</v>
      </c>
      <c r="AF558" s="13">
        <v>3</v>
      </c>
      <c r="AG558" s="13">
        <v>40</v>
      </c>
      <c r="AH558" s="134">
        <v>219160</v>
      </c>
      <c r="AI558" s="134">
        <v>2.8</v>
      </c>
      <c r="AJ558" s="135">
        <f t="shared" si="100"/>
        <v>112</v>
      </c>
      <c r="AK558" s="136">
        <f t="shared" si="101"/>
        <v>336</v>
      </c>
      <c r="AL558" s="136" t="str" cm="1">
        <f t="array" ref="AL558">_xlfn.IFS(
AI558&lt;3,"Ligera",
AI558&lt;=6,"Moderada",
AI558&gt;6,"Vigorosa"
)</f>
        <v>Ligera</v>
      </c>
      <c r="AM558" s="45" t="s">
        <v>48</v>
      </c>
      <c r="AN558" s="289" t="s">
        <v>60</v>
      </c>
      <c r="AO558" s="46" t="s">
        <v>61</v>
      </c>
      <c r="AP558" s="289" t="s">
        <v>128</v>
      </c>
      <c r="AQ558" s="139">
        <v>0</v>
      </c>
    </row>
    <row r="559" spans="1:45" ht="78.75" customHeight="1" thickBot="1">
      <c r="A559" s="138" t="s">
        <v>486</v>
      </c>
      <c r="B559" s="12">
        <v>81</v>
      </c>
      <c r="C559" s="12">
        <v>78.41</v>
      </c>
      <c r="D559" s="12">
        <v>46.3</v>
      </c>
      <c r="E559" s="12" t="s">
        <v>45</v>
      </c>
      <c r="F559" s="12" t="s">
        <v>45</v>
      </c>
      <c r="G559" s="12" t="s">
        <v>328</v>
      </c>
      <c r="H559" s="12"/>
      <c r="I559" s="12" t="s">
        <v>145</v>
      </c>
      <c r="J559" s="12">
        <v>2.02</v>
      </c>
      <c r="K559" s="12" t="s">
        <v>49</v>
      </c>
      <c r="L559" s="12" t="s">
        <v>48</v>
      </c>
      <c r="M559" s="11" t="s">
        <v>50</v>
      </c>
      <c r="N559" s="11" t="s">
        <v>50</v>
      </c>
      <c r="O559" s="11" t="s">
        <v>50</v>
      </c>
      <c r="P559" s="11" t="s">
        <v>51</v>
      </c>
      <c r="Q559" s="50" t="s">
        <v>81</v>
      </c>
      <c r="R559" s="47">
        <v>41</v>
      </c>
      <c r="S559" s="48">
        <v>5.95</v>
      </c>
      <c r="T559" s="48">
        <v>3.76</v>
      </c>
      <c r="U559" s="47">
        <v>41</v>
      </c>
      <c r="V559" s="47">
        <v>4.72</v>
      </c>
      <c r="W559" s="48">
        <v>3.94</v>
      </c>
      <c r="X559" s="130">
        <f t="shared" si="98"/>
        <v>-1.2300000000000004</v>
      </c>
      <c r="Y559" s="16">
        <f t="shared" si="99"/>
        <v>0.60176164149165556</v>
      </c>
      <c r="Z559" s="286" t="s">
        <v>53</v>
      </c>
      <c r="AA559" s="286" t="s">
        <v>53</v>
      </c>
      <c r="AB559" s="16">
        <v>0.60176164149165556</v>
      </c>
      <c r="AC559" s="66" t="s">
        <v>49</v>
      </c>
      <c r="AD559" s="51" t="s">
        <v>487</v>
      </c>
      <c r="AE559" s="13">
        <v>24</v>
      </c>
      <c r="AF559" s="13">
        <v>0</v>
      </c>
      <c r="AG559" s="13">
        <v>0</v>
      </c>
      <c r="AH559" s="134">
        <v>0</v>
      </c>
      <c r="AI559" s="134">
        <v>0</v>
      </c>
      <c r="AJ559" s="135">
        <f t="shared" si="100"/>
        <v>0</v>
      </c>
      <c r="AK559" s="136">
        <f t="shared" si="101"/>
        <v>0</v>
      </c>
      <c r="AL559" s="136" t="str" cm="1">
        <f t="array" ref="AL559">_xlfn.IFS(
AI559&lt;3,"Ligera",
AI559&lt;=6,"Moderada",
AI559&gt;6,"Vigorosa"
)</f>
        <v>Ligera</v>
      </c>
      <c r="AM559" s="45" t="s">
        <v>49</v>
      </c>
      <c r="AN559" s="289" t="s">
        <v>49</v>
      </c>
      <c r="AO559" s="46" t="s">
        <v>49</v>
      </c>
      <c r="AP559" s="289" t="s">
        <v>49</v>
      </c>
      <c r="AQ559" s="139">
        <v>0</v>
      </c>
    </row>
    <row r="560" spans="1:45" ht="78.75" customHeight="1" thickBot="1">
      <c r="A560" s="138" t="s">
        <v>486</v>
      </c>
      <c r="B560" s="12">
        <v>81</v>
      </c>
      <c r="C560" s="12">
        <v>79.67</v>
      </c>
      <c r="D560" s="12">
        <v>52.5</v>
      </c>
      <c r="E560" s="12" t="s">
        <v>45</v>
      </c>
      <c r="F560" s="12" t="s">
        <v>45</v>
      </c>
      <c r="G560" s="12" t="s">
        <v>328</v>
      </c>
      <c r="H560" s="12"/>
      <c r="I560" s="12" t="s">
        <v>145</v>
      </c>
      <c r="J560" s="12">
        <v>2.0499999999999998</v>
      </c>
      <c r="K560" s="12" t="s">
        <v>49</v>
      </c>
      <c r="L560" s="12" t="s">
        <v>48</v>
      </c>
      <c r="M560" s="11" t="s">
        <v>56</v>
      </c>
      <c r="N560" s="11" t="s">
        <v>410</v>
      </c>
      <c r="O560" s="50" t="s">
        <v>488</v>
      </c>
      <c r="P560" s="11" t="s">
        <v>51</v>
      </c>
      <c r="Q560" s="50" t="s">
        <v>81</v>
      </c>
      <c r="R560" s="47">
        <v>40</v>
      </c>
      <c r="S560" s="48">
        <v>4.25</v>
      </c>
      <c r="T560" s="48">
        <v>4.37</v>
      </c>
      <c r="U560" s="47">
        <v>40</v>
      </c>
      <c r="V560" s="47">
        <v>7.19</v>
      </c>
      <c r="W560" s="48">
        <v>4.38</v>
      </c>
      <c r="X560" s="130">
        <f t="shared" si="98"/>
        <v>2.9400000000000004</v>
      </c>
      <c r="Y560" s="16">
        <f t="shared" si="99"/>
        <v>0.69174959342235975</v>
      </c>
      <c r="Z560" s="15">
        <f t="shared" si="102"/>
        <v>4.1700000000000008</v>
      </c>
      <c r="AA560" s="16">
        <f t="shared" si="103"/>
        <v>17.330830379746835</v>
      </c>
      <c r="AB560" s="16">
        <f t="shared" si="104"/>
        <v>0.92518859671285192</v>
      </c>
      <c r="AC560" s="66" t="s">
        <v>49</v>
      </c>
      <c r="AD560" s="51" t="s">
        <v>489</v>
      </c>
      <c r="AE560" s="13">
        <v>24</v>
      </c>
      <c r="AF560" s="13">
        <v>3</v>
      </c>
      <c r="AG560" s="13">
        <v>40</v>
      </c>
      <c r="AH560" s="134">
        <v>219160</v>
      </c>
      <c r="AI560" s="134">
        <v>2.8</v>
      </c>
      <c r="AJ560" s="135">
        <f t="shared" si="100"/>
        <v>112</v>
      </c>
      <c r="AK560" s="136">
        <f t="shared" si="101"/>
        <v>336</v>
      </c>
      <c r="AL560" s="136" t="str" cm="1">
        <f t="array" ref="AL560">_xlfn.IFS(
AI560&lt;3,"Ligera",
AI560&lt;=6,"Moderada",
AI560&gt;6,"Vigorosa"
)</f>
        <v>Ligera</v>
      </c>
      <c r="AM560" s="45" t="s">
        <v>48</v>
      </c>
      <c r="AN560" s="289" t="s">
        <v>60</v>
      </c>
      <c r="AO560" s="46" t="s">
        <v>61</v>
      </c>
      <c r="AP560" s="289" t="s">
        <v>128</v>
      </c>
      <c r="AQ560" s="139">
        <v>0</v>
      </c>
    </row>
    <row r="561" spans="1:45" ht="78.75" customHeight="1" thickBot="1">
      <c r="A561" s="138" t="s">
        <v>486</v>
      </c>
      <c r="B561" s="12">
        <v>81</v>
      </c>
      <c r="C561" s="12">
        <v>78.41</v>
      </c>
      <c r="D561" s="12">
        <v>46.3</v>
      </c>
      <c r="E561" s="12" t="s">
        <v>45</v>
      </c>
      <c r="F561" s="12" t="s">
        <v>45</v>
      </c>
      <c r="G561" s="12" t="s">
        <v>328</v>
      </c>
      <c r="H561" s="12"/>
      <c r="I561" s="12" t="s">
        <v>145</v>
      </c>
      <c r="J561" s="12">
        <v>2.02</v>
      </c>
      <c r="K561" s="12" t="s">
        <v>49</v>
      </c>
      <c r="L561" s="12" t="s">
        <v>48</v>
      </c>
      <c r="M561" s="11" t="s">
        <v>50</v>
      </c>
      <c r="N561" s="11" t="s">
        <v>50</v>
      </c>
      <c r="O561" s="11" t="s">
        <v>50</v>
      </c>
      <c r="P561" s="11" t="s">
        <v>51</v>
      </c>
      <c r="Q561" s="50" t="s">
        <v>64</v>
      </c>
      <c r="R561" s="47">
        <v>41</v>
      </c>
      <c r="S561" s="48">
        <v>1.02</v>
      </c>
      <c r="T561" s="48">
        <v>2.5</v>
      </c>
      <c r="U561" s="47">
        <v>41</v>
      </c>
      <c r="V561" s="47">
        <v>1.08</v>
      </c>
      <c r="W561" s="48">
        <v>2.75</v>
      </c>
      <c r="X561" s="130">
        <f t="shared" si="98"/>
        <v>6.0000000000000053E-2</v>
      </c>
      <c r="Y561" s="16">
        <f t="shared" si="99"/>
        <v>0.41134817013470565</v>
      </c>
      <c r="Z561" s="286" t="s">
        <v>53</v>
      </c>
      <c r="AA561" s="286" t="s">
        <v>53</v>
      </c>
      <c r="AB561" s="16">
        <v>0.41134817013470565</v>
      </c>
      <c r="AC561" s="66" t="s">
        <v>49</v>
      </c>
      <c r="AD561" s="51" t="s">
        <v>487</v>
      </c>
      <c r="AE561" s="13">
        <v>24</v>
      </c>
      <c r="AF561" s="13">
        <v>0</v>
      </c>
      <c r="AG561" s="13">
        <v>0</v>
      </c>
      <c r="AH561" s="134">
        <v>0</v>
      </c>
      <c r="AI561" s="134">
        <v>0</v>
      </c>
      <c r="AJ561" s="135">
        <f t="shared" si="100"/>
        <v>0</v>
      </c>
      <c r="AK561" s="136">
        <f t="shared" si="101"/>
        <v>0</v>
      </c>
      <c r="AL561" s="136" t="str" cm="1">
        <f t="array" ref="AL561">_xlfn.IFS(
AI561&lt;3,"Ligera",
AI561&lt;=6,"Moderada",
AI561&gt;6,"Vigorosa"
)</f>
        <v>Ligera</v>
      </c>
      <c r="AM561" s="45" t="s">
        <v>49</v>
      </c>
      <c r="AN561" s="289" t="s">
        <v>49</v>
      </c>
      <c r="AO561" s="46" t="s">
        <v>49</v>
      </c>
      <c r="AP561" s="289" t="s">
        <v>49</v>
      </c>
      <c r="AQ561" s="139">
        <v>0</v>
      </c>
    </row>
    <row r="562" spans="1:45" ht="78.75" customHeight="1" thickBot="1">
      <c r="A562" s="138" t="s">
        <v>486</v>
      </c>
      <c r="B562" s="12">
        <v>81</v>
      </c>
      <c r="C562" s="12">
        <v>79.67</v>
      </c>
      <c r="D562" s="12">
        <v>52.5</v>
      </c>
      <c r="E562" s="12" t="s">
        <v>45</v>
      </c>
      <c r="F562" s="12" t="s">
        <v>45</v>
      </c>
      <c r="G562" s="12" t="s">
        <v>328</v>
      </c>
      <c r="H562" s="12"/>
      <c r="I562" s="12" t="s">
        <v>145</v>
      </c>
      <c r="J562" s="12">
        <v>2.0499999999999998</v>
      </c>
      <c r="K562" s="12" t="s">
        <v>49</v>
      </c>
      <c r="L562" s="12" t="s">
        <v>48</v>
      </c>
      <c r="M562" s="11" t="s">
        <v>56</v>
      </c>
      <c r="N562" s="11" t="s">
        <v>410</v>
      </c>
      <c r="O562" s="50" t="s">
        <v>488</v>
      </c>
      <c r="P562" s="11" t="s">
        <v>51</v>
      </c>
      <c r="Q562" s="50" t="s">
        <v>64</v>
      </c>
      <c r="R562" s="47">
        <v>40</v>
      </c>
      <c r="S562" s="48">
        <v>1</v>
      </c>
      <c r="T562" s="48">
        <v>2.0499999999999998</v>
      </c>
      <c r="U562" s="47">
        <v>40</v>
      </c>
      <c r="V562" s="47">
        <v>1.1100000000000001</v>
      </c>
      <c r="W562" s="48">
        <v>2.33</v>
      </c>
      <c r="X562" s="130">
        <f t="shared" si="98"/>
        <v>0.1100000000000001</v>
      </c>
      <c r="Y562" s="16">
        <f t="shared" si="99"/>
        <v>0.3483855622726062</v>
      </c>
      <c r="Z562" s="15">
        <f t="shared" si="102"/>
        <v>5.0000000000000044E-2</v>
      </c>
      <c r="AA562" s="16">
        <f t="shared" si="103"/>
        <v>6.5092037974683556</v>
      </c>
      <c r="AB562" s="16">
        <f t="shared" si="104"/>
        <v>0.56700190755203317</v>
      </c>
      <c r="AC562" s="66" t="s">
        <v>49</v>
      </c>
      <c r="AD562" s="51" t="s">
        <v>489</v>
      </c>
      <c r="AE562" s="13">
        <v>24</v>
      </c>
      <c r="AF562" s="13">
        <v>3</v>
      </c>
      <c r="AG562" s="13">
        <v>40</v>
      </c>
      <c r="AH562" s="134">
        <v>219160</v>
      </c>
      <c r="AI562" s="134">
        <v>2.8</v>
      </c>
      <c r="AJ562" s="135">
        <f t="shared" si="100"/>
        <v>112</v>
      </c>
      <c r="AK562" s="136">
        <f t="shared" si="101"/>
        <v>336</v>
      </c>
      <c r="AL562" s="136" t="str" cm="1">
        <f t="array" ref="AL562">_xlfn.IFS(
AI562&lt;3,"Ligera",
AI562&lt;=6,"Moderada",
AI562&gt;6,"Vigorosa"
)</f>
        <v>Ligera</v>
      </c>
      <c r="AM562" s="45" t="s">
        <v>48</v>
      </c>
      <c r="AN562" s="289" t="s">
        <v>60</v>
      </c>
      <c r="AO562" s="46" t="s">
        <v>61</v>
      </c>
      <c r="AP562" s="289" t="s">
        <v>128</v>
      </c>
      <c r="AQ562" s="139">
        <v>0</v>
      </c>
    </row>
    <row r="563" spans="1:45" ht="78.75" customHeight="1" thickBot="1">
      <c r="A563" s="138" t="s">
        <v>486</v>
      </c>
      <c r="B563" s="12">
        <v>81</v>
      </c>
      <c r="C563" s="12">
        <v>78.41</v>
      </c>
      <c r="D563" s="12">
        <v>46.3</v>
      </c>
      <c r="E563" s="12" t="s">
        <v>45</v>
      </c>
      <c r="F563" s="12" t="s">
        <v>45</v>
      </c>
      <c r="G563" s="12" t="s">
        <v>328</v>
      </c>
      <c r="H563" s="12"/>
      <c r="I563" s="12" t="s">
        <v>145</v>
      </c>
      <c r="J563" s="12">
        <v>2.02</v>
      </c>
      <c r="K563" s="12" t="s">
        <v>49</v>
      </c>
      <c r="L563" s="12" t="s">
        <v>48</v>
      </c>
      <c r="M563" s="11" t="s">
        <v>50</v>
      </c>
      <c r="N563" s="11" t="s">
        <v>50</v>
      </c>
      <c r="O563" s="11" t="s">
        <v>50</v>
      </c>
      <c r="P563" s="11" t="s">
        <v>51</v>
      </c>
      <c r="Q563" s="50" t="s">
        <v>83</v>
      </c>
      <c r="R563" s="47">
        <v>41</v>
      </c>
      <c r="S563" s="48">
        <v>-27.12</v>
      </c>
      <c r="T563" s="48">
        <v>13.84</v>
      </c>
      <c r="U563" s="47">
        <v>41</v>
      </c>
      <c r="V563" s="47">
        <v>-31.38</v>
      </c>
      <c r="W563" s="48">
        <v>14.26</v>
      </c>
      <c r="X563" s="130">
        <f t="shared" si="98"/>
        <v>-4.259999999999998</v>
      </c>
      <c r="Y563" s="16">
        <f t="shared" si="99"/>
        <v>2.194976526348178</v>
      </c>
      <c r="Z563" s="286" t="s">
        <v>53</v>
      </c>
      <c r="AA563" s="286" t="s">
        <v>53</v>
      </c>
      <c r="AB563" s="16">
        <v>2.194976526348178</v>
      </c>
      <c r="AC563" s="66" t="s">
        <v>49</v>
      </c>
      <c r="AD563" s="51" t="s">
        <v>487</v>
      </c>
      <c r="AE563" s="13">
        <v>24</v>
      </c>
      <c r="AF563" s="13">
        <v>0</v>
      </c>
      <c r="AG563" s="13">
        <v>0</v>
      </c>
      <c r="AH563" s="134">
        <v>0</v>
      </c>
      <c r="AI563" s="134">
        <v>0</v>
      </c>
      <c r="AJ563" s="135">
        <f t="shared" si="100"/>
        <v>0</v>
      </c>
      <c r="AK563" s="136">
        <f t="shared" si="101"/>
        <v>0</v>
      </c>
      <c r="AL563" s="136" t="str" cm="1">
        <f t="array" ref="AL563">_xlfn.IFS(
AI563&lt;3,"Ligera",
AI563&lt;=6,"Moderada",
AI563&gt;6,"Vigorosa"
)</f>
        <v>Ligera</v>
      </c>
      <c r="AM563" s="45" t="s">
        <v>49</v>
      </c>
      <c r="AN563" s="289" t="s">
        <v>49</v>
      </c>
      <c r="AO563" s="46" t="s">
        <v>49</v>
      </c>
      <c r="AP563" s="289" t="s">
        <v>49</v>
      </c>
      <c r="AQ563" s="139">
        <v>0</v>
      </c>
    </row>
    <row r="564" spans="1:45" ht="78.75" customHeight="1" thickBot="1">
      <c r="A564" s="138" t="s">
        <v>486</v>
      </c>
      <c r="B564" s="12">
        <v>81</v>
      </c>
      <c r="C564" s="12">
        <v>79.67</v>
      </c>
      <c r="D564" s="12">
        <v>52.5</v>
      </c>
      <c r="E564" s="12" t="s">
        <v>45</v>
      </c>
      <c r="F564" s="12" t="s">
        <v>45</v>
      </c>
      <c r="G564" s="12" t="s">
        <v>328</v>
      </c>
      <c r="H564" s="12"/>
      <c r="I564" s="12" t="s">
        <v>145</v>
      </c>
      <c r="J564" s="12">
        <v>2.0499999999999998</v>
      </c>
      <c r="K564" s="12" t="s">
        <v>49</v>
      </c>
      <c r="L564" s="12" t="s">
        <v>48</v>
      </c>
      <c r="M564" s="11" t="s">
        <v>56</v>
      </c>
      <c r="N564" s="11" t="s">
        <v>410</v>
      </c>
      <c r="O564" s="50" t="s">
        <v>488</v>
      </c>
      <c r="P564" s="11" t="s">
        <v>51</v>
      </c>
      <c r="Q564" s="50" t="s">
        <v>83</v>
      </c>
      <c r="R564" s="47">
        <v>40</v>
      </c>
      <c r="S564" s="48">
        <v>-24.98</v>
      </c>
      <c r="T564" s="48">
        <v>14.02</v>
      </c>
      <c r="U564" s="47">
        <v>40</v>
      </c>
      <c r="V564" s="47">
        <v>-19.07</v>
      </c>
      <c r="W564" s="48">
        <v>11.71</v>
      </c>
      <c r="X564" s="130">
        <f t="shared" si="98"/>
        <v>5.91</v>
      </c>
      <c r="Y564" s="16">
        <f t="shared" si="99"/>
        <v>2.058581429042825</v>
      </c>
      <c r="Z564" s="15">
        <f t="shared" si="102"/>
        <v>10.169999999999998</v>
      </c>
      <c r="AA564" s="16">
        <f t="shared" si="103"/>
        <v>170.65498607594938</v>
      </c>
      <c r="AB564" s="16">
        <f t="shared" si="104"/>
        <v>2.9032208640505592</v>
      </c>
      <c r="AC564" s="66" t="s">
        <v>49</v>
      </c>
      <c r="AD564" s="51" t="s">
        <v>489</v>
      </c>
      <c r="AE564" s="13">
        <v>24</v>
      </c>
      <c r="AF564" s="13">
        <v>3</v>
      </c>
      <c r="AG564" s="13">
        <v>40</v>
      </c>
      <c r="AH564" s="134">
        <v>219160</v>
      </c>
      <c r="AI564" s="134">
        <v>2.8</v>
      </c>
      <c r="AJ564" s="135">
        <f t="shared" si="100"/>
        <v>112</v>
      </c>
      <c r="AK564" s="45">
        <f>AJ564*AF564</f>
        <v>336</v>
      </c>
      <c r="AL564" s="136" t="str" cm="1">
        <f t="array" ref="AL564">_xlfn.IFS(
AI564&lt;3,"Ligera",
AI564&lt;=6,"Moderada",
AI564&gt;6,"Vigorosa"
)</f>
        <v>Ligera</v>
      </c>
      <c r="AM564" s="45" t="s">
        <v>48</v>
      </c>
      <c r="AN564" s="289" t="s">
        <v>60</v>
      </c>
      <c r="AO564" s="46" t="s">
        <v>61</v>
      </c>
      <c r="AP564" s="289" t="s">
        <v>128</v>
      </c>
      <c r="AQ564" s="139">
        <v>0</v>
      </c>
    </row>
    <row r="565" spans="1:45" ht="78.75" customHeight="1" thickBot="1">
      <c r="A565" s="124" t="s">
        <v>490</v>
      </c>
      <c r="B565" s="125">
        <v>111</v>
      </c>
      <c r="C565" s="125">
        <v>80.900000000000006</v>
      </c>
      <c r="D565" s="125">
        <v>25</v>
      </c>
      <c r="E565" s="125" t="s">
        <v>97</v>
      </c>
      <c r="F565" s="125" t="s">
        <v>97</v>
      </c>
      <c r="G565" s="125" t="s">
        <v>361</v>
      </c>
      <c r="H565" s="125"/>
      <c r="I565" s="125" t="s">
        <v>45</v>
      </c>
      <c r="J565" s="125" t="s">
        <v>47</v>
      </c>
      <c r="K565" s="125" t="s">
        <v>49</v>
      </c>
      <c r="L565" s="125" t="s">
        <v>48</v>
      </c>
      <c r="M565" s="126" t="s">
        <v>50</v>
      </c>
      <c r="N565" s="126" t="s">
        <v>50</v>
      </c>
      <c r="O565" s="126" t="s">
        <v>50</v>
      </c>
      <c r="P565" s="126" t="s">
        <v>94</v>
      </c>
      <c r="Q565" s="159" t="s">
        <v>119</v>
      </c>
      <c r="R565" s="167">
        <v>60</v>
      </c>
      <c r="S565" s="168">
        <v>14.8</v>
      </c>
      <c r="T565" s="168">
        <v>7.8</v>
      </c>
      <c r="U565" s="167">
        <v>54</v>
      </c>
      <c r="V565" s="167">
        <v>12.29</v>
      </c>
      <c r="W565" s="173">
        <v>7.54</v>
      </c>
      <c r="X565" s="130">
        <f t="shared" si="98"/>
        <v>-2.5100000000000016</v>
      </c>
      <c r="Y565" s="16">
        <f t="shared" si="99"/>
        <v>1.0442044641558295</v>
      </c>
      <c r="Z565" s="286" t="s">
        <v>53</v>
      </c>
      <c r="AA565" s="286" t="s">
        <v>53</v>
      </c>
      <c r="AB565" s="16">
        <v>1.0442044641558295</v>
      </c>
      <c r="AC565" s="66" t="s">
        <v>49</v>
      </c>
      <c r="AD565" s="133" t="s">
        <v>491</v>
      </c>
      <c r="AE565" s="134">
        <v>24</v>
      </c>
      <c r="AF565" s="134">
        <v>0</v>
      </c>
      <c r="AG565" s="134">
        <v>0</v>
      </c>
      <c r="AH565" s="134">
        <v>0</v>
      </c>
      <c r="AI565" s="134">
        <v>0</v>
      </c>
      <c r="AJ565" s="135">
        <f t="shared" si="100"/>
        <v>0</v>
      </c>
      <c r="AK565" s="45">
        <f t="shared" ref="AK565:AK625" si="105">AJ565*AF565</f>
        <v>0</v>
      </c>
      <c r="AL565" s="136" t="str" cm="1">
        <f t="array" ref="AL565">_xlfn.IFS(
AI565&lt;3,"Ligera",
AI565&lt;=6,"Moderada",
AI565&gt;6,"Vigorosa"
)</f>
        <v>Ligera</v>
      </c>
      <c r="AM565" s="136" t="s">
        <v>49</v>
      </c>
      <c r="AN565" s="288" t="s">
        <v>49</v>
      </c>
      <c r="AO565" s="135" t="s">
        <v>49</v>
      </c>
      <c r="AP565" s="288" t="s">
        <v>49</v>
      </c>
      <c r="AQ565" s="137">
        <v>0</v>
      </c>
      <c r="AS565" s="294" t="s">
        <v>492</v>
      </c>
    </row>
    <row r="566" spans="1:45" ht="78.75" customHeight="1" thickBot="1">
      <c r="A566" s="138" t="s">
        <v>490</v>
      </c>
      <c r="B566" s="12">
        <v>111</v>
      </c>
      <c r="C566" s="12">
        <v>83</v>
      </c>
      <c r="D566" s="12">
        <v>23.5</v>
      </c>
      <c r="E566" s="12" t="s">
        <v>97</v>
      </c>
      <c r="F566" s="12" t="s">
        <v>97</v>
      </c>
      <c r="G566" s="12" t="s">
        <v>361</v>
      </c>
      <c r="H566" s="12"/>
      <c r="I566" s="12" t="s">
        <v>45</v>
      </c>
      <c r="J566" s="12" t="s">
        <v>47</v>
      </c>
      <c r="K566" s="12" t="s">
        <v>49</v>
      </c>
      <c r="L566" s="12" t="s">
        <v>48</v>
      </c>
      <c r="M566" s="11" t="s">
        <v>56</v>
      </c>
      <c r="N566" s="11" t="s">
        <v>410</v>
      </c>
      <c r="O566" s="50" t="s">
        <v>411</v>
      </c>
      <c r="P566" s="11" t="s">
        <v>94</v>
      </c>
      <c r="Q566" s="50" t="s">
        <v>119</v>
      </c>
      <c r="R566" s="47">
        <v>51</v>
      </c>
      <c r="S566" s="48">
        <v>17.3</v>
      </c>
      <c r="T566" s="48">
        <v>9.3000000000000007</v>
      </c>
      <c r="U566" s="47">
        <v>45</v>
      </c>
      <c r="V566" s="47">
        <v>15.37</v>
      </c>
      <c r="W566" s="174">
        <v>9.06</v>
      </c>
      <c r="X566" s="130">
        <f t="shared" si="98"/>
        <v>-1.9300000000000015</v>
      </c>
      <c r="Y566" s="16">
        <f t="shared" si="99"/>
        <v>1.368824313051167</v>
      </c>
      <c r="Z566" s="15">
        <f t="shared" si="102"/>
        <v>0.58000000000000007</v>
      </c>
      <c r="AA566" s="16">
        <f t="shared" si="103"/>
        <v>68.297043298969072</v>
      </c>
      <c r="AB566" s="16">
        <f t="shared" si="104"/>
        <v>1.6680743791577293</v>
      </c>
      <c r="AC566" s="66" t="s">
        <v>49</v>
      </c>
      <c r="AD566" s="51" t="s">
        <v>493</v>
      </c>
      <c r="AE566" s="13">
        <v>24</v>
      </c>
      <c r="AF566" s="13">
        <v>4</v>
      </c>
      <c r="AG566" s="13">
        <v>30</v>
      </c>
      <c r="AH566" s="13">
        <v>221060</v>
      </c>
      <c r="AI566" s="13">
        <v>3.8</v>
      </c>
      <c r="AJ566" s="135">
        <f t="shared" si="100"/>
        <v>114</v>
      </c>
      <c r="AK566" s="45">
        <f t="shared" si="105"/>
        <v>456</v>
      </c>
      <c r="AL566" s="136" t="str" cm="1">
        <f t="array" ref="AL566">_xlfn.IFS(
AI566&lt;3,"Ligera",
AI566&lt;=6,"Moderada",
AI566&gt;6,"Vigorosa"
)</f>
        <v>Moderada</v>
      </c>
      <c r="AM566" s="45" t="s">
        <v>49</v>
      </c>
      <c r="AN566" s="289" t="s">
        <v>49</v>
      </c>
      <c r="AO566" s="46" t="s">
        <v>61</v>
      </c>
      <c r="AP566" s="289" t="s">
        <v>173</v>
      </c>
      <c r="AQ566" s="139">
        <v>0</v>
      </c>
      <c r="AS566" s="294" t="s">
        <v>492</v>
      </c>
    </row>
    <row r="567" spans="1:45" ht="78.75" customHeight="1" thickBot="1">
      <c r="A567" s="138" t="s">
        <v>490</v>
      </c>
      <c r="B567" s="12">
        <v>111</v>
      </c>
      <c r="C567" s="12">
        <v>80.900000000000006</v>
      </c>
      <c r="D567" s="12">
        <v>25</v>
      </c>
      <c r="E567" s="12" t="s">
        <v>97</v>
      </c>
      <c r="F567" s="12" t="s">
        <v>97</v>
      </c>
      <c r="G567" s="12" t="s">
        <v>361</v>
      </c>
      <c r="H567" s="12"/>
      <c r="I567" s="12" t="s">
        <v>45</v>
      </c>
      <c r="J567" s="12" t="s">
        <v>47</v>
      </c>
      <c r="K567" s="12" t="s">
        <v>49</v>
      </c>
      <c r="L567" s="12" t="s">
        <v>48</v>
      </c>
      <c r="M567" s="11" t="s">
        <v>50</v>
      </c>
      <c r="N567" s="11" t="s">
        <v>50</v>
      </c>
      <c r="O567" s="11" t="s">
        <v>50</v>
      </c>
      <c r="P567" s="11" t="s">
        <v>51</v>
      </c>
      <c r="Q567" s="50" t="s">
        <v>124</v>
      </c>
      <c r="R567" s="47">
        <v>60</v>
      </c>
      <c r="S567" s="47">
        <v>12.3</v>
      </c>
      <c r="T567" s="52">
        <v>6.4</v>
      </c>
      <c r="U567" s="47">
        <v>54</v>
      </c>
      <c r="V567" s="47">
        <v>14.8</v>
      </c>
      <c r="W567" s="174">
        <v>6.33</v>
      </c>
      <c r="X567" s="130">
        <f t="shared" si="98"/>
        <v>2.5</v>
      </c>
      <c r="Y567" s="16">
        <f t="shared" si="99"/>
        <v>0.86620607418960238</v>
      </c>
      <c r="Z567" s="286" t="s">
        <v>53</v>
      </c>
      <c r="AA567" s="286" t="s">
        <v>53</v>
      </c>
      <c r="AB567" s="16">
        <v>0.86620607418960238</v>
      </c>
      <c r="AC567" s="66" t="s">
        <v>48</v>
      </c>
      <c r="AD567" s="51" t="s">
        <v>491</v>
      </c>
      <c r="AE567" s="13">
        <v>24</v>
      </c>
      <c r="AF567" s="13">
        <v>0</v>
      </c>
      <c r="AG567" s="13">
        <v>0</v>
      </c>
      <c r="AH567" s="134">
        <v>0</v>
      </c>
      <c r="AI567" s="134">
        <v>0</v>
      </c>
      <c r="AJ567" s="135">
        <f t="shared" si="100"/>
        <v>0</v>
      </c>
      <c r="AK567" s="45">
        <f t="shared" si="105"/>
        <v>0</v>
      </c>
      <c r="AL567" s="136" t="str" cm="1">
        <f t="array" ref="AL567">_xlfn.IFS(
AI567&lt;3,"Ligera",
AI567&lt;=6,"Moderada",
AI567&gt;6,"Vigorosa"
)</f>
        <v>Ligera</v>
      </c>
      <c r="AM567" s="45" t="s">
        <v>49</v>
      </c>
      <c r="AN567" s="289" t="s">
        <v>49</v>
      </c>
      <c r="AO567" s="46" t="s">
        <v>49</v>
      </c>
      <c r="AP567" s="289" t="s">
        <v>49</v>
      </c>
      <c r="AQ567" s="139">
        <v>0</v>
      </c>
      <c r="AS567" s="294" t="s">
        <v>451</v>
      </c>
    </row>
    <row r="568" spans="1:45" ht="78.75" customHeight="1" thickBot="1">
      <c r="A568" s="138" t="s">
        <v>490</v>
      </c>
      <c r="B568" s="12">
        <v>111</v>
      </c>
      <c r="C568" s="12">
        <v>83</v>
      </c>
      <c r="D568" s="12">
        <v>23.5</v>
      </c>
      <c r="E568" s="12" t="s">
        <v>97</v>
      </c>
      <c r="F568" s="12" t="s">
        <v>97</v>
      </c>
      <c r="G568" s="12" t="s">
        <v>361</v>
      </c>
      <c r="H568" s="12"/>
      <c r="I568" s="12" t="s">
        <v>45</v>
      </c>
      <c r="J568" s="12" t="s">
        <v>47</v>
      </c>
      <c r="K568" s="12" t="s">
        <v>49</v>
      </c>
      <c r="L568" s="12" t="s">
        <v>48</v>
      </c>
      <c r="M568" s="11" t="s">
        <v>56</v>
      </c>
      <c r="N568" s="11" t="s">
        <v>410</v>
      </c>
      <c r="O568" s="50" t="s">
        <v>411</v>
      </c>
      <c r="P568" s="11" t="s">
        <v>51</v>
      </c>
      <c r="Q568" s="50" t="s">
        <v>124</v>
      </c>
      <c r="R568" s="47">
        <v>51</v>
      </c>
      <c r="S568" s="48">
        <v>11.6</v>
      </c>
      <c r="T568" s="52">
        <v>6.6</v>
      </c>
      <c r="U568" s="47">
        <v>45</v>
      </c>
      <c r="V568" s="47">
        <v>12.5</v>
      </c>
      <c r="W568" s="174">
        <v>6.48</v>
      </c>
      <c r="X568" s="130">
        <f t="shared" si="98"/>
        <v>0.90000000000000036</v>
      </c>
      <c r="Y568" s="16">
        <f t="shared" si="99"/>
        <v>0.97504871673163074</v>
      </c>
      <c r="Z568" s="15">
        <f t="shared" si="102"/>
        <v>-1.5999999999999996</v>
      </c>
      <c r="AA568" s="16">
        <f t="shared" si="103"/>
        <v>40.940508247422677</v>
      </c>
      <c r="AB568" s="16">
        <f t="shared" si="104"/>
        <v>1.2914900821541007</v>
      </c>
      <c r="AC568" s="66" t="s">
        <v>48</v>
      </c>
      <c r="AD568" s="51" t="s">
        <v>493</v>
      </c>
      <c r="AE568" s="13">
        <v>24</v>
      </c>
      <c r="AF568" s="13">
        <v>4</v>
      </c>
      <c r="AG568" s="13">
        <v>30</v>
      </c>
      <c r="AH568" s="13">
        <v>221060</v>
      </c>
      <c r="AI568" s="13">
        <v>3.8</v>
      </c>
      <c r="AJ568" s="135">
        <f t="shared" si="100"/>
        <v>114</v>
      </c>
      <c r="AK568" s="45">
        <f t="shared" si="105"/>
        <v>456</v>
      </c>
      <c r="AL568" s="136" t="str" cm="1">
        <f t="array" ref="AL568">_xlfn.IFS(
AI568&lt;3,"Ligera",
AI568&lt;=6,"Moderada",
AI568&gt;6,"Vigorosa"
)</f>
        <v>Moderada</v>
      </c>
      <c r="AM568" s="45" t="s">
        <v>49</v>
      </c>
      <c r="AN568" s="289" t="s">
        <v>49</v>
      </c>
      <c r="AO568" s="46" t="s">
        <v>61</v>
      </c>
      <c r="AP568" s="289" t="s">
        <v>173</v>
      </c>
      <c r="AQ568" s="139">
        <v>0</v>
      </c>
      <c r="AS568" s="294" t="s">
        <v>451</v>
      </c>
    </row>
    <row r="569" spans="1:45" ht="78.75" customHeight="1" thickBot="1">
      <c r="A569" s="138" t="s">
        <v>490</v>
      </c>
      <c r="B569" s="12">
        <v>111</v>
      </c>
      <c r="C569" s="12">
        <v>80.900000000000006</v>
      </c>
      <c r="D569" s="12">
        <v>25</v>
      </c>
      <c r="E569" s="12" t="s">
        <v>97</v>
      </c>
      <c r="F569" s="12" t="s">
        <v>97</v>
      </c>
      <c r="G569" s="12" t="s">
        <v>361</v>
      </c>
      <c r="H569" s="12"/>
      <c r="I569" s="12" t="s">
        <v>45</v>
      </c>
      <c r="J569" s="12" t="s">
        <v>47</v>
      </c>
      <c r="K569" s="12" t="s">
        <v>49</v>
      </c>
      <c r="L569" s="12" t="s">
        <v>48</v>
      </c>
      <c r="M569" s="11" t="s">
        <v>50</v>
      </c>
      <c r="N569" s="11" t="s">
        <v>50</v>
      </c>
      <c r="O569" s="11" t="s">
        <v>50</v>
      </c>
      <c r="P569" s="11" t="s">
        <v>51</v>
      </c>
      <c r="Q569" s="50" t="s">
        <v>149</v>
      </c>
      <c r="R569" s="47">
        <v>60</v>
      </c>
      <c r="S569" s="48">
        <v>13</v>
      </c>
      <c r="T569" s="52">
        <v>6.7</v>
      </c>
      <c r="U569" s="47">
        <v>54</v>
      </c>
      <c r="V569" s="47">
        <v>15.9</v>
      </c>
      <c r="W569" s="85">
        <v>6.41</v>
      </c>
      <c r="X569" s="130">
        <f t="shared" si="98"/>
        <v>2.9000000000000004</v>
      </c>
      <c r="Y569" s="16">
        <f t="shared" si="99"/>
        <v>0.8926769976997404</v>
      </c>
      <c r="Z569" s="286" t="s">
        <v>53</v>
      </c>
      <c r="AA569" s="286" t="s">
        <v>53</v>
      </c>
      <c r="AB569" s="16">
        <v>0.8926769976997404</v>
      </c>
      <c r="AC569" s="66" t="s">
        <v>48</v>
      </c>
      <c r="AD569" s="51" t="s">
        <v>491</v>
      </c>
      <c r="AE569" s="13">
        <v>24</v>
      </c>
      <c r="AF569" s="13">
        <v>0</v>
      </c>
      <c r="AG569" s="13">
        <v>0</v>
      </c>
      <c r="AH569" s="134">
        <v>0</v>
      </c>
      <c r="AI569" s="134">
        <v>0</v>
      </c>
      <c r="AJ569" s="135">
        <f t="shared" si="100"/>
        <v>0</v>
      </c>
      <c r="AK569" s="45">
        <f t="shared" si="105"/>
        <v>0</v>
      </c>
      <c r="AL569" s="136" t="str" cm="1">
        <f t="array" ref="AL569">_xlfn.IFS(
AI569&lt;3,"Ligera",
AI569&lt;=6,"Moderada",
AI569&gt;6,"Vigorosa"
)</f>
        <v>Ligera</v>
      </c>
      <c r="AM569" s="45" t="s">
        <v>49</v>
      </c>
      <c r="AN569" s="289" t="s">
        <v>49</v>
      </c>
      <c r="AO569" s="46" t="s">
        <v>49</v>
      </c>
      <c r="AP569" s="289" t="s">
        <v>49</v>
      </c>
      <c r="AQ569" s="139">
        <v>0</v>
      </c>
      <c r="AS569" s="294" t="s">
        <v>451</v>
      </c>
    </row>
    <row r="570" spans="1:45" ht="78.75" customHeight="1" thickBot="1">
      <c r="A570" s="138" t="s">
        <v>490</v>
      </c>
      <c r="B570" s="12">
        <v>111</v>
      </c>
      <c r="C570" s="12">
        <v>83</v>
      </c>
      <c r="D570" s="12">
        <v>23.5</v>
      </c>
      <c r="E570" s="12" t="s">
        <v>97</v>
      </c>
      <c r="F570" s="12" t="s">
        <v>97</v>
      </c>
      <c r="G570" s="12" t="s">
        <v>361</v>
      </c>
      <c r="H570" s="12"/>
      <c r="I570" s="12" t="s">
        <v>45</v>
      </c>
      <c r="J570" s="12" t="s">
        <v>47</v>
      </c>
      <c r="K570" s="12" t="s">
        <v>49</v>
      </c>
      <c r="L570" s="12" t="s">
        <v>48</v>
      </c>
      <c r="M570" s="11" t="s">
        <v>56</v>
      </c>
      <c r="N570" s="11" t="s">
        <v>410</v>
      </c>
      <c r="O570" s="50" t="s">
        <v>411</v>
      </c>
      <c r="P570" s="11" t="s">
        <v>51</v>
      </c>
      <c r="Q570" s="50" t="s">
        <v>149</v>
      </c>
      <c r="R570" s="47">
        <v>51</v>
      </c>
      <c r="S570" s="48">
        <v>12</v>
      </c>
      <c r="T570" s="52">
        <v>6.7</v>
      </c>
      <c r="U570" s="47">
        <v>45</v>
      </c>
      <c r="V570" s="47">
        <v>11.8</v>
      </c>
      <c r="W570" s="85">
        <v>6.51</v>
      </c>
      <c r="X570" s="130">
        <f t="shared" si="98"/>
        <v>-0.19999999999999929</v>
      </c>
      <c r="Y570" s="16">
        <f t="shared" si="99"/>
        <v>0.98492075259326772</v>
      </c>
      <c r="Z570" s="15">
        <f t="shared" si="102"/>
        <v>-3.0999999999999996</v>
      </c>
      <c r="AA570" s="16">
        <f t="shared" si="103"/>
        <v>41.674161855670107</v>
      </c>
      <c r="AB570" s="16">
        <f t="shared" si="104"/>
        <v>1.3030104465235584</v>
      </c>
      <c r="AC570" s="66" t="s">
        <v>48</v>
      </c>
      <c r="AD570" s="51" t="s">
        <v>493</v>
      </c>
      <c r="AE570" s="13">
        <v>24</v>
      </c>
      <c r="AF570" s="13">
        <v>4</v>
      </c>
      <c r="AG570" s="13">
        <v>30</v>
      </c>
      <c r="AH570" s="13">
        <v>221060</v>
      </c>
      <c r="AI570" s="13">
        <v>3.8</v>
      </c>
      <c r="AJ570" s="135">
        <f t="shared" si="100"/>
        <v>114</v>
      </c>
      <c r="AK570" s="45">
        <f t="shared" si="105"/>
        <v>456</v>
      </c>
      <c r="AL570" s="136" t="str" cm="1">
        <f t="array" ref="AL570">_xlfn.IFS(
AI570&lt;3,"Ligera",
AI570&lt;=6,"Moderada",
AI570&gt;6,"Vigorosa"
)</f>
        <v>Moderada</v>
      </c>
      <c r="AM570" s="45" t="s">
        <v>49</v>
      </c>
      <c r="AN570" s="289" t="s">
        <v>49</v>
      </c>
      <c r="AO570" s="46" t="s">
        <v>61</v>
      </c>
      <c r="AP570" s="289" t="s">
        <v>173</v>
      </c>
      <c r="AQ570" s="139">
        <v>0</v>
      </c>
      <c r="AS570" s="294" t="s">
        <v>451</v>
      </c>
    </row>
    <row r="571" spans="1:45" ht="78.75" customHeight="1" thickBot="1">
      <c r="A571" s="138" t="s">
        <v>490</v>
      </c>
      <c r="B571" s="12">
        <v>111</v>
      </c>
      <c r="C571" s="12">
        <v>80.900000000000006</v>
      </c>
      <c r="D571" s="12">
        <v>25</v>
      </c>
      <c r="E571" s="12" t="s">
        <v>97</v>
      </c>
      <c r="F571" s="12" t="s">
        <v>97</v>
      </c>
      <c r="G571" s="12" t="s">
        <v>361</v>
      </c>
      <c r="H571" s="12"/>
      <c r="I571" s="12" t="s">
        <v>45</v>
      </c>
      <c r="J571" s="12" t="s">
        <v>47</v>
      </c>
      <c r="K571" s="12" t="s">
        <v>49</v>
      </c>
      <c r="L571" s="12" t="s">
        <v>48</v>
      </c>
      <c r="M571" s="11" t="s">
        <v>50</v>
      </c>
      <c r="N571" s="11" t="s">
        <v>50</v>
      </c>
      <c r="O571" s="11" t="s">
        <v>50</v>
      </c>
      <c r="P571" s="11" t="s">
        <v>51</v>
      </c>
      <c r="Q571" s="50" t="s">
        <v>210</v>
      </c>
      <c r="R571" s="47">
        <v>60</v>
      </c>
      <c r="S571" s="48">
        <v>0.53</v>
      </c>
      <c r="T571" s="52">
        <v>0.36</v>
      </c>
      <c r="U571" s="47">
        <v>54</v>
      </c>
      <c r="V571" s="47">
        <v>0.37</v>
      </c>
      <c r="W571" s="85">
        <v>0.35</v>
      </c>
      <c r="X571" s="130">
        <f t="shared" si="98"/>
        <v>-0.16000000000000003</v>
      </c>
      <c r="Y571" s="16">
        <f t="shared" si="99"/>
        <v>4.8323753839961403E-2</v>
      </c>
      <c r="Z571" s="286" t="s">
        <v>53</v>
      </c>
      <c r="AA571" s="286" t="s">
        <v>53</v>
      </c>
      <c r="AB571" s="16">
        <v>4.8323753839961403E-2</v>
      </c>
      <c r="AC571" s="66" t="s">
        <v>49</v>
      </c>
      <c r="AD571" s="51" t="s">
        <v>491</v>
      </c>
      <c r="AE571" s="13">
        <v>24</v>
      </c>
      <c r="AF571" s="13">
        <v>0</v>
      </c>
      <c r="AG571" s="13">
        <v>0</v>
      </c>
      <c r="AH571" s="134">
        <v>0</v>
      </c>
      <c r="AI571" s="134">
        <v>0</v>
      </c>
      <c r="AJ571" s="135">
        <f t="shared" si="100"/>
        <v>0</v>
      </c>
      <c r="AK571" s="45">
        <f t="shared" si="105"/>
        <v>0</v>
      </c>
      <c r="AL571" s="136" t="str" cm="1">
        <f t="array" ref="AL571">_xlfn.IFS(
AI571&lt;3,"Ligera",
AI571&lt;=6,"Moderada",
AI571&gt;6,"Vigorosa"
)</f>
        <v>Ligera</v>
      </c>
      <c r="AM571" s="45" t="s">
        <v>49</v>
      </c>
      <c r="AN571" s="289" t="s">
        <v>49</v>
      </c>
      <c r="AO571" s="46" t="s">
        <v>49</v>
      </c>
      <c r="AP571" s="289" t="s">
        <v>49</v>
      </c>
      <c r="AQ571" s="139">
        <v>0</v>
      </c>
      <c r="AS571" s="294" t="s">
        <v>451</v>
      </c>
    </row>
    <row r="572" spans="1:45" ht="78.75" customHeight="1" thickBot="1">
      <c r="A572" s="138" t="s">
        <v>490</v>
      </c>
      <c r="B572" s="12">
        <v>111</v>
      </c>
      <c r="C572" s="12">
        <v>83</v>
      </c>
      <c r="D572" s="12">
        <v>23.5</v>
      </c>
      <c r="E572" s="12" t="s">
        <v>97</v>
      </c>
      <c r="F572" s="12" t="s">
        <v>97</v>
      </c>
      <c r="G572" s="12" t="s">
        <v>361</v>
      </c>
      <c r="H572" s="12"/>
      <c r="I572" s="12" t="s">
        <v>45</v>
      </c>
      <c r="J572" s="12" t="s">
        <v>47</v>
      </c>
      <c r="K572" s="12" t="s">
        <v>49</v>
      </c>
      <c r="L572" s="12" t="s">
        <v>48</v>
      </c>
      <c r="M572" s="11" t="s">
        <v>56</v>
      </c>
      <c r="N572" s="11" t="s">
        <v>410</v>
      </c>
      <c r="O572" s="50" t="s">
        <v>411</v>
      </c>
      <c r="P572" s="11" t="s">
        <v>51</v>
      </c>
      <c r="Q572" s="50" t="s">
        <v>210</v>
      </c>
      <c r="R572" s="47">
        <v>51</v>
      </c>
      <c r="S572" s="48">
        <v>0.57999999999999996</v>
      </c>
      <c r="T572" s="52">
        <v>0.28999999999999998</v>
      </c>
      <c r="U572" s="47">
        <v>45</v>
      </c>
      <c r="V572" s="47">
        <v>0.56000000000000005</v>
      </c>
      <c r="W572" s="85">
        <v>0.28999999999999998</v>
      </c>
      <c r="X572" s="130">
        <f t="shared" si="98"/>
        <v>-1.9999999999999907E-2</v>
      </c>
      <c r="Y572" s="16">
        <f t="shared" si="99"/>
        <v>4.3230647564995929E-2</v>
      </c>
      <c r="Z572" s="15">
        <f t="shared" si="102"/>
        <v>0.14000000000000012</v>
      </c>
      <c r="AA572" s="16">
        <f t="shared" si="103"/>
        <v>0.10508144329896905</v>
      </c>
      <c r="AB572" s="16">
        <f t="shared" si="104"/>
        <v>6.5430083586268992E-2</v>
      </c>
      <c r="AC572" s="66" t="s">
        <v>49</v>
      </c>
      <c r="AD572" s="51" t="s">
        <v>493</v>
      </c>
      <c r="AE572" s="13">
        <v>24</v>
      </c>
      <c r="AF572" s="13">
        <v>4</v>
      </c>
      <c r="AG572" s="13">
        <v>30</v>
      </c>
      <c r="AH572" s="13">
        <v>221060</v>
      </c>
      <c r="AI572" s="13">
        <v>3.8</v>
      </c>
      <c r="AJ572" s="135">
        <f t="shared" si="100"/>
        <v>114</v>
      </c>
      <c r="AK572" s="45">
        <f t="shared" si="105"/>
        <v>456</v>
      </c>
      <c r="AL572" s="136" t="str" cm="1">
        <f t="array" ref="AL572">_xlfn.IFS(
AI572&lt;3,"Ligera",
AI572&lt;=6,"Moderada",
AI572&gt;6,"Vigorosa"
)</f>
        <v>Moderada</v>
      </c>
      <c r="AM572" s="45" t="s">
        <v>49</v>
      </c>
      <c r="AN572" s="289" t="s">
        <v>49</v>
      </c>
      <c r="AO572" s="46" t="s">
        <v>61</v>
      </c>
      <c r="AP572" s="289" t="s">
        <v>173</v>
      </c>
      <c r="AQ572" s="139">
        <v>0</v>
      </c>
      <c r="AS572" s="294" t="s">
        <v>451</v>
      </c>
    </row>
    <row r="573" spans="1:45" ht="78.75" customHeight="1" thickBot="1">
      <c r="A573" s="138" t="s">
        <v>490</v>
      </c>
      <c r="B573" s="12">
        <v>111</v>
      </c>
      <c r="C573" s="12">
        <v>80.900000000000006</v>
      </c>
      <c r="D573" s="12">
        <v>25</v>
      </c>
      <c r="E573" s="12" t="s">
        <v>97</v>
      </c>
      <c r="F573" s="12" t="s">
        <v>97</v>
      </c>
      <c r="G573" s="12" t="s">
        <v>361</v>
      </c>
      <c r="H573" s="12"/>
      <c r="I573" s="12" t="s">
        <v>45</v>
      </c>
      <c r="J573" s="12" t="s">
        <v>47</v>
      </c>
      <c r="K573" s="12" t="s">
        <v>49</v>
      </c>
      <c r="L573" s="12" t="s">
        <v>48</v>
      </c>
      <c r="M573" s="11" t="s">
        <v>50</v>
      </c>
      <c r="N573" s="11" t="s">
        <v>50</v>
      </c>
      <c r="O573" s="11" t="s">
        <v>50</v>
      </c>
      <c r="P573" s="11" t="s">
        <v>51</v>
      </c>
      <c r="Q573" s="50" t="s">
        <v>495</v>
      </c>
      <c r="R573" s="47">
        <v>60</v>
      </c>
      <c r="S573" s="48">
        <v>0.8</v>
      </c>
      <c r="T573" s="52">
        <v>2.2999999999999998</v>
      </c>
      <c r="U573" s="47">
        <v>54</v>
      </c>
      <c r="V573" s="47">
        <v>0.88</v>
      </c>
      <c r="W573" s="85">
        <v>2.27</v>
      </c>
      <c r="X573" s="130">
        <f t="shared" si="98"/>
        <v>7.999999999999996E-2</v>
      </c>
      <c r="Y573" s="16">
        <f t="shared" si="99"/>
        <v>0.31096921367211228</v>
      </c>
      <c r="Z573" s="286" t="s">
        <v>53</v>
      </c>
      <c r="AA573" s="286" t="s">
        <v>53</v>
      </c>
      <c r="AB573" s="16">
        <v>0.31096921367211228</v>
      </c>
      <c r="AC573" s="66" t="s">
        <v>49</v>
      </c>
      <c r="AD573" s="51" t="s">
        <v>491</v>
      </c>
      <c r="AE573" s="13">
        <v>24</v>
      </c>
      <c r="AF573" s="13">
        <v>0</v>
      </c>
      <c r="AG573" s="13">
        <v>0</v>
      </c>
      <c r="AH573" s="134">
        <v>0</v>
      </c>
      <c r="AI573" s="134">
        <v>0</v>
      </c>
      <c r="AJ573" s="135">
        <f t="shared" si="100"/>
        <v>0</v>
      </c>
      <c r="AK573" s="45">
        <f t="shared" si="105"/>
        <v>0</v>
      </c>
      <c r="AL573" s="136" t="str" cm="1">
        <f t="array" ref="AL573">_xlfn.IFS(
AI573&lt;3,"Ligera",
AI573&lt;=6,"Moderada",
AI573&gt;6,"Vigorosa"
)</f>
        <v>Ligera</v>
      </c>
      <c r="AM573" s="45" t="s">
        <v>49</v>
      </c>
      <c r="AN573" s="289" t="s">
        <v>49</v>
      </c>
      <c r="AO573" s="46" t="s">
        <v>49</v>
      </c>
      <c r="AP573" s="289" t="s">
        <v>49</v>
      </c>
      <c r="AQ573" s="139">
        <v>0</v>
      </c>
      <c r="AS573" s="294" t="s">
        <v>451</v>
      </c>
    </row>
    <row r="574" spans="1:45" ht="78.75" customHeight="1" thickBot="1">
      <c r="A574" s="138" t="s">
        <v>490</v>
      </c>
      <c r="B574" s="12">
        <v>111</v>
      </c>
      <c r="C574" s="12">
        <v>83</v>
      </c>
      <c r="D574" s="12">
        <v>23.5</v>
      </c>
      <c r="E574" s="12" t="s">
        <v>97</v>
      </c>
      <c r="F574" s="12" t="s">
        <v>97</v>
      </c>
      <c r="G574" s="12" t="s">
        <v>361</v>
      </c>
      <c r="H574" s="12"/>
      <c r="I574" s="12" t="s">
        <v>45</v>
      </c>
      <c r="J574" s="12" t="s">
        <v>47</v>
      </c>
      <c r="K574" s="12" t="s">
        <v>49</v>
      </c>
      <c r="L574" s="12" t="s">
        <v>48</v>
      </c>
      <c r="M574" s="11" t="s">
        <v>56</v>
      </c>
      <c r="N574" s="11" t="s">
        <v>410</v>
      </c>
      <c r="O574" s="50" t="s">
        <v>411</v>
      </c>
      <c r="P574" s="11" t="s">
        <v>51</v>
      </c>
      <c r="Q574" s="50" t="s">
        <v>495</v>
      </c>
      <c r="R574" s="47">
        <v>51</v>
      </c>
      <c r="S574" s="48">
        <v>1.3</v>
      </c>
      <c r="T574" s="52">
        <v>2</v>
      </c>
      <c r="U574" s="47">
        <v>45</v>
      </c>
      <c r="V574" s="47">
        <v>2.2000000000000002</v>
      </c>
      <c r="W574" s="85">
        <v>1.96</v>
      </c>
      <c r="X574" s="130">
        <f t="shared" si="98"/>
        <v>0.90000000000000013</v>
      </c>
      <c r="Y574" s="16">
        <f t="shared" si="99"/>
        <v>0.29520614266418416</v>
      </c>
      <c r="Z574" s="15">
        <f t="shared" si="102"/>
        <v>0.82000000000000017</v>
      </c>
      <c r="AA574" s="16">
        <f t="shared" si="103"/>
        <v>4.5580835051546389</v>
      </c>
      <c r="AB574" s="16">
        <f t="shared" si="104"/>
        <v>0.43092887853815504</v>
      </c>
      <c r="AC574" s="66" t="s">
        <v>49</v>
      </c>
      <c r="AD574" s="51" t="s">
        <v>493</v>
      </c>
      <c r="AE574" s="13">
        <v>24</v>
      </c>
      <c r="AF574" s="13">
        <v>4</v>
      </c>
      <c r="AG574" s="13">
        <v>30</v>
      </c>
      <c r="AH574" s="13">
        <v>221060</v>
      </c>
      <c r="AI574" s="13">
        <v>3.8</v>
      </c>
      <c r="AJ574" s="135">
        <f t="shared" si="100"/>
        <v>114</v>
      </c>
      <c r="AK574" s="45">
        <f t="shared" si="105"/>
        <v>456</v>
      </c>
      <c r="AL574" s="136" t="str" cm="1">
        <f t="array" ref="AL574">_xlfn.IFS(
AI574&lt;3,"Ligera",
AI574&lt;=6,"Moderada",
AI574&gt;6,"Vigorosa"
)</f>
        <v>Moderada</v>
      </c>
      <c r="AM574" s="45" t="s">
        <v>49</v>
      </c>
      <c r="AN574" s="289" t="s">
        <v>49</v>
      </c>
      <c r="AO574" s="46" t="s">
        <v>61</v>
      </c>
      <c r="AP574" s="289" t="s">
        <v>173</v>
      </c>
      <c r="AQ574" s="139">
        <v>0</v>
      </c>
      <c r="AS574" s="294" t="s">
        <v>451</v>
      </c>
    </row>
    <row r="575" spans="1:45" ht="78.75" customHeight="1" thickBot="1">
      <c r="A575" s="138" t="s">
        <v>490</v>
      </c>
      <c r="B575" s="12">
        <v>111</v>
      </c>
      <c r="C575" s="12">
        <v>80.900000000000006</v>
      </c>
      <c r="D575" s="12">
        <v>25</v>
      </c>
      <c r="E575" s="12" t="s">
        <v>97</v>
      </c>
      <c r="F575" s="12" t="s">
        <v>97</v>
      </c>
      <c r="G575" s="12" t="s">
        <v>361</v>
      </c>
      <c r="H575" s="12"/>
      <c r="I575" s="12" t="s">
        <v>45</v>
      </c>
      <c r="J575" s="12" t="s">
        <v>47</v>
      </c>
      <c r="K575" s="12" t="s">
        <v>49</v>
      </c>
      <c r="L575" s="12" t="s">
        <v>48</v>
      </c>
      <c r="M575" s="11" t="s">
        <v>50</v>
      </c>
      <c r="N575" s="11" t="s">
        <v>50</v>
      </c>
      <c r="O575" s="11" t="s">
        <v>50</v>
      </c>
      <c r="P575" s="11" t="s">
        <v>51</v>
      </c>
      <c r="Q575" s="50" t="s">
        <v>92</v>
      </c>
      <c r="R575" s="47">
        <v>60</v>
      </c>
      <c r="S575" s="48">
        <v>14.2</v>
      </c>
      <c r="T575" s="52">
        <v>8.6999999999999993</v>
      </c>
      <c r="U575" s="47">
        <v>54</v>
      </c>
      <c r="V575" s="47">
        <v>7.8</v>
      </c>
      <c r="W575" s="85">
        <v>8.5500000000000007</v>
      </c>
      <c r="X575" s="130">
        <f t="shared" si="98"/>
        <v>-6.3999999999999995</v>
      </c>
      <c r="Y575" s="16">
        <f t="shared" si="99"/>
        <v>1.1738469519774146</v>
      </c>
      <c r="Z575" s="286" t="s">
        <v>53</v>
      </c>
      <c r="AA575" s="286" t="s">
        <v>53</v>
      </c>
      <c r="AB575" s="16">
        <v>1.1738469519774146</v>
      </c>
      <c r="AC575" s="66" t="s">
        <v>49</v>
      </c>
      <c r="AD575" s="51" t="s">
        <v>491</v>
      </c>
      <c r="AE575" s="13">
        <v>24</v>
      </c>
      <c r="AF575" s="13">
        <v>0</v>
      </c>
      <c r="AG575" s="13">
        <v>0</v>
      </c>
      <c r="AH575" s="134">
        <v>0</v>
      </c>
      <c r="AI575" s="134">
        <v>0</v>
      </c>
      <c r="AJ575" s="135">
        <f t="shared" si="100"/>
        <v>0</v>
      </c>
      <c r="AK575" s="45">
        <f t="shared" si="105"/>
        <v>0</v>
      </c>
      <c r="AL575" s="136" t="str" cm="1">
        <f t="array" ref="AL575">_xlfn.IFS(
AI575&lt;3,"Ligera",
AI575&lt;=6,"Moderada",
AI575&gt;6,"Vigorosa"
)</f>
        <v>Ligera</v>
      </c>
      <c r="AM575" s="45" t="s">
        <v>49</v>
      </c>
      <c r="AN575" s="289" t="s">
        <v>49</v>
      </c>
      <c r="AO575" s="46" t="s">
        <v>49</v>
      </c>
      <c r="AP575" s="289" t="s">
        <v>49</v>
      </c>
      <c r="AQ575" s="139">
        <v>0</v>
      </c>
      <c r="AS575" s="294" t="s">
        <v>451</v>
      </c>
    </row>
    <row r="576" spans="1:45" ht="78.75" customHeight="1" thickBot="1">
      <c r="A576" s="140" t="s">
        <v>490</v>
      </c>
      <c r="B576" s="141">
        <v>111</v>
      </c>
      <c r="C576" s="141">
        <v>83</v>
      </c>
      <c r="D576" s="141">
        <v>23.5</v>
      </c>
      <c r="E576" s="141" t="s">
        <v>97</v>
      </c>
      <c r="F576" s="141" t="s">
        <v>97</v>
      </c>
      <c r="G576" s="141" t="s">
        <v>361</v>
      </c>
      <c r="H576" s="141"/>
      <c r="I576" s="141" t="s">
        <v>45</v>
      </c>
      <c r="J576" s="141" t="s">
        <v>47</v>
      </c>
      <c r="K576" s="141" t="s">
        <v>49</v>
      </c>
      <c r="L576" s="141" t="s">
        <v>48</v>
      </c>
      <c r="M576" s="142" t="s">
        <v>56</v>
      </c>
      <c r="N576" s="142" t="s">
        <v>410</v>
      </c>
      <c r="O576" s="158" t="s">
        <v>411</v>
      </c>
      <c r="P576" s="142" t="s">
        <v>51</v>
      </c>
      <c r="Q576" s="158" t="s">
        <v>92</v>
      </c>
      <c r="R576" s="169">
        <v>51</v>
      </c>
      <c r="S576" s="170">
        <v>16</v>
      </c>
      <c r="T576" s="171">
        <v>10</v>
      </c>
      <c r="U576" s="169">
        <v>45</v>
      </c>
      <c r="V576" s="169">
        <v>13.8</v>
      </c>
      <c r="W576" s="172">
        <v>9.83</v>
      </c>
      <c r="X576" s="130">
        <f t="shared" si="98"/>
        <v>-2.1999999999999993</v>
      </c>
      <c r="Y576" s="16">
        <f t="shared" si="99"/>
        <v>1.4782038650560572</v>
      </c>
      <c r="Z576" s="15">
        <f t="shared" si="102"/>
        <v>4.2</v>
      </c>
      <c r="AA576" s="16">
        <f t="shared" si="103"/>
        <v>83.774269072164955</v>
      </c>
      <c r="AB576" s="16">
        <f t="shared" si="104"/>
        <v>1.8474376246612843</v>
      </c>
      <c r="AC576" s="66" t="s">
        <v>49</v>
      </c>
      <c r="AD576" s="151" t="s">
        <v>493</v>
      </c>
      <c r="AE576" s="146">
        <v>24</v>
      </c>
      <c r="AF576" s="146">
        <v>4</v>
      </c>
      <c r="AG576" s="146">
        <v>30</v>
      </c>
      <c r="AH576" s="13">
        <v>221060</v>
      </c>
      <c r="AI576" s="13">
        <v>3.8</v>
      </c>
      <c r="AJ576" s="135">
        <f t="shared" si="100"/>
        <v>114</v>
      </c>
      <c r="AK576" s="45">
        <f t="shared" si="105"/>
        <v>456</v>
      </c>
      <c r="AL576" s="136" t="str" cm="1">
        <f t="array" ref="AL576">_xlfn.IFS(
AI576&lt;3,"Ligera",
AI576&lt;=6,"Moderada",
AI576&gt;6,"Vigorosa"
)</f>
        <v>Moderada</v>
      </c>
      <c r="AM576" s="147" t="s">
        <v>49</v>
      </c>
      <c r="AN576" s="290" t="s">
        <v>49</v>
      </c>
      <c r="AO576" s="148" t="s">
        <v>61</v>
      </c>
      <c r="AP576" s="290" t="s">
        <v>173</v>
      </c>
      <c r="AQ576" s="149">
        <v>0</v>
      </c>
      <c r="AS576" s="294" t="s">
        <v>451</v>
      </c>
    </row>
    <row r="577" spans="1:45" ht="78.75" customHeight="1" thickBot="1">
      <c r="A577" s="124" t="s">
        <v>496</v>
      </c>
      <c r="B577" s="125">
        <v>163</v>
      </c>
      <c r="C577" s="125">
        <v>73.900000000000006</v>
      </c>
      <c r="D577" s="125">
        <v>48.15</v>
      </c>
      <c r="E577" s="125" t="s">
        <v>45</v>
      </c>
      <c r="F577" s="125" t="s">
        <v>45</v>
      </c>
      <c r="G577" s="125" t="s">
        <v>422</v>
      </c>
      <c r="H577" s="125"/>
      <c r="I577" s="125" t="s">
        <v>45</v>
      </c>
      <c r="J577" s="125" t="s">
        <v>47</v>
      </c>
      <c r="K577" s="125" t="s">
        <v>49</v>
      </c>
      <c r="L577" s="125" t="s">
        <v>49</v>
      </c>
      <c r="M577" s="126" t="s">
        <v>50</v>
      </c>
      <c r="N577" s="126" t="s">
        <v>50</v>
      </c>
      <c r="O577" s="126" t="s">
        <v>50</v>
      </c>
      <c r="P577" s="126" t="s">
        <v>86</v>
      </c>
      <c r="Q577" s="159" t="s">
        <v>86</v>
      </c>
      <c r="R577" s="167">
        <v>81</v>
      </c>
      <c r="S577" s="168">
        <v>0.7</v>
      </c>
      <c r="T577" s="179">
        <v>1.3</v>
      </c>
      <c r="U577" s="168">
        <v>77</v>
      </c>
      <c r="V577" s="167">
        <v>0.5</v>
      </c>
      <c r="W577" s="168">
        <v>1.1000000000000001</v>
      </c>
      <c r="X577" s="130">
        <f t="shared" si="98"/>
        <v>-0.19999999999999996</v>
      </c>
      <c r="Y577" s="16">
        <f t="shared" si="99"/>
        <v>0.13816985594155148</v>
      </c>
      <c r="Z577" s="286" t="s">
        <v>53</v>
      </c>
      <c r="AA577" s="286" t="s">
        <v>53</v>
      </c>
      <c r="AB577" s="16">
        <v>0.13816985594155148</v>
      </c>
      <c r="AC577" s="66" t="s">
        <v>48</v>
      </c>
      <c r="AD577" s="133" t="s">
        <v>497</v>
      </c>
      <c r="AE577" s="134">
        <v>12</v>
      </c>
      <c r="AF577" s="134">
        <v>0</v>
      </c>
      <c r="AG577" s="134">
        <v>0</v>
      </c>
      <c r="AH577" s="134">
        <v>0</v>
      </c>
      <c r="AI577" s="134">
        <v>0</v>
      </c>
      <c r="AJ577" s="135">
        <f t="shared" si="100"/>
        <v>0</v>
      </c>
      <c r="AK577" s="45">
        <f t="shared" si="105"/>
        <v>0</v>
      </c>
      <c r="AL577" s="136" t="str" cm="1">
        <f t="array" ref="AL577">_xlfn.IFS(
AI577&lt;3,"Ligera",
AI577&lt;=6,"Moderada",
AI577&gt;6,"Vigorosa"
)</f>
        <v>Ligera</v>
      </c>
      <c r="AM577" s="136" t="s">
        <v>49</v>
      </c>
      <c r="AN577" s="288" t="s">
        <v>49</v>
      </c>
      <c r="AO577" s="135" t="s">
        <v>49</v>
      </c>
      <c r="AP577" s="288" t="s">
        <v>49</v>
      </c>
      <c r="AQ577" s="137">
        <v>0</v>
      </c>
    </row>
    <row r="578" spans="1:45" ht="78.75" customHeight="1" thickBot="1">
      <c r="A578" s="138" t="s">
        <v>496</v>
      </c>
      <c r="B578" s="12">
        <v>163</v>
      </c>
      <c r="C578" s="12">
        <v>75.3</v>
      </c>
      <c r="D578" s="12">
        <v>45.12</v>
      </c>
      <c r="E578" s="12" t="s">
        <v>45</v>
      </c>
      <c r="F578" s="12" t="s">
        <v>45</v>
      </c>
      <c r="G578" s="12" t="s">
        <v>422</v>
      </c>
      <c r="H578" s="12"/>
      <c r="I578" s="12" t="s">
        <v>45</v>
      </c>
      <c r="J578" s="12" t="s">
        <v>47</v>
      </c>
      <c r="K578" s="12" t="s">
        <v>49</v>
      </c>
      <c r="L578" s="12" t="s">
        <v>49</v>
      </c>
      <c r="M578" s="11" t="s">
        <v>56</v>
      </c>
      <c r="N578" s="11" t="s">
        <v>76</v>
      </c>
      <c r="O578" s="11" t="s">
        <v>103</v>
      </c>
      <c r="P578" s="11" t="s">
        <v>86</v>
      </c>
      <c r="Q578" s="50" t="s">
        <v>86</v>
      </c>
      <c r="R578" s="47">
        <v>82</v>
      </c>
      <c r="S578" s="48">
        <v>0.8</v>
      </c>
      <c r="T578" s="52">
        <v>1.4</v>
      </c>
      <c r="U578" s="48">
        <v>75</v>
      </c>
      <c r="V578" s="47">
        <v>0.3</v>
      </c>
      <c r="W578" s="48">
        <v>0.8</v>
      </c>
      <c r="X578" s="130">
        <f t="shared" si="98"/>
        <v>-0.5</v>
      </c>
      <c r="Y578" s="16">
        <f t="shared" si="99"/>
        <v>0.14047538337136983</v>
      </c>
      <c r="Z578" s="15">
        <f t="shared" si="102"/>
        <v>-0.30000000000000004</v>
      </c>
      <c r="AA578" s="16">
        <f t="shared" si="103"/>
        <v>0.92880000000000018</v>
      </c>
      <c r="AB578" s="16">
        <f t="shared" si="104"/>
        <v>0.15635324640805404</v>
      </c>
      <c r="AC578" s="66" t="s">
        <v>48</v>
      </c>
      <c r="AD578" s="51" t="s">
        <v>498</v>
      </c>
      <c r="AE578" s="13">
        <v>12</v>
      </c>
      <c r="AF578" s="13">
        <v>5</v>
      </c>
      <c r="AG578" s="13">
        <v>60</v>
      </c>
      <c r="AH578" s="13" t="s">
        <v>499</v>
      </c>
      <c r="AI578" s="13">
        <v>4.05</v>
      </c>
      <c r="AJ578" s="135">
        <f t="shared" si="100"/>
        <v>243</v>
      </c>
      <c r="AK578" s="45">
        <f t="shared" si="105"/>
        <v>1215</v>
      </c>
      <c r="AL578" s="136" t="str" cm="1">
        <f t="array" ref="AL578">_xlfn.IFS(
AI578&lt;3,"Ligera",
AI578&lt;=6,"Moderada",
AI578&gt;6,"Vigorosa"
)</f>
        <v>Moderada</v>
      </c>
      <c r="AM578" s="45" t="s">
        <v>48</v>
      </c>
      <c r="AN578" s="289" t="s">
        <v>60</v>
      </c>
      <c r="AO578" s="46" t="s">
        <v>61</v>
      </c>
      <c r="AP578" s="289" t="s">
        <v>173</v>
      </c>
      <c r="AQ578" s="139">
        <v>0</v>
      </c>
    </row>
    <row r="579" spans="1:45" ht="78.75" customHeight="1" thickBot="1">
      <c r="A579" s="138" t="s">
        <v>496</v>
      </c>
      <c r="B579" s="12">
        <v>163</v>
      </c>
      <c r="C579" s="12">
        <v>73.900000000000006</v>
      </c>
      <c r="D579" s="12">
        <v>48.15</v>
      </c>
      <c r="E579" s="12" t="s">
        <v>45</v>
      </c>
      <c r="F579" s="12" t="s">
        <v>45</v>
      </c>
      <c r="G579" s="12" t="s">
        <v>422</v>
      </c>
      <c r="H579" s="12"/>
      <c r="I579" s="12" t="s">
        <v>45</v>
      </c>
      <c r="J579" s="12" t="s">
        <v>47</v>
      </c>
      <c r="K579" s="12" t="s">
        <v>49</v>
      </c>
      <c r="L579" s="12" t="s">
        <v>49</v>
      </c>
      <c r="M579" s="11" t="s">
        <v>50</v>
      </c>
      <c r="N579" s="11" t="s">
        <v>50</v>
      </c>
      <c r="O579" s="11" t="s">
        <v>50</v>
      </c>
      <c r="P579" s="11" t="s">
        <v>86</v>
      </c>
      <c r="Q579" s="50" t="s">
        <v>87</v>
      </c>
      <c r="R579" s="47">
        <v>81</v>
      </c>
      <c r="S579" s="48">
        <v>47.7</v>
      </c>
      <c r="T579" s="52">
        <v>8.8000000000000007</v>
      </c>
      <c r="U579" s="48">
        <v>77</v>
      </c>
      <c r="V579" s="47">
        <v>44.7</v>
      </c>
      <c r="W579" s="48">
        <v>9.9</v>
      </c>
      <c r="X579" s="130">
        <f t="shared" si="98"/>
        <v>-3</v>
      </c>
      <c r="Y579" s="16">
        <f t="shared" si="99"/>
        <v>1.0710475512986608</v>
      </c>
      <c r="Z579" s="286" t="s">
        <v>53</v>
      </c>
      <c r="AA579" s="286" t="s">
        <v>53</v>
      </c>
      <c r="AB579" s="16">
        <v>1.0710475512986608</v>
      </c>
      <c r="AC579" s="66" t="s">
        <v>49</v>
      </c>
      <c r="AD579" s="51" t="s">
        <v>497</v>
      </c>
      <c r="AE579" s="13">
        <v>12</v>
      </c>
      <c r="AF579" s="13">
        <v>0</v>
      </c>
      <c r="AG579" s="13">
        <v>0</v>
      </c>
      <c r="AH579" s="134">
        <v>0</v>
      </c>
      <c r="AI579" s="134">
        <v>0</v>
      </c>
      <c r="AJ579" s="135">
        <f t="shared" si="100"/>
        <v>0</v>
      </c>
      <c r="AK579" s="45">
        <f t="shared" si="105"/>
        <v>0</v>
      </c>
      <c r="AL579" s="136" t="str" cm="1">
        <f t="array" ref="AL579">_xlfn.IFS(
AI579&lt;3,"Ligera",
AI579&lt;=6,"Moderada",
AI579&gt;6,"Vigorosa"
)</f>
        <v>Ligera</v>
      </c>
      <c r="AM579" s="45" t="s">
        <v>49</v>
      </c>
      <c r="AN579" s="289" t="s">
        <v>49</v>
      </c>
      <c r="AO579" s="46" t="s">
        <v>49</v>
      </c>
      <c r="AP579" s="289" t="s">
        <v>49</v>
      </c>
      <c r="AQ579" s="139">
        <v>0</v>
      </c>
    </row>
    <row r="580" spans="1:45" ht="78.75" customHeight="1" thickBot="1">
      <c r="A580" s="140" t="s">
        <v>496</v>
      </c>
      <c r="B580" s="141">
        <v>163</v>
      </c>
      <c r="C580" s="141">
        <v>75.3</v>
      </c>
      <c r="D580" s="141">
        <v>45.12</v>
      </c>
      <c r="E580" s="141" t="s">
        <v>45</v>
      </c>
      <c r="F580" s="141" t="s">
        <v>45</v>
      </c>
      <c r="G580" s="141" t="s">
        <v>422</v>
      </c>
      <c r="H580" s="141"/>
      <c r="I580" s="141" t="s">
        <v>45</v>
      </c>
      <c r="J580" s="141" t="s">
        <v>47</v>
      </c>
      <c r="K580" s="141" t="s">
        <v>49</v>
      </c>
      <c r="L580" s="141" t="s">
        <v>49</v>
      </c>
      <c r="M580" s="142" t="s">
        <v>56</v>
      </c>
      <c r="N580" s="142" t="s">
        <v>76</v>
      </c>
      <c r="O580" s="142" t="s">
        <v>103</v>
      </c>
      <c r="P580" s="11" t="s">
        <v>86</v>
      </c>
      <c r="Q580" s="158" t="s">
        <v>87</v>
      </c>
      <c r="R580" s="169">
        <v>82</v>
      </c>
      <c r="S580" s="170">
        <v>46.7</v>
      </c>
      <c r="T580" s="171">
        <v>10.3</v>
      </c>
      <c r="U580" s="170">
        <v>75</v>
      </c>
      <c r="V580" s="169">
        <v>47</v>
      </c>
      <c r="W580" s="170">
        <v>9.9</v>
      </c>
      <c r="X580" s="130">
        <f t="shared" si="98"/>
        <v>0.29999999999999716</v>
      </c>
      <c r="Y580" s="16">
        <f t="shared" si="99"/>
        <v>1.1669333028641067</v>
      </c>
      <c r="Z580" s="15">
        <f t="shared" si="102"/>
        <v>3.2999999999999972</v>
      </c>
      <c r="AA580" s="16">
        <f t="shared" si="103"/>
        <v>98.01</v>
      </c>
      <c r="AB580" s="16">
        <f t="shared" si="104"/>
        <v>1.6061311101081204</v>
      </c>
      <c r="AC580" s="66" t="s">
        <v>49</v>
      </c>
      <c r="AD580" s="151" t="s">
        <v>498</v>
      </c>
      <c r="AE580" s="146">
        <v>12</v>
      </c>
      <c r="AF580" s="146">
        <v>5</v>
      </c>
      <c r="AG580" s="146">
        <v>60</v>
      </c>
      <c r="AH580" s="13" t="s">
        <v>499</v>
      </c>
      <c r="AI580" s="13">
        <v>4.05</v>
      </c>
      <c r="AJ580" s="135">
        <f t="shared" ref="AJ580" si="106">AI580*AG580</f>
        <v>243</v>
      </c>
      <c r="AK580" s="45">
        <f t="shared" si="105"/>
        <v>1215</v>
      </c>
      <c r="AL580" s="136" t="str" cm="1">
        <f t="array" ref="AL580">_xlfn.IFS(
AI580&lt;3,"Ligera",
AI580&lt;=6,"Moderada",
AI580&gt;6,"Vigorosa"
)</f>
        <v>Moderada</v>
      </c>
      <c r="AM580" s="147" t="s">
        <v>48</v>
      </c>
      <c r="AN580" s="290" t="s">
        <v>60</v>
      </c>
      <c r="AO580" s="148" t="s">
        <v>61</v>
      </c>
      <c r="AP580" s="290" t="s">
        <v>173</v>
      </c>
      <c r="AQ580" s="149">
        <v>0</v>
      </c>
    </row>
    <row r="581" spans="1:45" ht="78.75" customHeight="1" thickBot="1">
      <c r="A581" s="124" t="s">
        <v>500</v>
      </c>
      <c r="B581" s="125">
        <v>45</v>
      </c>
      <c r="C581" s="125">
        <v>77.8</v>
      </c>
      <c r="D581" s="125" t="s">
        <v>47</v>
      </c>
      <c r="E581" s="125" t="s">
        <v>45</v>
      </c>
      <c r="F581" s="125" t="s">
        <v>45</v>
      </c>
      <c r="G581" s="125" t="s">
        <v>395</v>
      </c>
      <c r="H581" s="125"/>
      <c r="I581" s="125" t="s">
        <v>98</v>
      </c>
      <c r="J581" s="125">
        <v>1.7</v>
      </c>
      <c r="K581" s="125" t="s">
        <v>49</v>
      </c>
      <c r="L581" s="125" t="s">
        <v>49</v>
      </c>
      <c r="M581" s="126" t="s">
        <v>50</v>
      </c>
      <c r="N581" s="126" t="s">
        <v>50</v>
      </c>
      <c r="O581" s="126" t="s">
        <v>50</v>
      </c>
      <c r="P581" s="126" t="s">
        <v>51</v>
      </c>
      <c r="Q581" s="159" t="s">
        <v>299</v>
      </c>
      <c r="R581" s="168">
        <v>24</v>
      </c>
      <c r="S581" s="168">
        <v>10.5</v>
      </c>
      <c r="T581" s="201">
        <v>3.63</v>
      </c>
      <c r="U581" s="168">
        <v>24</v>
      </c>
      <c r="V581" s="182">
        <v>11.2</v>
      </c>
      <c r="W581" s="198">
        <v>2.52</v>
      </c>
      <c r="X581" s="130">
        <f t="shared" si="98"/>
        <v>0.69999999999999929</v>
      </c>
      <c r="Y581" s="16">
        <f t="shared" si="99"/>
        <v>0.65763781825561096</v>
      </c>
      <c r="Z581" s="286" t="s">
        <v>53</v>
      </c>
      <c r="AA581" s="286" t="s">
        <v>53</v>
      </c>
      <c r="AB581" s="16">
        <v>0.65763781825561096</v>
      </c>
      <c r="AC581" s="66" t="s">
        <v>49</v>
      </c>
      <c r="AD581" s="133" t="s">
        <v>501</v>
      </c>
      <c r="AE581" s="134">
        <v>12</v>
      </c>
      <c r="AF581" s="134">
        <v>0</v>
      </c>
      <c r="AG581" s="134">
        <v>0</v>
      </c>
      <c r="AH581" s="134">
        <v>0</v>
      </c>
      <c r="AI581" s="134">
        <v>0</v>
      </c>
      <c r="AJ581" s="135">
        <f t="shared" si="100"/>
        <v>0</v>
      </c>
      <c r="AK581" s="45">
        <f t="shared" si="105"/>
        <v>0</v>
      </c>
      <c r="AL581" s="136" t="str" cm="1">
        <f t="array" ref="AL581">_xlfn.IFS(
AI581&lt;3,"Ligera",
AI581&lt;=6,"Moderada",
AI581&gt;6,"Vigorosa"
)</f>
        <v>Ligera</v>
      </c>
      <c r="AM581" s="136" t="s">
        <v>49</v>
      </c>
      <c r="AN581" s="288" t="s">
        <v>49</v>
      </c>
      <c r="AO581" s="135" t="s">
        <v>49</v>
      </c>
      <c r="AP581" s="288" t="s">
        <v>49</v>
      </c>
      <c r="AQ581" s="137">
        <v>0</v>
      </c>
      <c r="AS581" s="197" t="s">
        <v>207</v>
      </c>
    </row>
    <row r="582" spans="1:45" ht="78.75" customHeight="1" thickBot="1">
      <c r="A582" s="138" t="s">
        <v>500</v>
      </c>
      <c r="B582" s="12">
        <v>45</v>
      </c>
      <c r="C582" s="12">
        <v>73.3</v>
      </c>
      <c r="D582" s="12" t="s">
        <v>47</v>
      </c>
      <c r="E582" s="12" t="s">
        <v>45</v>
      </c>
      <c r="F582" s="12" t="s">
        <v>45</v>
      </c>
      <c r="G582" s="12" t="s">
        <v>395</v>
      </c>
      <c r="H582" s="12"/>
      <c r="I582" s="12" t="s">
        <v>98</v>
      </c>
      <c r="J582" s="12">
        <v>2.2000000000000002</v>
      </c>
      <c r="K582" s="12" t="s">
        <v>49</v>
      </c>
      <c r="L582" s="12" t="s">
        <v>49</v>
      </c>
      <c r="M582" s="11" t="s">
        <v>56</v>
      </c>
      <c r="N582" s="11" t="s">
        <v>76</v>
      </c>
      <c r="O582" s="11" t="s">
        <v>103</v>
      </c>
      <c r="P582" s="11" t="s">
        <v>51</v>
      </c>
      <c r="Q582" s="50" t="s">
        <v>299</v>
      </c>
      <c r="R582" s="48">
        <v>13</v>
      </c>
      <c r="S582" s="48">
        <v>8.6999999999999993</v>
      </c>
      <c r="T582" s="200">
        <v>7.41</v>
      </c>
      <c r="U582" s="48">
        <v>13</v>
      </c>
      <c r="V582" s="47">
        <v>16.7</v>
      </c>
      <c r="W582" s="195">
        <v>2.96</v>
      </c>
      <c r="X582" s="130">
        <f t="shared" si="98"/>
        <v>8</v>
      </c>
      <c r="Y582" s="16">
        <f t="shared" si="99"/>
        <v>1.7917782314698525</v>
      </c>
      <c r="Z582" s="15">
        <f t="shared" si="102"/>
        <v>7.3000000000000007</v>
      </c>
      <c r="AA582" s="16">
        <f t="shared" si="103"/>
        <v>7.1770971428571428</v>
      </c>
      <c r="AB582" s="16">
        <f t="shared" si="104"/>
        <v>0.92256713028923254</v>
      </c>
      <c r="AC582" s="66" t="s">
        <v>49</v>
      </c>
      <c r="AD582" s="51" t="s">
        <v>502</v>
      </c>
      <c r="AE582" s="13">
        <v>12</v>
      </c>
      <c r="AF582" s="13">
        <v>3</v>
      </c>
      <c r="AG582" s="13">
        <v>40</v>
      </c>
      <c r="AH582" s="13" t="s">
        <v>499</v>
      </c>
      <c r="AI582" s="13">
        <v>4.05</v>
      </c>
      <c r="AJ582" s="135">
        <f t="shared" si="100"/>
        <v>162</v>
      </c>
      <c r="AK582" s="45">
        <f t="shared" si="105"/>
        <v>486</v>
      </c>
      <c r="AL582" s="136" t="str" cm="1">
        <f t="array" ref="AL582">_xlfn.IFS(
AI582&lt;3,"Ligera",
AI582&lt;=6,"Moderada",
AI582&gt;6,"Vigorosa"
)</f>
        <v>Moderada</v>
      </c>
      <c r="AM582" s="45" t="s">
        <v>48</v>
      </c>
      <c r="AN582" s="289" t="s">
        <v>60</v>
      </c>
      <c r="AO582" s="46" t="s">
        <v>61</v>
      </c>
      <c r="AP582" s="289" t="s">
        <v>173</v>
      </c>
      <c r="AQ582" s="139">
        <v>0</v>
      </c>
      <c r="AS582" s="197" t="s">
        <v>207</v>
      </c>
    </row>
    <row r="583" spans="1:45" ht="78.75" customHeight="1" thickBot="1">
      <c r="A583" s="138" t="s">
        <v>500</v>
      </c>
      <c r="B583" s="12">
        <v>45</v>
      </c>
      <c r="C583" s="12">
        <v>77.8</v>
      </c>
      <c r="D583" s="12" t="s">
        <v>47</v>
      </c>
      <c r="E583" s="12" t="s">
        <v>45</v>
      </c>
      <c r="F583" s="12" t="s">
        <v>45</v>
      </c>
      <c r="G583" s="12" t="s">
        <v>395</v>
      </c>
      <c r="H583" s="12"/>
      <c r="I583" s="12" t="s">
        <v>98</v>
      </c>
      <c r="J583" s="12">
        <v>1.7</v>
      </c>
      <c r="K583" s="12" t="s">
        <v>49</v>
      </c>
      <c r="L583" s="12" t="s">
        <v>49</v>
      </c>
      <c r="M583" s="11" t="s">
        <v>50</v>
      </c>
      <c r="N583" s="11" t="s">
        <v>50</v>
      </c>
      <c r="O583" s="11" t="s">
        <v>50</v>
      </c>
      <c r="P583" s="11" t="s">
        <v>51</v>
      </c>
      <c r="Q583" s="50" t="s">
        <v>293</v>
      </c>
      <c r="R583" s="48">
        <v>24</v>
      </c>
      <c r="S583" s="48">
        <v>11</v>
      </c>
      <c r="T583" s="200">
        <v>2.96</v>
      </c>
      <c r="U583" s="48">
        <v>24</v>
      </c>
      <c r="V583" s="47">
        <v>12.7</v>
      </c>
      <c r="W583" s="195">
        <v>2.52</v>
      </c>
      <c r="X583" s="130">
        <f t="shared" si="98"/>
        <v>1.6999999999999993</v>
      </c>
      <c r="Y583" s="16">
        <f t="shared" si="99"/>
        <v>0.56468280181591035</v>
      </c>
      <c r="Z583" s="286" t="s">
        <v>53</v>
      </c>
      <c r="AA583" s="286" t="s">
        <v>53</v>
      </c>
      <c r="AB583" s="16">
        <v>0.56468280181591035</v>
      </c>
      <c r="AC583" s="66" t="s">
        <v>49</v>
      </c>
      <c r="AD583" s="51" t="s">
        <v>501</v>
      </c>
      <c r="AE583" s="13">
        <v>12</v>
      </c>
      <c r="AF583" s="13">
        <v>0</v>
      </c>
      <c r="AG583" s="13">
        <v>0</v>
      </c>
      <c r="AH583" s="134">
        <v>0</v>
      </c>
      <c r="AI583" s="134">
        <v>0</v>
      </c>
      <c r="AJ583" s="135">
        <f t="shared" si="100"/>
        <v>0</v>
      </c>
      <c r="AK583" s="45">
        <f t="shared" si="105"/>
        <v>0</v>
      </c>
      <c r="AL583" s="136" t="str" cm="1">
        <f t="array" ref="AL583">_xlfn.IFS(
AI583&lt;3,"Ligera",
AI583&lt;=6,"Moderada",
AI583&gt;6,"Vigorosa"
)</f>
        <v>Ligera</v>
      </c>
      <c r="AM583" s="45" t="s">
        <v>49</v>
      </c>
      <c r="AN583" s="289" t="s">
        <v>49</v>
      </c>
      <c r="AO583" s="46" t="s">
        <v>49</v>
      </c>
      <c r="AP583" s="289" t="s">
        <v>49</v>
      </c>
      <c r="AQ583" s="139">
        <v>0</v>
      </c>
      <c r="AS583" s="197" t="s">
        <v>207</v>
      </c>
    </row>
    <row r="584" spans="1:45" ht="78.75" customHeight="1" thickBot="1">
      <c r="A584" s="138" t="s">
        <v>500</v>
      </c>
      <c r="B584" s="12">
        <v>45</v>
      </c>
      <c r="C584" s="12">
        <v>73.3</v>
      </c>
      <c r="D584" s="12" t="s">
        <v>47</v>
      </c>
      <c r="E584" s="12" t="s">
        <v>45</v>
      </c>
      <c r="F584" s="12" t="s">
        <v>45</v>
      </c>
      <c r="G584" s="12" t="s">
        <v>395</v>
      </c>
      <c r="H584" s="12"/>
      <c r="I584" s="12" t="s">
        <v>98</v>
      </c>
      <c r="J584" s="12">
        <v>2.2000000000000002</v>
      </c>
      <c r="K584" s="12" t="s">
        <v>49</v>
      </c>
      <c r="L584" s="12" t="s">
        <v>49</v>
      </c>
      <c r="M584" s="11" t="s">
        <v>56</v>
      </c>
      <c r="N584" s="11" t="s">
        <v>76</v>
      </c>
      <c r="O584" s="11" t="s">
        <v>103</v>
      </c>
      <c r="P584" s="11" t="s">
        <v>51</v>
      </c>
      <c r="Q584" s="50" t="s">
        <v>293</v>
      </c>
      <c r="R584" s="48">
        <v>13</v>
      </c>
      <c r="S584" s="48">
        <v>10.1</v>
      </c>
      <c r="T584" s="200">
        <v>6.3</v>
      </c>
      <c r="U584" s="48">
        <v>13</v>
      </c>
      <c r="V584" s="63">
        <v>17.2</v>
      </c>
      <c r="W584" s="195">
        <v>2.96</v>
      </c>
      <c r="X584" s="130">
        <f t="shared" si="98"/>
        <v>7.1</v>
      </c>
      <c r="Y584" s="16">
        <f t="shared" si="99"/>
        <v>1.5141283351765846</v>
      </c>
      <c r="Z584" s="15">
        <f t="shared" si="102"/>
        <v>5.4</v>
      </c>
      <c r="AA584" s="16">
        <f t="shared" si="103"/>
        <v>7.1770971428571428</v>
      </c>
      <c r="AB584" s="16">
        <f t="shared" si="104"/>
        <v>0.92256713028923254</v>
      </c>
      <c r="AC584" s="66" t="s">
        <v>49</v>
      </c>
      <c r="AD584" s="51" t="s">
        <v>502</v>
      </c>
      <c r="AE584" s="13">
        <v>12</v>
      </c>
      <c r="AF584" s="13">
        <v>3</v>
      </c>
      <c r="AG584" s="13">
        <v>40</v>
      </c>
      <c r="AH584" s="13" t="s">
        <v>499</v>
      </c>
      <c r="AI584" s="13">
        <v>4.05</v>
      </c>
      <c r="AJ584" s="135">
        <f t="shared" si="100"/>
        <v>162</v>
      </c>
      <c r="AK584" s="45">
        <f t="shared" si="105"/>
        <v>486</v>
      </c>
      <c r="AL584" s="136" t="str" cm="1">
        <f t="array" ref="AL584">_xlfn.IFS(
AI584&lt;3,"Ligera",
AI584&lt;=6,"Moderada",
AI584&gt;6,"Vigorosa"
)</f>
        <v>Moderada</v>
      </c>
      <c r="AM584" s="45" t="s">
        <v>48</v>
      </c>
      <c r="AN584" s="289" t="s">
        <v>60</v>
      </c>
      <c r="AO584" s="46" t="s">
        <v>61</v>
      </c>
      <c r="AP584" s="289" t="s">
        <v>173</v>
      </c>
      <c r="AQ584" s="139">
        <v>0</v>
      </c>
      <c r="AS584" s="197" t="s">
        <v>207</v>
      </c>
    </row>
    <row r="585" spans="1:45" ht="78.75" customHeight="1" thickBot="1">
      <c r="A585" s="138" t="s">
        <v>500</v>
      </c>
      <c r="B585" s="12">
        <v>45</v>
      </c>
      <c r="C585" s="12">
        <v>77.8</v>
      </c>
      <c r="D585" s="12" t="s">
        <v>47</v>
      </c>
      <c r="E585" s="12" t="s">
        <v>45</v>
      </c>
      <c r="F585" s="12" t="s">
        <v>45</v>
      </c>
      <c r="G585" s="12" t="s">
        <v>395</v>
      </c>
      <c r="H585" s="12"/>
      <c r="I585" s="12" t="s">
        <v>98</v>
      </c>
      <c r="J585" s="12">
        <v>1.7</v>
      </c>
      <c r="K585" s="12" t="s">
        <v>49</v>
      </c>
      <c r="L585" s="12" t="s">
        <v>49</v>
      </c>
      <c r="M585" s="11" t="s">
        <v>50</v>
      </c>
      <c r="N585" s="11" t="s">
        <v>50</v>
      </c>
      <c r="O585" s="11" t="s">
        <v>50</v>
      </c>
      <c r="P585" s="11" t="s">
        <v>51</v>
      </c>
      <c r="Q585" s="50" t="s">
        <v>124</v>
      </c>
      <c r="R585" s="48">
        <v>24</v>
      </c>
      <c r="S585" s="48">
        <v>29.1</v>
      </c>
      <c r="T585" s="200">
        <v>11.56</v>
      </c>
      <c r="U585" s="48">
        <v>24</v>
      </c>
      <c r="V585" s="47">
        <v>28.9</v>
      </c>
      <c r="W585" s="195">
        <v>3.41</v>
      </c>
      <c r="X585" s="130">
        <f t="shared" si="98"/>
        <v>-0.20000000000000284</v>
      </c>
      <c r="Y585" s="16">
        <f t="shared" si="99"/>
        <v>2.1000208332299946</v>
      </c>
      <c r="Z585" s="286" t="s">
        <v>53</v>
      </c>
      <c r="AA585" s="286" t="s">
        <v>53</v>
      </c>
      <c r="AB585" s="16">
        <v>2.1000208332299946</v>
      </c>
      <c r="AC585" s="66" t="s">
        <v>48</v>
      </c>
      <c r="AD585" s="51" t="s">
        <v>501</v>
      </c>
      <c r="AE585" s="13">
        <v>12</v>
      </c>
      <c r="AF585" s="13">
        <v>0</v>
      </c>
      <c r="AG585" s="13">
        <v>0</v>
      </c>
      <c r="AH585" s="134">
        <v>0</v>
      </c>
      <c r="AI585" s="134">
        <v>0</v>
      </c>
      <c r="AJ585" s="135">
        <f t="shared" si="100"/>
        <v>0</v>
      </c>
      <c r="AK585" s="45">
        <f t="shared" si="105"/>
        <v>0</v>
      </c>
      <c r="AL585" s="136" t="str" cm="1">
        <f t="array" ref="AL585">_xlfn.IFS(
AI585&lt;3,"Ligera",
AI585&lt;=6,"Moderada",
AI585&gt;6,"Vigorosa"
)</f>
        <v>Ligera</v>
      </c>
      <c r="AM585" s="45" t="s">
        <v>49</v>
      </c>
      <c r="AN585" s="289" t="s">
        <v>49</v>
      </c>
      <c r="AO585" s="46" t="s">
        <v>49</v>
      </c>
      <c r="AP585" s="289" t="s">
        <v>49</v>
      </c>
      <c r="AQ585" s="139">
        <v>0</v>
      </c>
      <c r="AS585" s="197" t="s">
        <v>207</v>
      </c>
    </row>
    <row r="586" spans="1:45" ht="78.75" customHeight="1" thickBot="1">
      <c r="A586" s="138" t="s">
        <v>500</v>
      </c>
      <c r="B586" s="12">
        <v>45</v>
      </c>
      <c r="C586" s="12">
        <v>73.3</v>
      </c>
      <c r="D586" s="12" t="s">
        <v>47</v>
      </c>
      <c r="E586" s="12" t="s">
        <v>45</v>
      </c>
      <c r="F586" s="12" t="s">
        <v>45</v>
      </c>
      <c r="G586" s="12" t="s">
        <v>395</v>
      </c>
      <c r="H586" s="12"/>
      <c r="I586" s="12" t="s">
        <v>98</v>
      </c>
      <c r="J586" s="12">
        <v>2.2000000000000002</v>
      </c>
      <c r="K586" s="12" t="s">
        <v>49</v>
      </c>
      <c r="L586" s="12" t="s">
        <v>49</v>
      </c>
      <c r="M586" s="11" t="s">
        <v>56</v>
      </c>
      <c r="N586" s="11" t="s">
        <v>76</v>
      </c>
      <c r="O586" s="11" t="s">
        <v>103</v>
      </c>
      <c r="P586" s="11" t="s">
        <v>51</v>
      </c>
      <c r="Q586" s="50" t="s">
        <v>124</v>
      </c>
      <c r="R586" s="48">
        <v>13</v>
      </c>
      <c r="S586" s="48">
        <v>28.8</v>
      </c>
      <c r="T586" s="200">
        <v>12.44</v>
      </c>
      <c r="U586" s="48">
        <v>13</v>
      </c>
      <c r="V586" s="47">
        <v>20.9</v>
      </c>
      <c r="W586" s="195">
        <v>3.78</v>
      </c>
      <c r="X586" s="130">
        <f t="shared" si="98"/>
        <v>-7.9000000000000021</v>
      </c>
      <c r="Y586" s="16">
        <f t="shared" si="99"/>
        <v>3.0636679876353341</v>
      </c>
      <c r="Z586" s="15">
        <f t="shared" si="102"/>
        <v>-7.6999999999999993</v>
      </c>
      <c r="AA586" s="16">
        <f t="shared" si="103"/>
        <v>12.540202857142859</v>
      </c>
      <c r="AB586" s="16">
        <f t="shared" si="104"/>
        <v>1.219483268188597</v>
      </c>
      <c r="AC586" s="66" t="s">
        <v>48</v>
      </c>
      <c r="AD586" s="51" t="s">
        <v>502</v>
      </c>
      <c r="AE586" s="13">
        <v>12</v>
      </c>
      <c r="AF586" s="13">
        <v>3</v>
      </c>
      <c r="AG586" s="13">
        <v>40</v>
      </c>
      <c r="AH586" s="13" t="s">
        <v>499</v>
      </c>
      <c r="AI586" s="13">
        <v>4.05</v>
      </c>
      <c r="AJ586" s="135">
        <f t="shared" si="100"/>
        <v>162</v>
      </c>
      <c r="AK586" s="45">
        <f t="shared" si="105"/>
        <v>486</v>
      </c>
      <c r="AL586" s="136" t="str" cm="1">
        <f t="array" ref="AL586">_xlfn.IFS(
AI586&lt;3,"Ligera",
AI586&lt;=6,"Moderada",
AI586&gt;6,"Vigorosa"
)</f>
        <v>Moderada</v>
      </c>
      <c r="AM586" s="45" t="s">
        <v>48</v>
      </c>
      <c r="AN586" s="289" t="s">
        <v>60</v>
      </c>
      <c r="AO586" s="46" t="s">
        <v>61</v>
      </c>
      <c r="AP586" s="289" t="s">
        <v>173</v>
      </c>
      <c r="AQ586" s="139">
        <v>0</v>
      </c>
      <c r="AS586" s="197" t="s">
        <v>207</v>
      </c>
    </row>
    <row r="587" spans="1:45" ht="78.75" customHeight="1" thickBot="1">
      <c r="A587" s="138" t="s">
        <v>500</v>
      </c>
      <c r="B587" s="12">
        <v>45</v>
      </c>
      <c r="C587" s="12">
        <v>77.8</v>
      </c>
      <c r="D587" s="12" t="s">
        <v>47</v>
      </c>
      <c r="E587" s="12" t="s">
        <v>45</v>
      </c>
      <c r="F587" s="12" t="s">
        <v>45</v>
      </c>
      <c r="G587" s="12" t="s">
        <v>395</v>
      </c>
      <c r="H587" s="12"/>
      <c r="I587" s="12" t="s">
        <v>98</v>
      </c>
      <c r="J587" s="12">
        <v>1.7</v>
      </c>
      <c r="K587" s="12" t="s">
        <v>49</v>
      </c>
      <c r="L587" s="12" t="s">
        <v>49</v>
      </c>
      <c r="M587" s="11" t="s">
        <v>50</v>
      </c>
      <c r="N587" s="11" t="s">
        <v>50</v>
      </c>
      <c r="O587" s="11" t="s">
        <v>50</v>
      </c>
      <c r="P587" s="11" t="s">
        <v>51</v>
      </c>
      <c r="Q587" s="50" t="s">
        <v>149</v>
      </c>
      <c r="R587" s="48">
        <v>24</v>
      </c>
      <c r="S587" s="48">
        <v>27.7</v>
      </c>
      <c r="T587" s="200">
        <v>7.04</v>
      </c>
      <c r="U587" s="48">
        <v>24</v>
      </c>
      <c r="V587" s="47">
        <v>26.1</v>
      </c>
      <c r="W587" s="195">
        <v>3.78</v>
      </c>
      <c r="X587" s="130">
        <f t="shared" si="98"/>
        <v>-1.5999999999999979</v>
      </c>
      <c r="Y587" s="16">
        <f t="shared" si="99"/>
        <v>1.2456390595460094</v>
      </c>
      <c r="Z587" s="286" t="s">
        <v>53</v>
      </c>
      <c r="AA587" s="286" t="s">
        <v>53</v>
      </c>
      <c r="AB587" s="16">
        <v>1.2456390595460094</v>
      </c>
      <c r="AC587" s="66" t="s">
        <v>48</v>
      </c>
      <c r="AD587" s="51" t="s">
        <v>501</v>
      </c>
      <c r="AE587" s="13">
        <v>12</v>
      </c>
      <c r="AF587" s="13">
        <v>0</v>
      </c>
      <c r="AG587" s="13">
        <v>0</v>
      </c>
      <c r="AH587" s="134">
        <v>0</v>
      </c>
      <c r="AI587" s="134">
        <v>0</v>
      </c>
      <c r="AJ587" s="135">
        <f t="shared" si="100"/>
        <v>0</v>
      </c>
      <c r="AK587" s="45">
        <f t="shared" si="105"/>
        <v>0</v>
      </c>
      <c r="AL587" s="136" t="str" cm="1">
        <f t="array" ref="AL587">_xlfn.IFS(
AI587&lt;3,"Ligera",
AI587&lt;=6,"Moderada",
AI587&gt;6,"Vigorosa"
)</f>
        <v>Ligera</v>
      </c>
      <c r="AM587" s="45" t="s">
        <v>49</v>
      </c>
      <c r="AN587" s="289" t="s">
        <v>49</v>
      </c>
      <c r="AO587" s="46" t="s">
        <v>49</v>
      </c>
      <c r="AP587" s="289" t="s">
        <v>49</v>
      </c>
      <c r="AQ587" s="139">
        <v>0</v>
      </c>
      <c r="AS587" s="197" t="s">
        <v>207</v>
      </c>
    </row>
    <row r="588" spans="1:45" ht="78.75" customHeight="1" thickBot="1">
      <c r="A588" s="138" t="s">
        <v>500</v>
      </c>
      <c r="B588" s="12">
        <v>45</v>
      </c>
      <c r="C588" s="12">
        <v>73.3</v>
      </c>
      <c r="D588" s="12" t="s">
        <v>47</v>
      </c>
      <c r="E588" s="12" t="s">
        <v>45</v>
      </c>
      <c r="F588" s="12" t="s">
        <v>45</v>
      </c>
      <c r="G588" s="12" t="s">
        <v>395</v>
      </c>
      <c r="H588" s="12"/>
      <c r="I588" s="12" t="s">
        <v>98</v>
      </c>
      <c r="J588" s="12">
        <v>2.2000000000000002</v>
      </c>
      <c r="K588" s="12" t="s">
        <v>49</v>
      </c>
      <c r="L588" s="12" t="s">
        <v>49</v>
      </c>
      <c r="M588" s="11" t="s">
        <v>56</v>
      </c>
      <c r="N588" s="11" t="s">
        <v>76</v>
      </c>
      <c r="O588" s="11" t="s">
        <v>103</v>
      </c>
      <c r="P588" s="11" t="s">
        <v>51</v>
      </c>
      <c r="Q588" s="50" t="s">
        <v>149</v>
      </c>
      <c r="R588" s="48">
        <v>13</v>
      </c>
      <c r="S588" s="48">
        <v>33.5</v>
      </c>
      <c r="T588" s="200">
        <v>17.399999999999999</v>
      </c>
      <c r="U588" s="48">
        <v>13</v>
      </c>
      <c r="V588" s="47">
        <v>20.3</v>
      </c>
      <c r="W588" s="195">
        <v>4.59</v>
      </c>
      <c r="X588" s="130">
        <f t="shared" si="98"/>
        <v>-13.2</v>
      </c>
      <c r="Y588" s="16">
        <f t="shared" si="99"/>
        <v>4.3320105476112802</v>
      </c>
      <c r="Z588" s="15">
        <f t="shared" si="102"/>
        <v>-11.600000000000001</v>
      </c>
      <c r="AA588" s="16">
        <f t="shared" si="103"/>
        <v>16.612868571428571</v>
      </c>
      <c r="AB588" s="16">
        <f t="shared" si="104"/>
        <v>1.4036081448095918</v>
      </c>
      <c r="AC588" s="66" t="s">
        <v>48</v>
      </c>
      <c r="AD588" s="51" t="s">
        <v>502</v>
      </c>
      <c r="AE588" s="13">
        <v>12</v>
      </c>
      <c r="AF588" s="13">
        <v>3</v>
      </c>
      <c r="AG588" s="13">
        <v>40</v>
      </c>
      <c r="AH588" s="13" t="s">
        <v>499</v>
      </c>
      <c r="AI588" s="13">
        <v>4.05</v>
      </c>
      <c r="AJ588" s="135">
        <f t="shared" si="100"/>
        <v>162</v>
      </c>
      <c r="AK588" s="45">
        <f t="shared" si="105"/>
        <v>486</v>
      </c>
      <c r="AL588" s="136" t="str" cm="1">
        <f t="array" ref="AL588">_xlfn.IFS(
AI588&lt;3,"Ligera",
AI588&lt;=6,"Moderada",
AI588&gt;6,"Vigorosa"
)</f>
        <v>Moderada</v>
      </c>
      <c r="AM588" s="45" t="s">
        <v>48</v>
      </c>
      <c r="AN588" s="289" t="s">
        <v>60</v>
      </c>
      <c r="AO588" s="46" t="s">
        <v>61</v>
      </c>
      <c r="AP588" s="289" t="s">
        <v>173</v>
      </c>
      <c r="AQ588" s="139">
        <v>0</v>
      </c>
      <c r="AS588" s="197" t="s">
        <v>207</v>
      </c>
    </row>
    <row r="589" spans="1:45" ht="78.75" customHeight="1" thickBot="1">
      <c r="A589" s="138" t="s">
        <v>500</v>
      </c>
      <c r="B589" s="12">
        <v>45</v>
      </c>
      <c r="C589" s="12">
        <v>77.8</v>
      </c>
      <c r="D589" s="12" t="s">
        <v>47</v>
      </c>
      <c r="E589" s="12" t="s">
        <v>45</v>
      </c>
      <c r="F589" s="12" t="s">
        <v>45</v>
      </c>
      <c r="G589" s="12" t="s">
        <v>395</v>
      </c>
      <c r="H589" s="12"/>
      <c r="I589" s="12" t="s">
        <v>98</v>
      </c>
      <c r="J589" s="12">
        <v>1.7</v>
      </c>
      <c r="K589" s="12" t="s">
        <v>49</v>
      </c>
      <c r="L589" s="12" t="s">
        <v>49</v>
      </c>
      <c r="M589" s="11" t="s">
        <v>50</v>
      </c>
      <c r="N589" s="11" t="s">
        <v>50</v>
      </c>
      <c r="O589" s="11" t="s">
        <v>50</v>
      </c>
      <c r="P589" s="11" t="s">
        <v>94</v>
      </c>
      <c r="Q589" s="50" t="s">
        <v>119</v>
      </c>
      <c r="R589" s="48">
        <v>24</v>
      </c>
      <c r="S589" s="48">
        <v>18.100000000000001</v>
      </c>
      <c r="T589" s="200">
        <v>3.93</v>
      </c>
      <c r="U589" s="48">
        <v>24</v>
      </c>
      <c r="V589" s="47">
        <v>17</v>
      </c>
      <c r="W589" s="195">
        <v>2.82</v>
      </c>
      <c r="X589" s="130">
        <f t="shared" si="98"/>
        <v>-1.1000000000000014</v>
      </c>
      <c r="Y589" s="16">
        <f t="shared" si="99"/>
        <v>0.71631871398142333</v>
      </c>
      <c r="Z589" s="286" t="s">
        <v>53</v>
      </c>
      <c r="AA589" s="286" t="s">
        <v>53</v>
      </c>
      <c r="AB589" s="16">
        <v>0.71631871398142333</v>
      </c>
      <c r="AC589" s="66" t="s">
        <v>49</v>
      </c>
      <c r="AD589" s="51" t="s">
        <v>501</v>
      </c>
      <c r="AE589" s="13">
        <v>12</v>
      </c>
      <c r="AF589" s="13">
        <v>0</v>
      </c>
      <c r="AG589" s="13">
        <v>0</v>
      </c>
      <c r="AH589" s="134">
        <v>0</v>
      </c>
      <c r="AI589" s="134">
        <v>0</v>
      </c>
      <c r="AJ589" s="135">
        <f t="shared" si="100"/>
        <v>0</v>
      </c>
      <c r="AK589" s="45">
        <f t="shared" si="105"/>
        <v>0</v>
      </c>
      <c r="AL589" s="136" t="str" cm="1">
        <f t="array" ref="AL589">_xlfn.IFS(
AI589&lt;3,"Ligera",
AI589&lt;=6,"Moderada",
AI589&gt;6,"Vigorosa"
)</f>
        <v>Ligera</v>
      </c>
      <c r="AM589" s="45" t="s">
        <v>49</v>
      </c>
      <c r="AN589" s="289" t="s">
        <v>49</v>
      </c>
      <c r="AO589" s="46" t="s">
        <v>49</v>
      </c>
      <c r="AP589" s="289" t="s">
        <v>49</v>
      </c>
      <c r="AQ589" s="139">
        <v>0</v>
      </c>
      <c r="AS589" s="197" t="s">
        <v>207</v>
      </c>
    </row>
    <row r="590" spans="1:45" ht="78.75" customHeight="1" thickBot="1">
      <c r="A590" s="140" t="s">
        <v>500</v>
      </c>
      <c r="B590" s="141">
        <v>45</v>
      </c>
      <c r="C590" s="141">
        <v>73.3</v>
      </c>
      <c r="D590" s="141" t="s">
        <v>47</v>
      </c>
      <c r="E590" s="141" t="s">
        <v>45</v>
      </c>
      <c r="F590" s="141" t="s">
        <v>45</v>
      </c>
      <c r="G590" s="141" t="s">
        <v>395</v>
      </c>
      <c r="H590" s="141"/>
      <c r="I590" s="141" t="s">
        <v>98</v>
      </c>
      <c r="J590" s="141">
        <v>2.2000000000000002</v>
      </c>
      <c r="K590" s="141" t="s">
        <v>49</v>
      </c>
      <c r="L590" s="141" t="s">
        <v>49</v>
      </c>
      <c r="M590" s="142" t="s">
        <v>56</v>
      </c>
      <c r="N590" s="142" t="s">
        <v>76</v>
      </c>
      <c r="O590" s="142" t="s">
        <v>103</v>
      </c>
      <c r="P590" s="142" t="s">
        <v>94</v>
      </c>
      <c r="Q590" s="158" t="s">
        <v>119</v>
      </c>
      <c r="R590" s="170">
        <v>13</v>
      </c>
      <c r="S590" s="170">
        <v>17.399999999999999</v>
      </c>
      <c r="T590" s="202">
        <v>5.26</v>
      </c>
      <c r="U590" s="170">
        <v>13</v>
      </c>
      <c r="V590" s="169">
        <v>18.3</v>
      </c>
      <c r="W590" s="199">
        <v>3.78</v>
      </c>
      <c r="X590" s="130">
        <f t="shared" si="98"/>
        <v>0.90000000000000213</v>
      </c>
      <c r="Y590" s="16">
        <f t="shared" si="99"/>
        <v>1.3030496773102942</v>
      </c>
      <c r="Z590" s="15">
        <f t="shared" si="102"/>
        <v>2.0000000000000036</v>
      </c>
      <c r="AA590" s="16">
        <f t="shared" si="103"/>
        <v>10.124742857142857</v>
      </c>
      <c r="AB590" s="16">
        <f t="shared" si="104"/>
        <v>1.0957603110811505</v>
      </c>
      <c r="AC590" s="66" t="s">
        <v>49</v>
      </c>
      <c r="AD590" s="151" t="s">
        <v>502</v>
      </c>
      <c r="AE590" s="146">
        <v>12</v>
      </c>
      <c r="AF590" s="146">
        <v>3</v>
      </c>
      <c r="AG590" s="146">
        <v>40</v>
      </c>
      <c r="AH590" s="13" t="s">
        <v>499</v>
      </c>
      <c r="AI590" s="13">
        <v>4.05</v>
      </c>
      <c r="AJ590" s="135">
        <f t="shared" si="100"/>
        <v>162</v>
      </c>
      <c r="AK590" s="45">
        <f t="shared" si="105"/>
        <v>486</v>
      </c>
      <c r="AL590" s="136" t="str" cm="1">
        <f t="array" ref="AL590">_xlfn.IFS(
AI590&lt;3,"Ligera",
AI590&lt;=6,"Moderada",
AI590&gt;6,"Vigorosa"
)</f>
        <v>Moderada</v>
      </c>
      <c r="AM590" s="147" t="s">
        <v>48</v>
      </c>
      <c r="AN590" s="290" t="s">
        <v>60</v>
      </c>
      <c r="AO590" s="148" t="s">
        <v>61</v>
      </c>
      <c r="AP590" s="290" t="s">
        <v>173</v>
      </c>
      <c r="AQ590" s="149">
        <v>0</v>
      </c>
      <c r="AS590" s="197" t="s">
        <v>207</v>
      </c>
    </row>
    <row r="591" spans="1:45" ht="78.75" customHeight="1" thickBot="1">
      <c r="A591" s="124" t="s">
        <v>503</v>
      </c>
      <c r="B591" s="125">
        <v>42</v>
      </c>
      <c r="C591" s="125">
        <v>79</v>
      </c>
      <c r="D591" s="125">
        <v>33.33</v>
      </c>
      <c r="E591" s="125" t="s">
        <v>45</v>
      </c>
      <c r="F591" s="125" t="s">
        <v>45</v>
      </c>
      <c r="G591" s="125" t="s">
        <v>223</v>
      </c>
      <c r="H591" s="125"/>
      <c r="I591" s="125" t="s">
        <v>45</v>
      </c>
      <c r="J591" s="125">
        <v>4</v>
      </c>
      <c r="K591" s="125" t="s">
        <v>48</v>
      </c>
      <c r="L591" s="125" t="s">
        <v>48</v>
      </c>
      <c r="M591" s="126" t="s">
        <v>56</v>
      </c>
      <c r="N591" s="126" t="s">
        <v>76</v>
      </c>
      <c r="O591" s="126" t="s">
        <v>103</v>
      </c>
      <c r="P591" s="126" t="s">
        <v>51</v>
      </c>
      <c r="Q591" s="159" t="s">
        <v>376</v>
      </c>
      <c r="R591" s="168">
        <v>15</v>
      </c>
      <c r="S591" s="168">
        <v>9</v>
      </c>
      <c r="T591" s="201">
        <v>31.85</v>
      </c>
      <c r="U591" s="168">
        <v>15</v>
      </c>
      <c r="V591" s="167">
        <v>12</v>
      </c>
      <c r="W591" s="198">
        <v>27.4</v>
      </c>
      <c r="X591" s="130">
        <f t="shared" si="98"/>
        <v>3</v>
      </c>
      <c r="Y591" s="16">
        <f t="shared" si="99"/>
        <v>7.713591900016489</v>
      </c>
      <c r="Z591" s="286" t="s">
        <v>53</v>
      </c>
      <c r="AA591" s="286" t="s">
        <v>53</v>
      </c>
      <c r="AB591" s="16">
        <v>7.713591900016489</v>
      </c>
      <c r="AC591" s="66" t="s">
        <v>49</v>
      </c>
      <c r="AD591" s="133" t="s">
        <v>504</v>
      </c>
      <c r="AE591" s="134">
        <v>8</v>
      </c>
      <c r="AF591" s="134">
        <v>3</v>
      </c>
      <c r="AG591" s="134">
        <v>47.5</v>
      </c>
      <c r="AH591" s="134" t="s">
        <v>505</v>
      </c>
      <c r="AI591" s="134">
        <v>3</v>
      </c>
      <c r="AJ591" s="135">
        <v>156.25</v>
      </c>
      <c r="AK591" s="45">
        <f t="shared" si="105"/>
        <v>468.75</v>
      </c>
      <c r="AL591" s="136" t="str" cm="1">
        <f t="array" ref="AL591">_xlfn.IFS(
AI591&lt;3,"Ligera",
AI591&lt;=6,"Moderada",
AI591&gt;6,"Vigorosa"
)</f>
        <v>Moderada</v>
      </c>
      <c r="AM591" s="136" t="s">
        <v>48</v>
      </c>
      <c r="AN591" s="288" t="s">
        <v>60</v>
      </c>
      <c r="AO591" s="135" t="s">
        <v>506</v>
      </c>
      <c r="AP591" s="288" t="s">
        <v>49</v>
      </c>
      <c r="AQ591" s="137">
        <v>0</v>
      </c>
      <c r="AS591" s="197" t="s">
        <v>207</v>
      </c>
    </row>
    <row r="592" spans="1:45" ht="78.75" customHeight="1" thickBot="1">
      <c r="A592" s="138" t="s">
        <v>503</v>
      </c>
      <c r="B592" s="12">
        <v>42</v>
      </c>
      <c r="C592" s="12">
        <v>81</v>
      </c>
      <c r="D592" s="12">
        <v>41.18</v>
      </c>
      <c r="E592" s="12" t="s">
        <v>45</v>
      </c>
      <c r="F592" s="12" t="s">
        <v>45</v>
      </c>
      <c r="G592" s="12" t="s">
        <v>223</v>
      </c>
      <c r="H592" s="12"/>
      <c r="I592" s="12" t="s">
        <v>45</v>
      </c>
      <c r="J592" s="12">
        <v>3</v>
      </c>
      <c r="K592" s="12" t="s">
        <v>48</v>
      </c>
      <c r="L592" s="12" t="s">
        <v>48</v>
      </c>
      <c r="M592" s="11" t="s">
        <v>56</v>
      </c>
      <c r="N592" s="11" t="s">
        <v>76</v>
      </c>
      <c r="O592" s="11" t="s">
        <v>103</v>
      </c>
      <c r="P592" s="11" t="s">
        <v>51</v>
      </c>
      <c r="Q592" s="50" t="s">
        <v>376</v>
      </c>
      <c r="R592" s="48">
        <v>17</v>
      </c>
      <c r="S592" s="48">
        <v>10</v>
      </c>
      <c r="T592" s="200">
        <v>31.85</v>
      </c>
      <c r="U592" s="48">
        <v>17</v>
      </c>
      <c r="V592" s="47">
        <v>15</v>
      </c>
      <c r="W592" s="195">
        <v>25.56</v>
      </c>
      <c r="X592" s="130">
        <f t="shared" si="98"/>
        <v>5</v>
      </c>
      <c r="Y592" s="16">
        <f t="shared" si="99"/>
        <v>7.0862339620355383</v>
      </c>
      <c r="Z592" s="15">
        <f t="shared" si="102"/>
        <v>2</v>
      </c>
      <c r="AA592" s="16">
        <f t="shared" si="103"/>
        <v>698.78858666666667</v>
      </c>
      <c r="AB592" s="16">
        <f t="shared" si="104"/>
        <v>9.3643535152283697</v>
      </c>
      <c r="AC592" s="66" t="s">
        <v>49</v>
      </c>
      <c r="AD592" s="51" t="s">
        <v>507</v>
      </c>
      <c r="AE592" s="13">
        <v>8</v>
      </c>
      <c r="AF592" s="13">
        <v>3</v>
      </c>
      <c r="AG592" s="13">
        <v>47.5</v>
      </c>
      <c r="AH592" s="134" t="s">
        <v>505</v>
      </c>
      <c r="AI592" s="13">
        <v>3</v>
      </c>
      <c r="AJ592" s="135">
        <v>156.25</v>
      </c>
      <c r="AK592" s="45">
        <f t="shared" si="105"/>
        <v>468.75</v>
      </c>
      <c r="AL592" s="136" t="str" cm="1">
        <f t="array" ref="AL592">_xlfn.IFS(
AI592&lt;3,"Ligera",
AI592&lt;=6,"Moderada",
AI592&gt;6,"Vigorosa"
)</f>
        <v>Moderada</v>
      </c>
      <c r="AM592" s="45" t="s">
        <v>48</v>
      </c>
      <c r="AN592" s="289" t="s">
        <v>60</v>
      </c>
      <c r="AO592" s="45" t="s">
        <v>61</v>
      </c>
      <c r="AP592" s="289" t="s">
        <v>155</v>
      </c>
      <c r="AQ592" s="139">
        <v>0</v>
      </c>
      <c r="AS592" s="197" t="s">
        <v>207</v>
      </c>
    </row>
    <row r="593" spans="1:45" ht="78.75" customHeight="1" thickBot="1">
      <c r="A593" s="138" t="s">
        <v>503</v>
      </c>
      <c r="B593" s="12">
        <v>42</v>
      </c>
      <c r="C593" s="12">
        <v>79</v>
      </c>
      <c r="D593" s="12">
        <v>33.33</v>
      </c>
      <c r="E593" s="12" t="s">
        <v>45</v>
      </c>
      <c r="F593" s="12" t="s">
        <v>45</v>
      </c>
      <c r="G593" s="12" t="s">
        <v>223</v>
      </c>
      <c r="H593" s="12"/>
      <c r="I593" s="12" t="s">
        <v>45</v>
      </c>
      <c r="J593" s="12">
        <v>4</v>
      </c>
      <c r="K593" s="12" t="s">
        <v>48</v>
      </c>
      <c r="L593" s="12" t="s">
        <v>48</v>
      </c>
      <c r="M593" s="11" t="s">
        <v>56</v>
      </c>
      <c r="N593" s="11" t="s">
        <v>76</v>
      </c>
      <c r="O593" s="11" t="s">
        <v>103</v>
      </c>
      <c r="P593" s="11" t="s">
        <v>51</v>
      </c>
      <c r="Q593" s="50" t="s">
        <v>124</v>
      </c>
      <c r="R593" s="48">
        <v>15</v>
      </c>
      <c r="S593" s="48">
        <v>13.8</v>
      </c>
      <c r="T593" s="200">
        <v>10.199999999999999</v>
      </c>
      <c r="U593" s="48">
        <v>15</v>
      </c>
      <c r="V593" s="47">
        <v>11.7</v>
      </c>
      <c r="W593" s="195">
        <v>5.1100000000000003</v>
      </c>
      <c r="X593" s="130">
        <f t="shared" si="98"/>
        <v>-2.1000000000000014</v>
      </c>
      <c r="Y593" s="16">
        <f t="shared" si="99"/>
        <v>2.2807907985316551</v>
      </c>
      <c r="Z593" s="286" t="s">
        <v>53</v>
      </c>
      <c r="AA593" s="286" t="s">
        <v>53</v>
      </c>
      <c r="AB593" s="16">
        <v>2.2807907985316551</v>
      </c>
      <c r="AC593" s="66" t="s">
        <v>48</v>
      </c>
      <c r="AD593" s="133" t="s">
        <v>504</v>
      </c>
      <c r="AE593" s="13">
        <v>8</v>
      </c>
      <c r="AF593" s="13">
        <v>3</v>
      </c>
      <c r="AG593" s="13">
        <v>47.5</v>
      </c>
      <c r="AH593" s="134" t="s">
        <v>505</v>
      </c>
      <c r="AI593" s="134">
        <v>3</v>
      </c>
      <c r="AJ593" s="135">
        <v>156.25</v>
      </c>
      <c r="AK593" s="45">
        <f t="shared" si="105"/>
        <v>468.75</v>
      </c>
      <c r="AL593" s="136" t="str" cm="1">
        <f t="array" ref="AL593">_xlfn.IFS(
AI593&lt;3,"Ligera",
AI593&lt;=6,"Moderada",
AI593&gt;6,"Vigorosa"
)</f>
        <v>Moderada</v>
      </c>
      <c r="AM593" s="45" t="s">
        <v>48</v>
      </c>
      <c r="AN593" s="289" t="s">
        <v>60</v>
      </c>
      <c r="AO593" s="46" t="s">
        <v>506</v>
      </c>
      <c r="AP593" s="289" t="s">
        <v>49</v>
      </c>
      <c r="AQ593" s="139">
        <v>0</v>
      </c>
      <c r="AS593" s="197" t="s">
        <v>207</v>
      </c>
    </row>
    <row r="594" spans="1:45" ht="78.75" customHeight="1" thickBot="1">
      <c r="A594" s="138" t="s">
        <v>503</v>
      </c>
      <c r="B594" s="12">
        <v>42</v>
      </c>
      <c r="C594" s="12">
        <v>81</v>
      </c>
      <c r="D594" s="12">
        <v>41.18</v>
      </c>
      <c r="E594" s="12" t="s">
        <v>45</v>
      </c>
      <c r="F594" s="12" t="s">
        <v>45</v>
      </c>
      <c r="G594" s="12" t="s">
        <v>223</v>
      </c>
      <c r="H594" s="12"/>
      <c r="I594" s="12" t="s">
        <v>45</v>
      </c>
      <c r="J594" s="12">
        <v>3</v>
      </c>
      <c r="K594" s="12" t="s">
        <v>48</v>
      </c>
      <c r="L594" s="12" t="s">
        <v>48</v>
      </c>
      <c r="M594" s="11" t="s">
        <v>56</v>
      </c>
      <c r="N594" s="11" t="s">
        <v>76</v>
      </c>
      <c r="O594" s="11" t="s">
        <v>103</v>
      </c>
      <c r="P594" s="11" t="s">
        <v>51</v>
      </c>
      <c r="Q594" s="50" t="s">
        <v>124</v>
      </c>
      <c r="R594" s="48">
        <v>17</v>
      </c>
      <c r="S594" s="48">
        <v>15.4</v>
      </c>
      <c r="T594" s="200">
        <v>7.4</v>
      </c>
      <c r="U594" s="48">
        <v>17</v>
      </c>
      <c r="V594" s="47">
        <v>12.1</v>
      </c>
      <c r="W594" s="195">
        <v>4.22</v>
      </c>
      <c r="X594" s="130">
        <f t="shared" si="98"/>
        <v>-3.3000000000000007</v>
      </c>
      <c r="Y594" s="16">
        <f t="shared" si="99"/>
        <v>1.559419198065138</v>
      </c>
      <c r="Z594" s="15">
        <f t="shared" si="102"/>
        <v>-1.1999999999999993</v>
      </c>
      <c r="AA594" s="16">
        <f t="shared" si="103"/>
        <v>21.68346</v>
      </c>
      <c r="AB594" s="16">
        <f t="shared" si="104"/>
        <v>1.6495640778881018</v>
      </c>
      <c r="AC594" s="66" t="s">
        <v>48</v>
      </c>
      <c r="AD594" s="51" t="s">
        <v>507</v>
      </c>
      <c r="AE594" s="13">
        <v>8</v>
      </c>
      <c r="AF594" s="13">
        <v>3</v>
      </c>
      <c r="AG594" s="13">
        <v>47.5</v>
      </c>
      <c r="AH594" s="134" t="s">
        <v>505</v>
      </c>
      <c r="AI594" s="13">
        <v>3</v>
      </c>
      <c r="AJ594" s="135">
        <v>156.25</v>
      </c>
      <c r="AK594" s="45">
        <f t="shared" si="105"/>
        <v>468.75</v>
      </c>
      <c r="AL594" s="136" t="str" cm="1">
        <f t="array" ref="AL594">_xlfn.IFS(
AI594&lt;3,"Ligera",
AI594&lt;=6,"Moderada",
AI594&gt;6,"Vigorosa"
)</f>
        <v>Moderada</v>
      </c>
      <c r="AM594" s="45" t="s">
        <v>48</v>
      </c>
      <c r="AN594" s="289" t="s">
        <v>60</v>
      </c>
      <c r="AO594" s="45" t="s">
        <v>61</v>
      </c>
      <c r="AP594" s="289" t="s">
        <v>155</v>
      </c>
      <c r="AQ594" s="139">
        <v>0</v>
      </c>
      <c r="AS594" s="197" t="s">
        <v>207</v>
      </c>
    </row>
    <row r="595" spans="1:45" ht="78.75" customHeight="1" thickBot="1">
      <c r="A595" s="138" t="s">
        <v>503</v>
      </c>
      <c r="B595" s="12">
        <v>42</v>
      </c>
      <c r="C595" s="12">
        <v>79</v>
      </c>
      <c r="D595" s="12">
        <v>33.33</v>
      </c>
      <c r="E595" s="12" t="s">
        <v>45</v>
      </c>
      <c r="F595" s="12" t="s">
        <v>45</v>
      </c>
      <c r="G595" s="12" t="s">
        <v>223</v>
      </c>
      <c r="H595" s="12"/>
      <c r="I595" s="12" t="s">
        <v>45</v>
      </c>
      <c r="J595" s="12">
        <v>4</v>
      </c>
      <c r="K595" s="12" t="s">
        <v>48</v>
      </c>
      <c r="L595" s="12" t="s">
        <v>48</v>
      </c>
      <c r="M595" s="11" t="s">
        <v>56</v>
      </c>
      <c r="N595" s="11" t="s">
        <v>76</v>
      </c>
      <c r="O595" s="11" t="s">
        <v>103</v>
      </c>
      <c r="P595" s="11" t="s">
        <v>86</v>
      </c>
      <c r="Q595" s="50" t="s">
        <v>87</v>
      </c>
      <c r="R595" s="48">
        <v>15</v>
      </c>
      <c r="S595" s="48">
        <v>51</v>
      </c>
      <c r="T595" s="200">
        <v>6.67</v>
      </c>
      <c r="U595" s="48">
        <v>15</v>
      </c>
      <c r="V595" s="47">
        <v>54</v>
      </c>
      <c r="W595" s="195">
        <v>6.67</v>
      </c>
      <c r="X595" s="130">
        <f t="shared" si="98"/>
        <v>3</v>
      </c>
      <c r="Y595" s="16">
        <f t="shared" si="99"/>
        <v>1.7221865946135646</v>
      </c>
      <c r="Z595" s="286" t="s">
        <v>53</v>
      </c>
      <c r="AA595" s="286" t="s">
        <v>53</v>
      </c>
      <c r="AB595" s="16">
        <v>1.7221865946135646</v>
      </c>
      <c r="AC595" s="66" t="s">
        <v>49</v>
      </c>
      <c r="AD595" s="133" t="s">
        <v>504</v>
      </c>
      <c r="AE595" s="13">
        <v>8</v>
      </c>
      <c r="AF595" s="13">
        <v>3</v>
      </c>
      <c r="AG595" s="13">
        <v>47.5</v>
      </c>
      <c r="AH595" s="134" t="s">
        <v>505</v>
      </c>
      <c r="AI595" s="134">
        <v>3</v>
      </c>
      <c r="AJ595" s="135">
        <v>156.25</v>
      </c>
      <c r="AK595" s="45">
        <f t="shared" si="105"/>
        <v>468.75</v>
      </c>
      <c r="AL595" s="136" t="str" cm="1">
        <f t="array" ref="AL595">_xlfn.IFS(
AI595&lt;3,"Ligera",
AI595&lt;=6,"Moderada",
AI595&gt;6,"Vigorosa"
)</f>
        <v>Moderada</v>
      </c>
      <c r="AM595" s="45" t="s">
        <v>48</v>
      </c>
      <c r="AN595" s="289" t="s">
        <v>60</v>
      </c>
      <c r="AO595" s="46" t="s">
        <v>506</v>
      </c>
      <c r="AP595" s="289" t="s">
        <v>49</v>
      </c>
      <c r="AQ595" s="139">
        <v>0</v>
      </c>
      <c r="AS595" s="197" t="s">
        <v>207</v>
      </c>
    </row>
    <row r="596" spans="1:45" ht="78.75" customHeight="1" thickBot="1">
      <c r="A596" s="138" t="s">
        <v>503</v>
      </c>
      <c r="B596" s="12">
        <v>42</v>
      </c>
      <c r="C596" s="12">
        <v>81</v>
      </c>
      <c r="D596" s="12">
        <v>41.18</v>
      </c>
      <c r="E596" s="12" t="s">
        <v>45</v>
      </c>
      <c r="F596" s="12" t="s">
        <v>45</v>
      </c>
      <c r="G596" s="12" t="s">
        <v>223</v>
      </c>
      <c r="H596" s="12"/>
      <c r="I596" s="12" t="s">
        <v>45</v>
      </c>
      <c r="J596" s="12">
        <v>3</v>
      </c>
      <c r="K596" s="12" t="s">
        <v>48</v>
      </c>
      <c r="L596" s="12" t="s">
        <v>48</v>
      </c>
      <c r="M596" s="11" t="s">
        <v>56</v>
      </c>
      <c r="N596" s="11" t="s">
        <v>76</v>
      </c>
      <c r="O596" s="11" t="s">
        <v>103</v>
      </c>
      <c r="P596" s="11" t="s">
        <v>86</v>
      </c>
      <c r="Q596" s="50" t="s">
        <v>87</v>
      </c>
      <c r="R596" s="48">
        <v>17</v>
      </c>
      <c r="S596" s="48">
        <v>51</v>
      </c>
      <c r="T596" s="200">
        <v>6.67</v>
      </c>
      <c r="U596" s="48">
        <v>17</v>
      </c>
      <c r="V596" s="47">
        <v>55</v>
      </c>
      <c r="W596" s="195">
        <v>3.7</v>
      </c>
      <c r="X596" s="130">
        <f t="shared" si="98"/>
        <v>4</v>
      </c>
      <c r="Y596" s="16">
        <f t="shared" si="99"/>
        <v>1.4037743240781888</v>
      </c>
      <c r="Z596" s="15">
        <f t="shared" si="102"/>
        <v>1</v>
      </c>
      <c r="AA596" s="16">
        <f t="shared" si="103"/>
        <v>28.062820000000002</v>
      </c>
      <c r="AB596" s="16">
        <f t="shared" si="104"/>
        <v>1.876594997412528</v>
      </c>
      <c r="AC596" s="66" t="s">
        <v>49</v>
      </c>
      <c r="AD596" s="51" t="s">
        <v>507</v>
      </c>
      <c r="AE596" s="13">
        <v>8</v>
      </c>
      <c r="AF596" s="13">
        <v>3</v>
      </c>
      <c r="AG596" s="13">
        <v>47.5</v>
      </c>
      <c r="AH596" s="134" t="s">
        <v>505</v>
      </c>
      <c r="AI596" s="13">
        <v>3</v>
      </c>
      <c r="AJ596" s="135">
        <v>156.25</v>
      </c>
      <c r="AK596" s="45">
        <f t="shared" si="105"/>
        <v>468.75</v>
      </c>
      <c r="AL596" s="136" t="str" cm="1">
        <f t="array" ref="AL596">_xlfn.IFS(
AI596&lt;3,"Ligera",
AI596&lt;=6,"Moderada",
AI596&gt;6,"Vigorosa"
)</f>
        <v>Moderada</v>
      </c>
      <c r="AM596" s="45" t="s">
        <v>48</v>
      </c>
      <c r="AN596" s="289" t="s">
        <v>60</v>
      </c>
      <c r="AO596" s="45" t="s">
        <v>61</v>
      </c>
      <c r="AP596" s="289" t="s">
        <v>155</v>
      </c>
      <c r="AQ596" s="139">
        <v>0</v>
      </c>
      <c r="AS596" s="197" t="s">
        <v>207</v>
      </c>
    </row>
    <row r="597" spans="1:45" ht="78.75" customHeight="1" thickBot="1">
      <c r="A597" s="138" t="s">
        <v>503</v>
      </c>
      <c r="B597" s="12">
        <v>42</v>
      </c>
      <c r="C597" s="12">
        <v>79</v>
      </c>
      <c r="D597" s="12">
        <v>33.33</v>
      </c>
      <c r="E597" s="12" t="s">
        <v>45</v>
      </c>
      <c r="F597" s="12" t="s">
        <v>45</v>
      </c>
      <c r="G597" s="12" t="s">
        <v>223</v>
      </c>
      <c r="H597" s="12"/>
      <c r="I597" s="12" t="s">
        <v>45</v>
      </c>
      <c r="J597" s="12">
        <v>4</v>
      </c>
      <c r="K597" s="12" t="s">
        <v>48</v>
      </c>
      <c r="L597" s="12" t="s">
        <v>48</v>
      </c>
      <c r="M597" s="11" t="s">
        <v>56</v>
      </c>
      <c r="N597" s="11" t="s">
        <v>76</v>
      </c>
      <c r="O597" s="11" t="s">
        <v>103</v>
      </c>
      <c r="P597" s="11" t="s">
        <v>51</v>
      </c>
      <c r="Q597" s="50" t="s">
        <v>284</v>
      </c>
      <c r="R597" s="48">
        <v>15</v>
      </c>
      <c r="S597" s="48">
        <v>2.5</v>
      </c>
      <c r="T597" s="200">
        <v>12.15</v>
      </c>
      <c r="U597" s="48">
        <v>15</v>
      </c>
      <c r="V597" s="47">
        <v>5.0999999999999996</v>
      </c>
      <c r="W597" s="195">
        <v>13.57</v>
      </c>
      <c r="X597" s="130">
        <f t="shared" si="98"/>
        <v>2.5999999999999996</v>
      </c>
      <c r="Y597" s="16">
        <f t="shared" si="99"/>
        <v>3.3355849062295904</v>
      </c>
      <c r="Z597" s="286" t="s">
        <v>53</v>
      </c>
      <c r="AA597" s="286" t="s">
        <v>53</v>
      </c>
      <c r="AB597" s="16">
        <v>3.3355849062295904</v>
      </c>
      <c r="AC597" s="66" t="s">
        <v>49</v>
      </c>
      <c r="AD597" s="133" t="s">
        <v>504</v>
      </c>
      <c r="AE597" s="13">
        <v>8</v>
      </c>
      <c r="AF597" s="13">
        <v>3</v>
      </c>
      <c r="AG597" s="13">
        <v>47.5</v>
      </c>
      <c r="AH597" s="134" t="s">
        <v>505</v>
      </c>
      <c r="AI597" s="134">
        <v>3</v>
      </c>
      <c r="AJ597" s="135">
        <v>156.25</v>
      </c>
      <c r="AK597" s="45">
        <f t="shared" si="105"/>
        <v>468.75</v>
      </c>
      <c r="AL597" s="136" t="str" cm="1">
        <f t="array" ref="AL597">_xlfn.IFS(
AI597&lt;3,"Ligera",
AI597&lt;=6,"Moderada",
AI597&gt;6,"Vigorosa"
)</f>
        <v>Moderada</v>
      </c>
      <c r="AM597" s="45" t="s">
        <v>48</v>
      </c>
      <c r="AN597" s="289" t="s">
        <v>60</v>
      </c>
      <c r="AO597" s="46" t="s">
        <v>506</v>
      </c>
      <c r="AP597" s="289" t="s">
        <v>49</v>
      </c>
      <c r="AQ597" s="139">
        <v>0</v>
      </c>
      <c r="AS597" s="197" t="s">
        <v>207</v>
      </c>
    </row>
    <row r="598" spans="1:45" ht="78.75" customHeight="1" thickBot="1">
      <c r="A598" s="138" t="s">
        <v>503</v>
      </c>
      <c r="B598" s="12">
        <v>42</v>
      </c>
      <c r="C598" s="12">
        <v>81</v>
      </c>
      <c r="D598" s="12">
        <v>41.18</v>
      </c>
      <c r="E598" s="12" t="s">
        <v>45</v>
      </c>
      <c r="F598" s="12" t="s">
        <v>45</v>
      </c>
      <c r="G598" s="12" t="s">
        <v>223</v>
      </c>
      <c r="H598" s="12"/>
      <c r="I598" s="12" t="s">
        <v>45</v>
      </c>
      <c r="J598" s="12">
        <v>3</v>
      </c>
      <c r="K598" s="12" t="s">
        <v>48</v>
      </c>
      <c r="L598" s="12" t="s">
        <v>48</v>
      </c>
      <c r="M598" s="11" t="s">
        <v>56</v>
      </c>
      <c r="N598" s="11" t="s">
        <v>76</v>
      </c>
      <c r="O598" s="11" t="s">
        <v>103</v>
      </c>
      <c r="P598" s="11" t="s">
        <v>51</v>
      </c>
      <c r="Q598" s="50" t="s">
        <v>284</v>
      </c>
      <c r="R598" s="48">
        <v>17</v>
      </c>
      <c r="S598" s="48">
        <v>2.5</v>
      </c>
      <c r="T598" s="200">
        <v>11.04</v>
      </c>
      <c r="U598" s="48">
        <v>17</v>
      </c>
      <c r="V598" s="47">
        <v>6.4</v>
      </c>
      <c r="W598" s="195">
        <v>21.7</v>
      </c>
      <c r="X598" s="130">
        <f t="shared" si="98"/>
        <v>3.9000000000000004</v>
      </c>
      <c r="Y598" s="16">
        <f t="shared" si="99"/>
        <v>4.5581446173790026</v>
      </c>
      <c r="Z598" s="15">
        <f t="shared" si="102"/>
        <v>1.3000000000000007</v>
      </c>
      <c r="AA598" s="16">
        <f t="shared" si="103"/>
        <v>337.07561999999996</v>
      </c>
      <c r="AB598" s="16">
        <f t="shared" si="104"/>
        <v>6.503820849858859</v>
      </c>
      <c r="AC598" s="66" t="s">
        <v>49</v>
      </c>
      <c r="AD598" s="51" t="s">
        <v>507</v>
      </c>
      <c r="AE598" s="13">
        <v>8</v>
      </c>
      <c r="AF598" s="13">
        <v>3</v>
      </c>
      <c r="AG598" s="13">
        <v>47.5</v>
      </c>
      <c r="AH598" s="134" t="s">
        <v>505</v>
      </c>
      <c r="AI598" s="13">
        <v>3</v>
      </c>
      <c r="AJ598" s="135">
        <v>156.25</v>
      </c>
      <c r="AK598" s="45">
        <f t="shared" si="105"/>
        <v>468.75</v>
      </c>
      <c r="AL598" s="136" t="str" cm="1">
        <f t="array" ref="AL598">_xlfn.IFS(
AI598&lt;3,"Ligera",
AI598&lt;=6,"Moderada",
AI598&gt;6,"Vigorosa"
)</f>
        <v>Moderada</v>
      </c>
      <c r="AM598" s="45" t="s">
        <v>48</v>
      </c>
      <c r="AN598" s="289" t="s">
        <v>60</v>
      </c>
      <c r="AO598" s="45" t="s">
        <v>61</v>
      </c>
      <c r="AP598" s="289" t="s">
        <v>155</v>
      </c>
      <c r="AQ598" s="139">
        <v>0</v>
      </c>
      <c r="AS598" s="197" t="s">
        <v>207</v>
      </c>
    </row>
    <row r="599" spans="1:45" ht="78.75" customHeight="1" thickBot="1">
      <c r="A599" s="138" t="s">
        <v>503</v>
      </c>
      <c r="B599" s="12">
        <v>42</v>
      </c>
      <c r="C599" s="12">
        <v>79</v>
      </c>
      <c r="D599" s="12">
        <v>33.33</v>
      </c>
      <c r="E599" s="12" t="s">
        <v>45</v>
      </c>
      <c r="F599" s="12" t="s">
        <v>45</v>
      </c>
      <c r="G599" s="12" t="s">
        <v>223</v>
      </c>
      <c r="H599" s="12"/>
      <c r="I599" s="12" t="s">
        <v>45</v>
      </c>
      <c r="J599" s="12">
        <v>4</v>
      </c>
      <c r="K599" s="12" t="s">
        <v>48</v>
      </c>
      <c r="L599" s="12" t="s">
        <v>48</v>
      </c>
      <c r="M599" s="11" t="s">
        <v>56</v>
      </c>
      <c r="N599" s="11" t="s">
        <v>76</v>
      </c>
      <c r="O599" s="11" t="s">
        <v>103</v>
      </c>
      <c r="P599" s="11" t="s">
        <v>51</v>
      </c>
      <c r="Q599" s="50" t="s">
        <v>286</v>
      </c>
      <c r="R599" s="48">
        <v>15</v>
      </c>
      <c r="S599" s="48">
        <v>2.2999999999999998</v>
      </c>
      <c r="T599" s="200">
        <v>5.93</v>
      </c>
      <c r="U599" s="48">
        <v>15</v>
      </c>
      <c r="V599" s="47">
        <v>4.2</v>
      </c>
      <c r="W599" s="195">
        <v>12</v>
      </c>
      <c r="X599" s="130">
        <f t="shared" si="98"/>
        <v>1.9000000000000004</v>
      </c>
      <c r="Y599" s="16">
        <f t="shared" si="99"/>
        <v>2.6833424430487183</v>
      </c>
      <c r="Z599" s="286" t="s">
        <v>53</v>
      </c>
      <c r="AA599" s="286" t="s">
        <v>53</v>
      </c>
      <c r="AB599" s="16">
        <v>2.6833424430487183</v>
      </c>
      <c r="AC599" s="66" t="s">
        <v>49</v>
      </c>
      <c r="AD599" s="51" t="s">
        <v>508</v>
      </c>
      <c r="AE599" s="13">
        <v>8</v>
      </c>
      <c r="AF599" s="13">
        <v>3</v>
      </c>
      <c r="AG599" s="13">
        <v>47.5</v>
      </c>
      <c r="AH599" s="134" t="s">
        <v>505</v>
      </c>
      <c r="AI599" s="134">
        <v>3</v>
      </c>
      <c r="AJ599" s="135">
        <v>156.25</v>
      </c>
      <c r="AK599" s="45">
        <f t="shared" si="105"/>
        <v>468.75</v>
      </c>
      <c r="AL599" s="136" t="str" cm="1">
        <f t="array" ref="AL599">_xlfn.IFS(
AI599&lt;3,"Ligera",
AI599&lt;=6,"Moderada",
AI599&gt;6,"Vigorosa"
)</f>
        <v>Moderada</v>
      </c>
      <c r="AM599" s="45" t="s">
        <v>48</v>
      </c>
      <c r="AN599" s="289" t="s">
        <v>60</v>
      </c>
      <c r="AO599" s="46" t="s">
        <v>506</v>
      </c>
      <c r="AP599" s="289" t="s">
        <v>49</v>
      </c>
      <c r="AQ599" s="139">
        <v>0</v>
      </c>
      <c r="AS599" s="197" t="s">
        <v>207</v>
      </c>
    </row>
    <row r="600" spans="1:45" ht="78.75" customHeight="1" thickBot="1">
      <c r="A600" s="138" t="s">
        <v>503</v>
      </c>
      <c r="B600" s="12">
        <v>42</v>
      </c>
      <c r="C600" s="12">
        <v>81</v>
      </c>
      <c r="D600" s="12">
        <v>41.18</v>
      </c>
      <c r="E600" s="12" t="s">
        <v>45</v>
      </c>
      <c r="F600" s="12" t="s">
        <v>45</v>
      </c>
      <c r="G600" s="12" t="s">
        <v>223</v>
      </c>
      <c r="H600" s="12"/>
      <c r="I600" s="12" t="s">
        <v>45</v>
      </c>
      <c r="J600" s="12">
        <v>3</v>
      </c>
      <c r="K600" s="12" t="s">
        <v>48</v>
      </c>
      <c r="L600" s="12" t="s">
        <v>48</v>
      </c>
      <c r="M600" s="11" t="s">
        <v>56</v>
      </c>
      <c r="N600" s="11" t="s">
        <v>76</v>
      </c>
      <c r="O600" s="11" t="s">
        <v>103</v>
      </c>
      <c r="P600" s="11" t="s">
        <v>51</v>
      </c>
      <c r="Q600" s="50" t="s">
        <v>286</v>
      </c>
      <c r="R600" s="48">
        <v>17</v>
      </c>
      <c r="S600" s="48">
        <v>3.3</v>
      </c>
      <c r="T600" s="200">
        <v>14.07</v>
      </c>
      <c r="U600" s="48">
        <v>17</v>
      </c>
      <c r="V600" s="47">
        <v>9.9</v>
      </c>
      <c r="W600" s="195">
        <v>20.74</v>
      </c>
      <c r="X600" s="130">
        <f t="shared" si="98"/>
        <v>6.6000000000000005</v>
      </c>
      <c r="Y600" s="16">
        <f t="shared" si="99"/>
        <v>4.4477403383793721</v>
      </c>
      <c r="Z600" s="15">
        <f t="shared" si="102"/>
        <v>4.7</v>
      </c>
      <c r="AA600" s="16">
        <f t="shared" si="103"/>
        <v>296.61205333333334</v>
      </c>
      <c r="AB600" s="16">
        <f t="shared" si="104"/>
        <v>6.100975719671907</v>
      </c>
      <c r="AC600" s="66" t="s">
        <v>49</v>
      </c>
      <c r="AD600" s="51" t="s">
        <v>507</v>
      </c>
      <c r="AE600" s="13">
        <v>8</v>
      </c>
      <c r="AF600" s="13">
        <v>3</v>
      </c>
      <c r="AG600" s="13">
        <v>47.5</v>
      </c>
      <c r="AH600" s="134" t="s">
        <v>505</v>
      </c>
      <c r="AI600" s="13">
        <v>3</v>
      </c>
      <c r="AJ600" s="135">
        <v>156.25</v>
      </c>
      <c r="AK600" s="45">
        <f t="shared" si="105"/>
        <v>468.75</v>
      </c>
      <c r="AL600" s="136" t="str" cm="1">
        <f t="array" ref="AL600">_xlfn.IFS(
AI600&lt;3,"Ligera",
AI600&lt;=6,"Moderada",
AI600&gt;6,"Vigorosa"
)</f>
        <v>Moderada</v>
      </c>
      <c r="AM600" s="45" t="s">
        <v>48</v>
      </c>
      <c r="AN600" s="289" t="s">
        <v>60</v>
      </c>
      <c r="AO600" s="45" t="s">
        <v>61</v>
      </c>
      <c r="AP600" s="289" t="s">
        <v>155</v>
      </c>
      <c r="AQ600" s="139">
        <v>0</v>
      </c>
      <c r="AS600" s="197" t="s">
        <v>207</v>
      </c>
    </row>
    <row r="601" spans="1:45" ht="78.75" customHeight="1" thickBot="1">
      <c r="A601" s="138" t="s">
        <v>503</v>
      </c>
      <c r="B601" s="12">
        <v>42</v>
      </c>
      <c r="C601" s="12">
        <v>79</v>
      </c>
      <c r="D601" s="12">
        <v>33.33</v>
      </c>
      <c r="E601" s="12" t="s">
        <v>45</v>
      </c>
      <c r="F601" s="12" t="s">
        <v>45</v>
      </c>
      <c r="G601" s="12" t="s">
        <v>223</v>
      </c>
      <c r="H601" s="12"/>
      <c r="I601" s="12" t="s">
        <v>45</v>
      </c>
      <c r="J601" s="12">
        <v>4</v>
      </c>
      <c r="K601" s="12" t="s">
        <v>48</v>
      </c>
      <c r="L601" s="12" t="s">
        <v>48</v>
      </c>
      <c r="M601" s="11" t="s">
        <v>56</v>
      </c>
      <c r="N601" s="11" t="s">
        <v>76</v>
      </c>
      <c r="O601" s="11" t="s">
        <v>103</v>
      </c>
      <c r="P601" s="11" t="s">
        <v>51</v>
      </c>
      <c r="Q601" s="50" t="s">
        <v>287</v>
      </c>
      <c r="R601" s="48">
        <v>15</v>
      </c>
      <c r="S601" s="48">
        <v>1</v>
      </c>
      <c r="T601" s="200">
        <v>3.11</v>
      </c>
      <c r="U601" s="48">
        <v>15</v>
      </c>
      <c r="V601" s="47">
        <v>1.7</v>
      </c>
      <c r="W601" s="195">
        <v>4.59</v>
      </c>
      <c r="X601" s="130">
        <f t="shared" si="98"/>
        <v>0.7</v>
      </c>
      <c r="Y601" s="16">
        <f t="shared" si="99"/>
        <v>1.0477054293391184</v>
      </c>
      <c r="Z601" s="286" t="s">
        <v>53</v>
      </c>
      <c r="AA601" s="286" t="s">
        <v>53</v>
      </c>
      <c r="AB601" s="16">
        <v>1.0477054293391184</v>
      </c>
      <c r="AC601" s="66" t="s">
        <v>49</v>
      </c>
      <c r="AD601" s="133" t="s">
        <v>504</v>
      </c>
      <c r="AE601" s="13">
        <v>8</v>
      </c>
      <c r="AF601" s="13">
        <v>3</v>
      </c>
      <c r="AG601" s="13">
        <v>47.5</v>
      </c>
      <c r="AH601" s="134" t="s">
        <v>505</v>
      </c>
      <c r="AI601" s="134">
        <v>3</v>
      </c>
      <c r="AJ601" s="135">
        <v>156.25</v>
      </c>
      <c r="AK601" s="45">
        <f t="shared" si="105"/>
        <v>468.75</v>
      </c>
      <c r="AL601" s="136" t="str" cm="1">
        <f t="array" ref="AL601">_xlfn.IFS(
AI601&lt;3,"Ligera",
AI601&lt;=6,"Moderada",
AI601&gt;6,"Vigorosa"
)</f>
        <v>Moderada</v>
      </c>
      <c r="AM601" s="45" t="s">
        <v>48</v>
      </c>
      <c r="AN601" s="289" t="s">
        <v>60</v>
      </c>
      <c r="AO601" s="46" t="s">
        <v>506</v>
      </c>
      <c r="AP601" s="289" t="s">
        <v>49</v>
      </c>
      <c r="AQ601" s="139">
        <v>0</v>
      </c>
      <c r="AS601" s="197" t="s">
        <v>207</v>
      </c>
    </row>
    <row r="602" spans="1:45" ht="78.75" customHeight="1" thickBot="1">
      <c r="A602" s="138" t="s">
        <v>503</v>
      </c>
      <c r="B602" s="12">
        <v>42</v>
      </c>
      <c r="C602" s="12">
        <v>81</v>
      </c>
      <c r="D602" s="12">
        <v>41.18</v>
      </c>
      <c r="E602" s="12" t="s">
        <v>45</v>
      </c>
      <c r="F602" s="12" t="s">
        <v>45</v>
      </c>
      <c r="G602" s="12" t="s">
        <v>223</v>
      </c>
      <c r="H602" s="12"/>
      <c r="I602" s="12" t="s">
        <v>45</v>
      </c>
      <c r="J602" s="12">
        <v>3</v>
      </c>
      <c r="K602" s="12" t="s">
        <v>48</v>
      </c>
      <c r="L602" s="12" t="s">
        <v>48</v>
      </c>
      <c r="M602" s="11" t="s">
        <v>56</v>
      </c>
      <c r="N602" s="11" t="s">
        <v>76</v>
      </c>
      <c r="O602" s="11" t="s">
        <v>103</v>
      </c>
      <c r="P602" s="11" t="s">
        <v>51</v>
      </c>
      <c r="Q602" s="50" t="s">
        <v>287</v>
      </c>
      <c r="R602" s="48">
        <v>17</v>
      </c>
      <c r="S602" s="48">
        <v>1.2</v>
      </c>
      <c r="T602" s="200">
        <v>2.52</v>
      </c>
      <c r="U602" s="48">
        <v>17</v>
      </c>
      <c r="V602" s="47">
        <v>1.9</v>
      </c>
      <c r="W602" s="195">
        <v>9.19</v>
      </c>
      <c r="X602" s="130">
        <f t="shared" si="98"/>
        <v>0.7</v>
      </c>
      <c r="Y602" s="16">
        <f t="shared" si="99"/>
        <v>1.9948123898222199</v>
      </c>
      <c r="Z602" s="15">
        <f t="shared" si="102"/>
        <v>0</v>
      </c>
      <c r="AA602" s="16">
        <f t="shared" si="103"/>
        <v>54.875033333333327</v>
      </c>
      <c r="AB602" s="16">
        <f t="shared" si="104"/>
        <v>2.6241720013769023</v>
      </c>
      <c r="AC602" s="66" t="s">
        <v>49</v>
      </c>
      <c r="AD602" s="51" t="s">
        <v>507</v>
      </c>
      <c r="AE602" s="13">
        <v>8</v>
      </c>
      <c r="AF602" s="13">
        <v>3</v>
      </c>
      <c r="AG602" s="13">
        <v>47.5</v>
      </c>
      <c r="AH602" s="134" t="s">
        <v>505</v>
      </c>
      <c r="AI602" s="13">
        <v>3</v>
      </c>
      <c r="AJ602" s="135">
        <v>156.25</v>
      </c>
      <c r="AK602" s="45">
        <f t="shared" si="105"/>
        <v>468.75</v>
      </c>
      <c r="AL602" s="136" t="str" cm="1">
        <f t="array" ref="AL602">_xlfn.IFS(
AI602&lt;3,"Ligera",
AI602&lt;=6,"Moderada",
AI602&gt;6,"Vigorosa"
)</f>
        <v>Moderada</v>
      </c>
      <c r="AM602" s="45" t="s">
        <v>48</v>
      </c>
      <c r="AN602" s="289" t="s">
        <v>60</v>
      </c>
      <c r="AO602" s="45" t="s">
        <v>61</v>
      </c>
      <c r="AP602" s="289" t="s">
        <v>155</v>
      </c>
      <c r="AQ602" s="139">
        <v>0</v>
      </c>
      <c r="AS602" s="197" t="s">
        <v>207</v>
      </c>
    </row>
    <row r="603" spans="1:45" ht="78.75" customHeight="1" thickBot="1">
      <c r="A603" s="138" t="s">
        <v>503</v>
      </c>
      <c r="B603" s="12">
        <v>42</v>
      </c>
      <c r="C603" s="12">
        <v>79</v>
      </c>
      <c r="D603" s="12">
        <v>33.33</v>
      </c>
      <c r="E603" s="12" t="s">
        <v>45</v>
      </c>
      <c r="F603" s="12" t="s">
        <v>45</v>
      </c>
      <c r="G603" s="12" t="s">
        <v>223</v>
      </c>
      <c r="H603" s="12"/>
      <c r="I603" s="12" t="s">
        <v>45</v>
      </c>
      <c r="J603" s="12">
        <v>4</v>
      </c>
      <c r="K603" s="12" t="s">
        <v>48</v>
      </c>
      <c r="L603" s="12" t="s">
        <v>48</v>
      </c>
      <c r="M603" s="11" t="s">
        <v>56</v>
      </c>
      <c r="N603" s="11" t="s">
        <v>76</v>
      </c>
      <c r="O603" s="11" t="s">
        <v>103</v>
      </c>
      <c r="P603" s="11" t="s">
        <v>51</v>
      </c>
      <c r="Q603" s="50" t="s">
        <v>288</v>
      </c>
      <c r="R603" s="48">
        <v>15</v>
      </c>
      <c r="S603" s="48">
        <v>0.9</v>
      </c>
      <c r="T603" s="200">
        <v>2.74</v>
      </c>
      <c r="U603" s="48">
        <v>15</v>
      </c>
      <c r="V603" s="47">
        <v>2.2000000000000002</v>
      </c>
      <c r="W603" s="195">
        <v>7.33</v>
      </c>
      <c r="X603" s="130">
        <f t="shared" si="98"/>
        <v>1.3000000000000003</v>
      </c>
      <c r="Y603" s="16">
        <f t="shared" si="99"/>
        <v>1.6563473870739396</v>
      </c>
      <c r="Z603" s="286" t="s">
        <v>53</v>
      </c>
      <c r="AA603" s="286" t="s">
        <v>53</v>
      </c>
      <c r="AB603" s="16">
        <v>1.6563473870739396</v>
      </c>
      <c r="AC603" s="66" t="s">
        <v>49</v>
      </c>
      <c r="AD603" s="133" t="s">
        <v>504</v>
      </c>
      <c r="AE603" s="13">
        <v>8</v>
      </c>
      <c r="AF603" s="13">
        <v>3</v>
      </c>
      <c r="AG603" s="13">
        <v>47.5</v>
      </c>
      <c r="AH603" s="134" t="s">
        <v>505</v>
      </c>
      <c r="AI603" s="134">
        <v>3</v>
      </c>
      <c r="AJ603" s="135">
        <v>156.25</v>
      </c>
      <c r="AK603" s="45">
        <f t="shared" si="105"/>
        <v>468.75</v>
      </c>
      <c r="AL603" s="136" t="str" cm="1">
        <f t="array" ref="AL603">_xlfn.IFS(
AI603&lt;3,"Ligera",
AI603&lt;=6,"Moderada",
AI603&gt;6,"Vigorosa"
)</f>
        <v>Moderada</v>
      </c>
      <c r="AM603" s="45" t="s">
        <v>48</v>
      </c>
      <c r="AN603" s="289" t="s">
        <v>60</v>
      </c>
      <c r="AO603" s="46" t="s">
        <v>506</v>
      </c>
      <c r="AP603" s="289" t="s">
        <v>49</v>
      </c>
      <c r="AQ603" s="139">
        <v>0</v>
      </c>
      <c r="AS603" s="197" t="s">
        <v>207</v>
      </c>
    </row>
    <row r="604" spans="1:45" ht="78.75" customHeight="1" thickBot="1">
      <c r="A604" s="138" t="s">
        <v>503</v>
      </c>
      <c r="B604" s="12">
        <v>42</v>
      </c>
      <c r="C604" s="12">
        <v>81</v>
      </c>
      <c r="D604" s="12">
        <v>41.18</v>
      </c>
      <c r="E604" s="12" t="s">
        <v>45</v>
      </c>
      <c r="F604" s="12" t="s">
        <v>45</v>
      </c>
      <c r="G604" s="12" t="s">
        <v>223</v>
      </c>
      <c r="H604" s="12"/>
      <c r="I604" s="12" t="s">
        <v>45</v>
      </c>
      <c r="J604" s="12">
        <v>3</v>
      </c>
      <c r="K604" s="12" t="s">
        <v>48</v>
      </c>
      <c r="L604" s="12" t="s">
        <v>48</v>
      </c>
      <c r="M604" s="11" t="s">
        <v>56</v>
      </c>
      <c r="N604" s="11" t="s">
        <v>76</v>
      </c>
      <c r="O604" s="11" t="s">
        <v>103</v>
      </c>
      <c r="P604" s="11" t="s">
        <v>51</v>
      </c>
      <c r="Q604" s="50" t="s">
        <v>288</v>
      </c>
      <c r="R604" s="48">
        <v>17</v>
      </c>
      <c r="S604" s="48">
        <v>1.3</v>
      </c>
      <c r="T604" s="200">
        <v>2.37</v>
      </c>
      <c r="U604" s="48">
        <v>17</v>
      </c>
      <c r="V604" s="47">
        <v>2.6</v>
      </c>
      <c r="W604" s="195">
        <v>7.11</v>
      </c>
      <c r="X604" s="130">
        <f t="shared" si="98"/>
        <v>1.3</v>
      </c>
      <c r="Y604" s="16">
        <f t="shared" si="99"/>
        <v>1.5208028065698025</v>
      </c>
      <c r="Z604" s="15">
        <f t="shared" si="102"/>
        <v>0</v>
      </c>
      <c r="AA604" s="16">
        <f t="shared" si="103"/>
        <v>52.034606666666669</v>
      </c>
      <c r="AB604" s="16">
        <f t="shared" si="104"/>
        <v>2.5553537902732866</v>
      </c>
      <c r="AC604" s="66" t="s">
        <v>49</v>
      </c>
      <c r="AD604" s="51" t="s">
        <v>507</v>
      </c>
      <c r="AE604" s="13">
        <v>8</v>
      </c>
      <c r="AF604" s="13">
        <v>3</v>
      </c>
      <c r="AG604" s="13">
        <v>47.5</v>
      </c>
      <c r="AH604" s="134" t="s">
        <v>505</v>
      </c>
      <c r="AI604" s="13">
        <v>3</v>
      </c>
      <c r="AJ604" s="135">
        <v>156.25</v>
      </c>
      <c r="AK604" s="45">
        <f t="shared" si="105"/>
        <v>468.75</v>
      </c>
      <c r="AL604" s="136" t="str" cm="1">
        <f t="array" ref="AL604">_xlfn.IFS(
AI604&lt;3,"Ligera",
AI604&lt;=6,"Moderada",
AI604&gt;6,"Vigorosa"
)</f>
        <v>Moderada</v>
      </c>
      <c r="AM604" s="45" t="s">
        <v>48</v>
      </c>
      <c r="AN604" s="289" t="s">
        <v>60</v>
      </c>
      <c r="AO604" s="45" t="s">
        <v>61</v>
      </c>
      <c r="AP604" s="289" t="s">
        <v>155</v>
      </c>
      <c r="AQ604" s="139">
        <v>0</v>
      </c>
      <c r="AS604" s="197" t="s">
        <v>207</v>
      </c>
    </row>
    <row r="605" spans="1:45" ht="78.75" customHeight="1" thickBot="1">
      <c r="A605" s="138" t="s">
        <v>503</v>
      </c>
      <c r="B605" s="12">
        <v>42</v>
      </c>
      <c r="C605" s="12">
        <v>79</v>
      </c>
      <c r="D605" s="12">
        <v>33.33</v>
      </c>
      <c r="E605" s="12" t="s">
        <v>45</v>
      </c>
      <c r="F605" s="12" t="s">
        <v>45</v>
      </c>
      <c r="G605" s="12" t="s">
        <v>223</v>
      </c>
      <c r="H605" s="12"/>
      <c r="I605" s="12" t="s">
        <v>45</v>
      </c>
      <c r="J605" s="12">
        <v>4</v>
      </c>
      <c r="K605" s="12" t="s">
        <v>48</v>
      </c>
      <c r="L605" s="12" t="s">
        <v>48</v>
      </c>
      <c r="M605" s="11" t="s">
        <v>56</v>
      </c>
      <c r="N605" s="11" t="s">
        <v>76</v>
      </c>
      <c r="O605" s="11" t="s">
        <v>103</v>
      </c>
      <c r="P605" s="11" t="s">
        <v>51</v>
      </c>
      <c r="Q605" s="50" t="s">
        <v>289</v>
      </c>
      <c r="R605" s="48">
        <v>15</v>
      </c>
      <c r="S605" s="48">
        <v>9.3000000000000007</v>
      </c>
      <c r="T605" s="200">
        <v>17.93</v>
      </c>
      <c r="U605" s="48">
        <v>15</v>
      </c>
      <c r="V605" s="47">
        <v>27.6</v>
      </c>
      <c r="W605" s="195">
        <v>22.22</v>
      </c>
      <c r="X605" s="130">
        <f t="shared" si="98"/>
        <v>18.3</v>
      </c>
      <c r="Y605" s="16">
        <f t="shared" si="99"/>
        <v>5.2713609880814145</v>
      </c>
      <c r="Z605" s="286" t="s">
        <v>53</v>
      </c>
      <c r="AA605" s="286" t="s">
        <v>53</v>
      </c>
      <c r="AB605" s="16">
        <v>5.2713609880814145</v>
      </c>
      <c r="AC605" s="66" t="s">
        <v>49</v>
      </c>
      <c r="AD605" s="133" t="s">
        <v>504</v>
      </c>
      <c r="AE605" s="13">
        <v>8</v>
      </c>
      <c r="AF605" s="13">
        <v>3</v>
      </c>
      <c r="AG605" s="13">
        <v>47.5</v>
      </c>
      <c r="AH605" s="134" t="s">
        <v>505</v>
      </c>
      <c r="AI605" s="134">
        <v>3</v>
      </c>
      <c r="AJ605" s="135">
        <v>156.25</v>
      </c>
      <c r="AK605" s="45">
        <f t="shared" si="105"/>
        <v>468.75</v>
      </c>
      <c r="AL605" s="136" t="str" cm="1">
        <f t="array" ref="AL605">_xlfn.IFS(
AI605&lt;3,"Ligera",
AI605&lt;=6,"Moderada",
AI605&gt;6,"Vigorosa"
)</f>
        <v>Moderada</v>
      </c>
      <c r="AM605" s="45" t="s">
        <v>48</v>
      </c>
      <c r="AN605" s="289" t="s">
        <v>60</v>
      </c>
      <c r="AO605" s="46" t="s">
        <v>506</v>
      </c>
      <c r="AP605" s="289" t="s">
        <v>49</v>
      </c>
      <c r="AQ605" s="139">
        <v>0</v>
      </c>
      <c r="AS605" s="197" t="s">
        <v>207</v>
      </c>
    </row>
    <row r="606" spans="1:45" ht="78.75" customHeight="1" thickBot="1">
      <c r="A606" s="138" t="s">
        <v>503</v>
      </c>
      <c r="B606" s="12">
        <v>42</v>
      </c>
      <c r="C606" s="12">
        <v>81</v>
      </c>
      <c r="D606" s="12">
        <v>41.18</v>
      </c>
      <c r="E606" s="12" t="s">
        <v>45</v>
      </c>
      <c r="F606" s="12" t="s">
        <v>45</v>
      </c>
      <c r="G606" s="12" t="s">
        <v>223</v>
      </c>
      <c r="H606" s="12"/>
      <c r="I606" s="12" t="s">
        <v>45</v>
      </c>
      <c r="J606" s="12">
        <v>3</v>
      </c>
      <c r="K606" s="12" t="s">
        <v>48</v>
      </c>
      <c r="L606" s="12" t="s">
        <v>48</v>
      </c>
      <c r="M606" s="11" t="s">
        <v>56</v>
      </c>
      <c r="N606" s="11" t="s">
        <v>76</v>
      </c>
      <c r="O606" s="11" t="s">
        <v>103</v>
      </c>
      <c r="P606" s="11" t="s">
        <v>51</v>
      </c>
      <c r="Q606" s="50" t="s">
        <v>289</v>
      </c>
      <c r="R606" s="48">
        <v>17</v>
      </c>
      <c r="S606" s="48">
        <v>18.100000000000001</v>
      </c>
      <c r="T606" s="200">
        <v>22.22</v>
      </c>
      <c r="U606" s="48">
        <v>17</v>
      </c>
      <c r="V606" s="47">
        <v>26.6</v>
      </c>
      <c r="W606" s="195">
        <v>19.63</v>
      </c>
      <c r="X606" s="130">
        <f t="shared" si="98"/>
        <v>8.5</v>
      </c>
      <c r="Y606" s="16">
        <f t="shared" si="99"/>
        <v>5.1041315444970081</v>
      </c>
      <c r="Z606" s="15">
        <f t="shared" si="102"/>
        <v>-9.8000000000000007</v>
      </c>
      <c r="AA606" s="16">
        <f t="shared" si="103"/>
        <v>435.9196</v>
      </c>
      <c r="AB606" s="16">
        <f t="shared" si="104"/>
        <v>7.3961906464362706</v>
      </c>
      <c r="AC606" s="66" t="s">
        <v>49</v>
      </c>
      <c r="AD606" s="51" t="s">
        <v>507</v>
      </c>
      <c r="AE606" s="13">
        <v>8</v>
      </c>
      <c r="AF606" s="13">
        <v>3</v>
      </c>
      <c r="AG606" s="13">
        <v>47.5</v>
      </c>
      <c r="AH606" s="134" t="s">
        <v>505</v>
      </c>
      <c r="AI606" s="13">
        <v>3</v>
      </c>
      <c r="AJ606" s="135">
        <v>156.25</v>
      </c>
      <c r="AK606" s="45">
        <f t="shared" si="105"/>
        <v>468.75</v>
      </c>
      <c r="AL606" s="136" t="str" cm="1">
        <f t="array" ref="AL606">_xlfn.IFS(
AI606&lt;3,"Ligera",
AI606&lt;=6,"Moderada",
AI606&gt;6,"Vigorosa"
)</f>
        <v>Moderada</v>
      </c>
      <c r="AM606" s="45" t="s">
        <v>48</v>
      </c>
      <c r="AN606" s="289" t="s">
        <v>60</v>
      </c>
      <c r="AO606" s="45" t="s">
        <v>61</v>
      </c>
      <c r="AP606" s="289" t="s">
        <v>155</v>
      </c>
      <c r="AQ606" s="139">
        <v>0</v>
      </c>
      <c r="AS606" s="197" t="s">
        <v>207</v>
      </c>
    </row>
    <row r="607" spans="1:45" ht="78.75" customHeight="1" thickBot="1">
      <c r="A607" s="138" t="s">
        <v>503</v>
      </c>
      <c r="B607" s="12">
        <v>42</v>
      </c>
      <c r="C607" s="12">
        <v>79</v>
      </c>
      <c r="D607" s="12">
        <v>33.33</v>
      </c>
      <c r="E607" s="12" t="s">
        <v>45</v>
      </c>
      <c r="F607" s="12" t="s">
        <v>45</v>
      </c>
      <c r="G607" s="12" t="s">
        <v>223</v>
      </c>
      <c r="H607" s="12"/>
      <c r="I607" s="12" t="s">
        <v>45</v>
      </c>
      <c r="J607" s="12">
        <v>4</v>
      </c>
      <c r="K607" s="12" t="s">
        <v>48</v>
      </c>
      <c r="L607" s="12" t="s">
        <v>48</v>
      </c>
      <c r="M607" s="11" t="s">
        <v>56</v>
      </c>
      <c r="N607" s="11" t="s">
        <v>76</v>
      </c>
      <c r="O607" s="11" t="s">
        <v>103</v>
      </c>
      <c r="P607" s="11" t="s">
        <v>51</v>
      </c>
      <c r="Q607" s="50" t="s">
        <v>290</v>
      </c>
      <c r="R607" s="48">
        <v>15</v>
      </c>
      <c r="S607" s="48">
        <v>2.5</v>
      </c>
      <c r="T607" s="200">
        <v>4.96</v>
      </c>
      <c r="U607" s="48">
        <v>15</v>
      </c>
      <c r="V607" s="47">
        <v>7.1</v>
      </c>
      <c r="W607" s="200">
        <v>14.15</v>
      </c>
      <c r="X607" s="130">
        <f t="shared" si="98"/>
        <v>4.5999999999999996</v>
      </c>
      <c r="Y607" s="16">
        <f t="shared" si="99"/>
        <v>3.210816095636746</v>
      </c>
      <c r="Z607" s="286" t="s">
        <v>53</v>
      </c>
      <c r="AA607" s="286" t="s">
        <v>53</v>
      </c>
      <c r="AB607" s="16">
        <v>3.210816095636746</v>
      </c>
      <c r="AC607" s="66" t="s">
        <v>49</v>
      </c>
      <c r="AD607" s="133" t="s">
        <v>504</v>
      </c>
      <c r="AE607" s="13">
        <v>8</v>
      </c>
      <c r="AF607" s="13">
        <v>3</v>
      </c>
      <c r="AG607" s="13">
        <v>47.5</v>
      </c>
      <c r="AH607" s="134" t="s">
        <v>505</v>
      </c>
      <c r="AI607" s="134">
        <v>3</v>
      </c>
      <c r="AJ607" s="135">
        <v>156.25</v>
      </c>
      <c r="AK607" s="45">
        <f t="shared" si="105"/>
        <v>468.75</v>
      </c>
      <c r="AL607" s="136" t="str" cm="1">
        <f t="array" ref="AL607">_xlfn.IFS(
AI607&lt;3,"Ligera",
AI607&lt;=6,"Moderada",
AI607&gt;6,"Vigorosa"
)</f>
        <v>Moderada</v>
      </c>
      <c r="AM607" s="45" t="s">
        <v>48</v>
      </c>
      <c r="AN607" s="289" t="s">
        <v>60</v>
      </c>
      <c r="AO607" s="46" t="s">
        <v>506</v>
      </c>
      <c r="AP607" s="289" t="s">
        <v>49</v>
      </c>
      <c r="AQ607" s="139">
        <v>0</v>
      </c>
      <c r="AS607" s="197" t="s">
        <v>207</v>
      </c>
    </row>
    <row r="608" spans="1:45" ht="78.75" customHeight="1" thickBot="1">
      <c r="A608" s="140" t="s">
        <v>503</v>
      </c>
      <c r="B608" s="141">
        <v>42</v>
      </c>
      <c r="C608" s="141">
        <v>81</v>
      </c>
      <c r="D608" s="141">
        <v>41.18</v>
      </c>
      <c r="E608" s="141" t="s">
        <v>45</v>
      </c>
      <c r="F608" s="141" t="s">
        <v>45</v>
      </c>
      <c r="G608" s="141" t="s">
        <v>223</v>
      </c>
      <c r="H608" s="141"/>
      <c r="I608" s="141" t="s">
        <v>45</v>
      </c>
      <c r="J608" s="141">
        <v>3</v>
      </c>
      <c r="K608" s="141" t="s">
        <v>48</v>
      </c>
      <c r="L608" s="141" t="s">
        <v>48</v>
      </c>
      <c r="M608" s="142" t="s">
        <v>56</v>
      </c>
      <c r="N608" s="142" t="s">
        <v>76</v>
      </c>
      <c r="O608" s="142" t="s">
        <v>103</v>
      </c>
      <c r="P608" s="142" t="s">
        <v>51</v>
      </c>
      <c r="Q608" s="158" t="s">
        <v>290</v>
      </c>
      <c r="R608" s="170">
        <v>17</v>
      </c>
      <c r="S608" s="170">
        <v>3.1</v>
      </c>
      <c r="T608" s="202">
        <v>18.3</v>
      </c>
      <c r="U608" s="170">
        <v>17</v>
      </c>
      <c r="V608" s="169">
        <v>8.4</v>
      </c>
      <c r="W608" s="202">
        <v>22.22</v>
      </c>
      <c r="X608" s="130">
        <f t="shared" si="98"/>
        <v>5.3000000000000007</v>
      </c>
      <c r="Y608" s="16">
        <f t="shared" si="99"/>
        <v>4.9822768241980668</v>
      </c>
      <c r="Z608" s="15">
        <f t="shared" si="102"/>
        <v>0.70000000000000107</v>
      </c>
      <c r="AA608" s="16">
        <f t="shared" si="103"/>
        <v>356.75897999999995</v>
      </c>
      <c r="AB608" s="16">
        <f t="shared" si="104"/>
        <v>6.6910204268811775</v>
      </c>
      <c r="AC608" s="66" t="s">
        <v>49</v>
      </c>
      <c r="AD608" s="151" t="s">
        <v>507</v>
      </c>
      <c r="AE608" s="146">
        <v>8</v>
      </c>
      <c r="AF608" s="146">
        <v>3</v>
      </c>
      <c r="AG608" s="146">
        <v>47.5</v>
      </c>
      <c r="AH608" s="134" t="s">
        <v>505</v>
      </c>
      <c r="AI608" s="13">
        <v>3</v>
      </c>
      <c r="AJ608" s="135">
        <v>156.25</v>
      </c>
      <c r="AK608" s="45">
        <f t="shared" si="105"/>
        <v>468.75</v>
      </c>
      <c r="AL608" s="136" t="str" cm="1">
        <f t="array" ref="AL608">_xlfn.IFS(
AI608&lt;3,"Ligera",
AI608&lt;=6,"Moderada",
AI608&gt;6,"Vigorosa"
)</f>
        <v>Moderada</v>
      </c>
      <c r="AM608" s="147" t="s">
        <v>48</v>
      </c>
      <c r="AN608" s="290" t="s">
        <v>60</v>
      </c>
      <c r="AO608" s="147" t="s">
        <v>61</v>
      </c>
      <c r="AP608" s="290" t="s">
        <v>155</v>
      </c>
      <c r="AQ608" s="149">
        <v>0</v>
      </c>
      <c r="AS608" s="197" t="s">
        <v>207</v>
      </c>
    </row>
    <row r="609" spans="1:45" ht="78.75" customHeight="1" thickBot="1">
      <c r="A609" s="124" t="s">
        <v>509</v>
      </c>
      <c r="B609" s="125">
        <v>56</v>
      </c>
      <c r="C609" s="125">
        <v>85.13</v>
      </c>
      <c r="D609" s="125">
        <v>25</v>
      </c>
      <c r="E609" s="125" t="s">
        <v>45</v>
      </c>
      <c r="F609" s="125" t="s">
        <v>45</v>
      </c>
      <c r="G609" s="125" t="s">
        <v>395</v>
      </c>
      <c r="H609" s="125"/>
      <c r="I609" s="125" t="s">
        <v>45</v>
      </c>
      <c r="J609" s="125" t="s">
        <v>47</v>
      </c>
      <c r="K609" s="125" t="s">
        <v>49</v>
      </c>
      <c r="L609" s="125" t="s">
        <v>49</v>
      </c>
      <c r="M609" s="126" t="s">
        <v>56</v>
      </c>
      <c r="N609" s="126" t="s">
        <v>57</v>
      </c>
      <c r="O609" s="126" t="s">
        <v>126</v>
      </c>
      <c r="P609" s="126" t="s">
        <v>51</v>
      </c>
      <c r="Q609" s="159" t="s">
        <v>124</v>
      </c>
      <c r="R609" s="167">
        <v>24</v>
      </c>
      <c r="S609" s="168">
        <v>33.93</v>
      </c>
      <c r="T609" s="201">
        <v>24.79</v>
      </c>
      <c r="U609" s="167">
        <v>24</v>
      </c>
      <c r="V609" s="167">
        <v>22.87</v>
      </c>
      <c r="W609" s="198">
        <v>45.04</v>
      </c>
      <c r="X609" s="130">
        <f t="shared" si="98"/>
        <v>-11.059999999999999</v>
      </c>
      <c r="Y609" s="16">
        <f t="shared" si="99"/>
        <v>7.975493976341947</v>
      </c>
      <c r="Z609" s="286" t="s">
        <v>53</v>
      </c>
      <c r="AA609" s="286" t="s">
        <v>53</v>
      </c>
      <c r="AB609" s="16">
        <v>7.975493976341947</v>
      </c>
      <c r="AC609" s="66" t="s">
        <v>48</v>
      </c>
      <c r="AD609" s="133" t="s">
        <v>510</v>
      </c>
      <c r="AE609" s="134">
        <v>12</v>
      </c>
      <c r="AF609" s="134">
        <v>3</v>
      </c>
      <c r="AG609" s="134">
        <v>60</v>
      </c>
      <c r="AH609" s="134">
        <v>205460</v>
      </c>
      <c r="AI609" s="134">
        <v>4.3</v>
      </c>
      <c r="AJ609" s="135">
        <f t="shared" si="100"/>
        <v>258</v>
      </c>
      <c r="AK609" s="45">
        <f t="shared" si="105"/>
        <v>774</v>
      </c>
      <c r="AL609" s="136" t="str" cm="1">
        <f t="array" ref="AL609">_xlfn.IFS(
AI609&lt;3,"Ligera",
AI609&lt;=6,"Moderada",
AI609&gt;6,"Vigorosa"
)</f>
        <v>Moderada</v>
      </c>
      <c r="AM609" s="136" t="s">
        <v>48</v>
      </c>
      <c r="AN609" s="288" t="s">
        <v>60</v>
      </c>
      <c r="AO609" s="136" t="s">
        <v>61</v>
      </c>
      <c r="AP609" s="288" t="s">
        <v>62</v>
      </c>
      <c r="AQ609" s="137">
        <v>0</v>
      </c>
      <c r="AS609" s="197" t="s">
        <v>207</v>
      </c>
    </row>
    <row r="610" spans="1:45" ht="78.75" customHeight="1" thickBot="1">
      <c r="A610" s="138" t="s">
        <v>509</v>
      </c>
      <c r="B610" s="12">
        <v>56</v>
      </c>
      <c r="C610" s="12">
        <v>84.1</v>
      </c>
      <c r="D610" s="12">
        <v>28.57</v>
      </c>
      <c r="E610" s="12" t="s">
        <v>45</v>
      </c>
      <c r="F610" s="12" t="s">
        <v>45</v>
      </c>
      <c r="G610" s="12" t="s">
        <v>395</v>
      </c>
      <c r="H610" s="12"/>
      <c r="I610" s="12" t="s">
        <v>45</v>
      </c>
      <c r="J610" s="12" t="s">
        <v>47</v>
      </c>
      <c r="K610" s="12" t="s">
        <v>49</v>
      </c>
      <c r="L610" s="12" t="s">
        <v>49</v>
      </c>
      <c r="M610" s="11" t="s">
        <v>56</v>
      </c>
      <c r="N610" s="11" t="s">
        <v>76</v>
      </c>
      <c r="O610" s="11" t="s">
        <v>77</v>
      </c>
      <c r="P610" s="11" t="s">
        <v>51</v>
      </c>
      <c r="Q610" s="50" t="s">
        <v>124</v>
      </c>
      <c r="R610" s="47">
        <v>21</v>
      </c>
      <c r="S610" s="48">
        <v>32.4</v>
      </c>
      <c r="T610" s="200">
        <v>96.88</v>
      </c>
      <c r="U610" s="47">
        <v>21</v>
      </c>
      <c r="V610" s="47">
        <v>22.96</v>
      </c>
      <c r="W610" s="195">
        <v>55.84</v>
      </c>
      <c r="X610" s="130">
        <f t="shared" si="98"/>
        <v>-9.4399999999999977</v>
      </c>
      <c r="Y610" s="16">
        <f t="shared" si="99"/>
        <v>18.379674073487241</v>
      </c>
      <c r="Z610" s="15">
        <f t="shared" si="102"/>
        <v>1.620000000000001</v>
      </c>
      <c r="AA610" s="16">
        <f t="shared" si="103"/>
        <v>2535.3476465116282</v>
      </c>
      <c r="AB610" s="16">
        <f t="shared" si="104"/>
        <v>15.045608182502805</v>
      </c>
      <c r="AC610" s="66" t="s">
        <v>48</v>
      </c>
      <c r="AD610" s="51" t="s">
        <v>511</v>
      </c>
      <c r="AE610" s="13">
        <v>12</v>
      </c>
      <c r="AF610" s="13">
        <v>3</v>
      </c>
      <c r="AG610" s="13">
        <v>90</v>
      </c>
      <c r="AH610" s="134" t="s">
        <v>512</v>
      </c>
      <c r="AI610" s="13">
        <v>3.9</v>
      </c>
      <c r="AJ610" s="135">
        <v>363</v>
      </c>
      <c r="AK610" s="45">
        <f t="shared" si="105"/>
        <v>1089</v>
      </c>
      <c r="AL610" s="136" t="str" cm="1">
        <f t="array" ref="AL610">_xlfn.IFS(
AI610&lt;3,"Ligera",
AI610&lt;=6,"Moderada",
AI610&gt;6,"Vigorosa"
)</f>
        <v>Moderada</v>
      </c>
      <c r="AM610" s="45" t="s">
        <v>48</v>
      </c>
      <c r="AN610" s="289" t="s">
        <v>60</v>
      </c>
      <c r="AO610" s="45" t="s">
        <v>61</v>
      </c>
      <c r="AP610" s="289" t="s">
        <v>62</v>
      </c>
      <c r="AQ610" s="139">
        <v>0</v>
      </c>
      <c r="AS610" s="197" t="s">
        <v>207</v>
      </c>
    </row>
    <row r="611" spans="1:45" ht="78.75" customHeight="1" thickBot="1">
      <c r="A611" s="138" t="s">
        <v>509</v>
      </c>
      <c r="B611" s="12">
        <v>56</v>
      </c>
      <c r="C611" s="12">
        <v>85.13</v>
      </c>
      <c r="D611" s="12">
        <v>25</v>
      </c>
      <c r="E611" s="12" t="s">
        <v>45</v>
      </c>
      <c r="F611" s="12" t="s">
        <v>45</v>
      </c>
      <c r="G611" s="12" t="s">
        <v>395</v>
      </c>
      <c r="H611" s="12"/>
      <c r="I611" s="12" t="s">
        <v>45</v>
      </c>
      <c r="J611" s="12" t="s">
        <v>47</v>
      </c>
      <c r="K611" s="12" t="s">
        <v>49</v>
      </c>
      <c r="L611" s="12" t="s">
        <v>49</v>
      </c>
      <c r="M611" s="11" t="s">
        <v>56</v>
      </c>
      <c r="N611" s="11" t="s">
        <v>57</v>
      </c>
      <c r="O611" s="11" t="s">
        <v>126</v>
      </c>
      <c r="P611" s="11" t="s">
        <v>51</v>
      </c>
      <c r="Q611" s="50" t="s">
        <v>85</v>
      </c>
      <c r="R611" s="47">
        <v>24</v>
      </c>
      <c r="S611" s="48">
        <v>0.28000000000000003</v>
      </c>
      <c r="T611" s="200">
        <v>0.27</v>
      </c>
      <c r="U611" s="47">
        <v>24</v>
      </c>
      <c r="V611" s="47">
        <v>0.39</v>
      </c>
      <c r="W611" s="195">
        <v>0.44</v>
      </c>
      <c r="X611" s="130">
        <f t="shared" si="98"/>
        <v>0.10999999999999999</v>
      </c>
      <c r="Y611" s="16">
        <f t="shared" si="99"/>
        <v>7.8448496905082044E-2</v>
      </c>
      <c r="Z611" s="286" t="s">
        <v>53</v>
      </c>
      <c r="AA611" s="286" t="s">
        <v>53</v>
      </c>
      <c r="AB611" s="16">
        <v>7.8448496905082044E-2</v>
      </c>
      <c r="AC611" s="66" t="s">
        <v>49</v>
      </c>
      <c r="AD611" s="51" t="s">
        <v>510</v>
      </c>
      <c r="AE611" s="13">
        <v>12</v>
      </c>
      <c r="AF611" s="13">
        <v>3</v>
      </c>
      <c r="AG611" s="13">
        <v>60</v>
      </c>
      <c r="AH611" s="134">
        <v>205460</v>
      </c>
      <c r="AI611" s="134">
        <v>4.3</v>
      </c>
      <c r="AJ611" s="135">
        <f t="shared" ref="AJ611" si="107">AI611*AG611</f>
        <v>258</v>
      </c>
      <c r="AK611" s="45">
        <f t="shared" si="105"/>
        <v>774</v>
      </c>
      <c r="AL611" s="136" t="str" cm="1">
        <f t="array" ref="AL611">_xlfn.IFS(
AI611&lt;3,"Ligera",
AI611&lt;=6,"Moderada",
AI611&gt;6,"Vigorosa"
)</f>
        <v>Moderada</v>
      </c>
      <c r="AM611" s="45" t="s">
        <v>48</v>
      </c>
      <c r="AN611" s="289" t="s">
        <v>60</v>
      </c>
      <c r="AO611" s="45" t="s">
        <v>61</v>
      </c>
      <c r="AP611" s="289" t="s">
        <v>62</v>
      </c>
      <c r="AQ611" s="139">
        <v>0</v>
      </c>
      <c r="AS611" s="197" t="s">
        <v>207</v>
      </c>
    </row>
    <row r="612" spans="1:45" ht="78.75" customHeight="1" thickBot="1">
      <c r="A612" s="138" t="s">
        <v>509</v>
      </c>
      <c r="B612" s="12">
        <v>56</v>
      </c>
      <c r="C612" s="12">
        <v>84.1</v>
      </c>
      <c r="D612" s="12">
        <v>28.57</v>
      </c>
      <c r="E612" s="12" t="s">
        <v>45</v>
      </c>
      <c r="F612" s="12" t="s">
        <v>45</v>
      </c>
      <c r="G612" s="12" t="s">
        <v>395</v>
      </c>
      <c r="H612" s="12"/>
      <c r="I612" s="12" t="s">
        <v>45</v>
      </c>
      <c r="J612" s="12" t="s">
        <v>47</v>
      </c>
      <c r="K612" s="12" t="s">
        <v>49</v>
      </c>
      <c r="L612" s="12" t="s">
        <v>49</v>
      </c>
      <c r="M612" s="11" t="s">
        <v>56</v>
      </c>
      <c r="N612" s="11" t="s">
        <v>76</v>
      </c>
      <c r="O612" s="11" t="s">
        <v>77</v>
      </c>
      <c r="P612" s="11" t="s">
        <v>51</v>
      </c>
      <c r="Q612" s="50" t="s">
        <v>85</v>
      </c>
      <c r="R612" s="47">
        <v>21</v>
      </c>
      <c r="S612" s="48">
        <v>0.32</v>
      </c>
      <c r="T612" s="200">
        <v>0.24</v>
      </c>
      <c r="U612" s="47">
        <v>21</v>
      </c>
      <c r="V612" s="47">
        <v>0.44</v>
      </c>
      <c r="W612" s="195">
        <v>0.49</v>
      </c>
      <c r="X612" s="130">
        <f t="shared" si="98"/>
        <v>0.12</v>
      </c>
      <c r="Y612" s="16">
        <f t="shared" si="99"/>
        <v>9.2607723631403863E-2</v>
      </c>
      <c r="Z612" s="15">
        <f t="shared" si="102"/>
        <v>1.0000000000000009E-2</v>
      </c>
      <c r="AA612" s="16">
        <f t="shared" si="103"/>
        <v>0.21522790697674418</v>
      </c>
      <c r="AB612" s="16">
        <f t="shared" si="104"/>
        <v>0.13862459164462079</v>
      </c>
      <c r="AC612" s="66" t="s">
        <v>49</v>
      </c>
      <c r="AD612" s="51" t="s">
        <v>511</v>
      </c>
      <c r="AE612" s="13">
        <v>12</v>
      </c>
      <c r="AF612" s="13">
        <v>3</v>
      </c>
      <c r="AG612" s="13">
        <v>90</v>
      </c>
      <c r="AH612" s="134" t="s">
        <v>513</v>
      </c>
      <c r="AI612" s="13">
        <v>3.9</v>
      </c>
      <c r="AJ612" s="135">
        <v>363</v>
      </c>
      <c r="AK612" s="45">
        <f t="shared" si="105"/>
        <v>1089</v>
      </c>
      <c r="AL612" s="136" t="str" cm="1">
        <f t="array" ref="AL612">_xlfn.IFS(
AI612&lt;3,"Ligera",
AI612&lt;=6,"Moderada",
AI612&gt;6,"Vigorosa"
)</f>
        <v>Moderada</v>
      </c>
      <c r="AM612" s="45" t="s">
        <v>48</v>
      </c>
      <c r="AN612" s="289" t="s">
        <v>60</v>
      </c>
      <c r="AO612" s="45" t="s">
        <v>61</v>
      </c>
      <c r="AP612" s="289" t="s">
        <v>62</v>
      </c>
      <c r="AQ612" s="139">
        <v>0</v>
      </c>
      <c r="AS612" s="197" t="s">
        <v>207</v>
      </c>
    </row>
    <row r="613" spans="1:45" ht="78.75" customHeight="1" thickBot="1">
      <c r="A613" s="138" t="s">
        <v>509</v>
      </c>
      <c r="B613" s="12">
        <v>56</v>
      </c>
      <c r="C613" s="12">
        <v>85.13</v>
      </c>
      <c r="D613" s="12">
        <v>25</v>
      </c>
      <c r="E613" s="12" t="s">
        <v>45</v>
      </c>
      <c r="F613" s="12" t="s">
        <v>45</v>
      </c>
      <c r="G613" s="12" t="s">
        <v>395</v>
      </c>
      <c r="H613" s="12"/>
      <c r="I613" s="12" t="s">
        <v>45</v>
      </c>
      <c r="J613" s="12" t="s">
        <v>47</v>
      </c>
      <c r="K613" s="12" t="s">
        <v>49</v>
      </c>
      <c r="L613" s="12" t="s">
        <v>49</v>
      </c>
      <c r="M613" s="11" t="s">
        <v>56</v>
      </c>
      <c r="N613" s="11" t="s">
        <v>57</v>
      </c>
      <c r="O613" s="11" t="s">
        <v>126</v>
      </c>
      <c r="P613" s="11" t="s">
        <v>197</v>
      </c>
      <c r="Q613" s="50" t="s">
        <v>198</v>
      </c>
      <c r="R613" s="47">
        <v>24</v>
      </c>
      <c r="S613" s="48">
        <v>36</v>
      </c>
      <c r="T613" s="200">
        <v>19.260000000000002</v>
      </c>
      <c r="U613" s="47">
        <v>24</v>
      </c>
      <c r="V613" s="47">
        <v>29</v>
      </c>
      <c r="W613" s="195">
        <v>14.07</v>
      </c>
      <c r="X613" s="130">
        <f t="shared" si="98"/>
        <v>-7</v>
      </c>
      <c r="Y613" s="16">
        <f t="shared" si="99"/>
        <v>3.523281495992054</v>
      </c>
      <c r="Z613" s="286" t="s">
        <v>53</v>
      </c>
      <c r="AA613" s="286" t="s">
        <v>53</v>
      </c>
      <c r="AB613" s="16">
        <v>3.523281495992054</v>
      </c>
      <c r="AC613" s="66" t="s">
        <v>48</v>
      </c>
      <c r="AD613" s="51" t="s">
        <v>510</v>
      </c>
      <c r="AE613" s="13">
        <v>12</v>
      </c>
      <c r="AF613" s="13">
        <v>3</v>
      </c>
      <c r="AG613" s="13">
        <v>60</v>
      </c>
      <c r="AH613" s="134">
        <v>205460</v>
      </c>
      <c r="AI613" s="134">
        <v>4.3</v>
      </c>
      <c r="AJ613" s="135">
        <f t="shared" ref="AJ613" si="108">AI613*AG613</f>
        <v>258</v>
      </c>
      <c r="AK613" s="45">
        <f t="shared" si="105"/>
        <v>774</v>
      </c>
      <c r="AL613" s="136" t="str" cm="1">
        <f t="array" ref="AL613">_xlfn.IFS(
AI613&lt;3,"Ligera",
AI613&lt;=6,"Moderada",
AI613&gt;6,"Vigorosa"
)</f>
        <v>Moderada</v>
      </c>
      <c r="AM613" s="45" t="s">
        <v>48</v>
      </c>
      <c r="AN613" s="289" t="s">
        <v>60</v>
      </c>
      <c r="AO613" s="45" t="s">
        <v>61</v>
      </c>
      <c r="AP613" s="289" t="s">
        <v>62</v>
      </c>
      <c r="AQ613" s="139">
        <v>0</v>
      </c>
      <c r="AS613" s="197" t="s">
        <v>207</v>
      </c>
    </row>
    <row r="614" spans="1:45" ht="78.75" customHeight="1" thickBot="1">
      <c r="A614" s="140" t="s">
        <v>509</v>
      </c>
      <c r="B614" s="141">
        <v>56</v>
      </c>
      <c r="C614" s="141">
        <v>84.1</v>
      </c>
      <c r="D614" s="141">
        <v>28.57</v>
      </c>
      <c r="E614" s="141" t="s">
        <v>45</v>
      </c>
      <c r="F614" s="141" t="s">
        <v>45</v>
      </c>
      <c r="G614" s="141" t="s">
        <v>395</v>
      </c>
      <c r="H614" s="141"/>
      <c r="I614" s="141" t="s">
        <v>45</v>
      </c>
      <c r="J614" s="141" t="s">
        <v>47</v>
      </c>
      <c r="K614" s="141" t="s">
        <v>49</v>
      </c>
      <c r="L614" s="141" t="s">
        <v>49</v>
      </c>
      <c r="M614" s="142" t="s">
        <v>56</v>
      </c>
      <c r="N614" s="142" t="s">
        <v>76</v>
      </c>
      <c r="O614" s="142" t="s">
        <v>77</v>
      </c>
      <c r="P614" s="142" t="s">
        <v>197</v>
      </c>
      <c r="Q614" s="158" t="s">
        <v>198</v>
      </c>
      <c r="R614" s="169">
        <v>21</v>
      </c>
      <c r="S614" s="170">
        <v>35</v>
      </c>
      <c r="T614" s="202">
        <v>22.96</v>
      </c>
      <c r="U614" s="169">
        <v>21</v>
      </c>
      <c r="V614" s="169">
        <v>27</v>
      </c>
      <c r="W614" s="199">
        <v>10.37</v>
      </c>
      <c r="X614" s="130">
        <f t="shared" ref="X614:X669" si="109">V614-S614</f>
        <v>-8</v>
      </c>
      <c r="Y614" s="16">
        <f t="shared" si="99"/>
        <v>4.3457877799740094</v>
      </c>
      <c r="Z614" s="15">
        <f t="shared" si="102"/>
        <v>-1</v>
      </c>
      <c r="AA614" s="16">
        <f t="shared" si="103"/>
        <v>155.90536511627906</v>
      </c>
      <c r="AB614" s="16">
        <f t="shared" si="104"/>
        <v>3.7309679555555095</v>
      </c>
      <c r="AC614" s="66" t="s">
        <v>48</v>
      </c>
      <c r="AD614" s="151" t="s">
        <v>511</v>
      </c>
      <c r="AE614" s="146">
        <v>12</v>
      </c>
      <c r="AF614" s="146">
        <v>3</v>
      </c>
      <c r="AG614" s="146">
        <v>90</v>
      </c>
      <c r="AH614" s="134" t="s">
        <v>513</v>
      </c>
      <c r="AI614" s="13">
        <v>3.9</v>
      </c>
      <c r="AJ614" s="135">
        <v>363</v>
      </c>
      <c r="AK614" s="45">
        <f t="shared" si="105"/>
        <v>1089</v>
      </c>
      <c r="AL614" s="136" t="str" cm="1">
        <f t="array" ref="AL614">_xlfn.IFS(
AI614&lt;3,"Ligera",
AI614&lt;=6,"Moderada",
AI614&gt;6,"Vigorosa"
)</f>
        <v>Moderada</v>
      </c>
      <c r="AM614" s="147" t="s">
        <v>48</v>
      </c>
      <c r="AN614" s="290" t="s">
        <v>60</v>
      </c>
      <c r="AO614" s="147" t="s">
        <v>61</v>
      </c>
      <c r="AP614" s="290" t="s">
        <v>62</v>
      </c>
      <c r="AQ614" s="149">
        <v>0</v>
      </c>
      <c r="AS614" s="197" t="s">
        <v>207</v>
      </c>
    </row>
    <row r="615" spans="1:45" ht="78.75" customHeight="1" thickBot="1">
      <c r="A615" s="124" t="s">
        <v>514</v>
      </c>
      <c r="B615" s="125">
        <v>60</v>
      </c>
      <c r="C615" s="125">
        <v>82.3</v>
      </c>
      <c r="D615" s="125">
        <v>33.33</v>
      </c>
      <c r="E615" s="125" t="s">
        <v>45</v>
      </c>
      <c r="F615" s="125" t="s">
        <v>45</v>
      </c>
      <c r="G615" s="125" t="s">
        <v>408</v>
      </c>
      <c r="H615" s="125"/>
      <c r="I615" s="125" t="s">
        <v>45</v>
      </c>
      <c r="J615" s="125" t="s">
        <v>47</v>
      </c>
      <c r="K615" s="125" t="s">
        <v>49</v>
      </c>
      <c r="L615" s="125" t="s">
        <v>49</v>
      </c>
      <c r="M615" s="126" t="s">
        <v>56</v>
      </c>
      <c r="N615" s="126" t="s">
        <v>233</v>
      </c>
      <c r="O615" s="126" t="s">
        <v>233</v>
      </c>
      <c r="P615" s="126" t="s">
        <v>86</v>
      </c>
      <c r="Q615" s="159" t="s">
        <v>86</v>
      </c>
      <c r="R615" s="167">
        <v>30</v>
      </c>
      <c r="S615" s="168">
        <v>2.2000000000000002</v>
      </c>
      <c r="T615" s="179">
        <v>0.9</v>
      </c>
      <c r="U615" s="168">
        <v>30</v>
      </c>
      <c r="V615" s="167">
        <v>1.5</v>
      </c>
      <c r="W615" s="168">
        <v>0.6</v>
      </c>
      <c r="X615" s="130">
        <f t="shared" si="109"/>
        <v>-0.70000000000000018</v>
      </c>
      <c r="Y615" s="16">
        <f t="shared" ref="Y615:Y670" si="110">SQRT((T615^2+W615^2-(2*0.5*T615*W615)))/SQRT(U615)</f>
        <v>0.14491376746189435</v>
      </c>
      <c r="Z615" s="286" t="s">
        <v>53</v>
      </c>
      <c r="AA615" s="286" t="s">
        <v>53</v>
      </c>
      <c r="AB615" s="16">
        <v>0.14491376746189435</v>
      </c>
      <c r="AC615" s="66" t="s">
        <v>48</v>
      </c>
      <c r="AD615" s="133" t="s">
        <v>515</v>
      </c>
      <c r="AE615" s="134">
        <v>6</v>
      </c>
      <c r="AF615" s="134">
        <v>3</v>
      </c>
      <c r="AG615" s="134">
        <v>60</v>
      </c>
      <c r="AH615" s="134">
        <v>211360</v>
      </c>
      <c r="AI615" s="134">
        <v>3.5</v>
      </c>
      <c r="AJ615" s="135">
        <f t="shared" ref="AJ615:AJ669" si="111">AI615*AG615</f>
        <v>210</v>
      </c>
      <c r="AK615" s="45">
        <f t="shared" si="105"/>
        <v>630</v>
      </c>
      <c r="AL615" s="136" t="str" cm="1">
        <f t="array" ref="AL615">_xlfn.IFS(
AI615&lt;3,"Ligera",
AI615&lt;=6,"Moderada",
AI615&gt;6,"Vigorosa"
)</f>
        <v>Moderada</v>
      </c>
      <c r="AM615" s="136" t="s">
        <v>49</v>
      </c>
      <c r="AN615" s="288" t="s">
        <v>49</v>
      </c>
      <c r="AO615" s="288" t="s">
        <v>61</v>
      </c>
      <c r="AP615" s="288" t="s">
        <v>155</v>
      </c>
      <c r="AQ615" s="137">
        <v>0</v>
      </c>
    </row>
    <row r="616" spans="1:45" ht="78.75" customHeight="1" thickBot="1">
      <c r="A616" s="140" t="s">
        <v>514</v>
      </c>
      <c r="B616" s="141">
        <v>60</v>
      </c>
      <c r="C616" s="141">
        <v>82.4</v>
      </c>
      <c r="D616" s="141">
        <v>36.67</v>
      </c>
      <c r="E616" s="141" t="s">
        <v>45</v>
      </c>
      <c r="F616" s="141" t="s">
        <v>45</v>
      </c>
      <c r="G616" s="141" t="s">
        <v>408</v>
      </c>
      <c r="H616" s="141"/>
      <c r="I616" s="141" t="s">
        <v>45</v>
      </c>
      <c r="J616" s="141" t="s">
        <v>47</v>
      </c>
      <c r="K616" s="141" t="s">
        <v>49</v>
      </c>
      <c r="L616" s="141" t="s">
        <v>49</v>
      </c>
      <c r="M616" s="142" t="s">
        <v>56</v>
      </c>
      <c r="N616" s="142" t="s">
        <v>152</v>
      </c>
      <c r="O616" s="142" t="s">
        <v>202</v>
      </c>
      <c r="P616" s="142" t="s">
        <v>86</v>
      </c>
      <c r="Q616" s="158" t="s">
        <v>86</v>
      </c>
      <c r="R616" s="169">
        <v>30</v>
      </c>
      <c r="S616" s="170">
        <v>2.5</v>
      </c>
      <c r="T616" s="171">
        <v>1.1000000000000001</v>
      </c>
      <c r="U616" s="170">
        <v>30</v>
      </c>
      <c r="V616" s="169">
        <v>0.5</v>
      </c>
      <c r="W616" s="170">
        <v>0.5</v>
      </c>
      <c r="X616" s="130">
        <f t="shared" si="109"/>
        <v>-2</v>
      </c>
      <c r="Y616" s="16">
        <f t="shared" si="110"/>
        <v>0.17416467303484176</v>
      </c>
      <c r="Z616" s="15">
        <f t="shared" ref="Z616:Z671" si="112">X616-X615</f>
        <v>-1.2999999999999998</v>
      </c>
      <c r="AA616" s="16">
        <f t="shared" ref="AA616:AA671" si="113">((U616-1)*W616^2+(U615-1)*W615^2)/((U616-1)+(U615-1))</f>
        <v>0.30499999999999994</v>
      </c>
      <c r="AB616" s="16">
        <f t="shared" ref="AB616:AB671" si="114">SQRT(AA616*((1/U616)+(1/U615)))</f>
        <v>0.14259499757471622</v>
      </c>
      <c r="AC616" s="66" t="s">
        <v>48</v>
      </c>
      <c r="AD616" s="151" t="s">
        <v>516</v>
      </c>
      <c r="AE616" s="146">
        <v>6</v>
      </c>
      <c r="AF616" s="146">
        <v>3</v>
      </c>
      <c r="AG616" s="146">
        <v>60</v>
      </c>
      <c r="AH616" s="146">
        <v>2220060</v>
      </c>
      <c r="AI616" s="146">
        <v>2.8</v>
      </c>
      <c r="AJ616" s="135">
        <f t="shared" si="111"/>
        <v>168</v>
      </c>
      <c r="AK616" s="45">
        <f t="shared" si="105"/>
        <v>504</v>
      </c>
      <c r="AL616" s="136" t="str" cm="1">
        <f t="array" ref="AL616">_xlfn.IFS(
AI616&lt;3,"Ligera",
AI616&lt;=6,"Moderada",
AI616&gt;6,"Vigorosa"
)</f>
        <v>Ligera</v>
      </c>
      <c r="AM616" s="147" t="s">
        <v>48</v>
      </c>
      <c r="AN616" s="290" t="s">
        <v>60</v>
      </c>
      <c r="AO616" s="290" t="s">
        <v>61</v>
      </c>
      <c r="AP616" s="290" t="s">
        <v>155</v>
      </c>
      <c r="AQ616" s="149">
        <v>0</v>
      </c>
    </row>
    <row r="617" spans="1:45" ht="78.75" customHeight="1" thickBot="1">
      <c r="A617" s="124" t="s">
        <v>517</v>
      </c>
      <c r="B617" s="125">
        <v>56</v>
      </c>
      <c r="C617" s="125" t="s">
        <v>47</v>
      </c>
      <c r="D617" s="125">
        <v>57.1</v>
      </c>
      <c r="E617" s="125" t="s">
        <v>45</v>
      </c>
      <c r="F617" s="125" t="s">
        <v>45</v>
      </c>
      <c r="G617" s="125" t="s">
        <v>223</v>
      </c>
      <c r="H617" s="125"/>
      <c r="I617" s="125" t="s">
        <v>45</v>
      </c>
      <c r="J617" s="125" t="s">
        <v>47</v>
      </c>
      <c r="K617" s="125" t="s">
        <v>48</v>
      </c>
      <c r="L617" s="125" t="s">
        <v>48</v>
      </c>
      <c r="M617" s="126" t="s">
        <v>50</v>
      </c>
      <c r="N617" s="126" t="s">
        <v>50</v>
      </c>
      <c r="O617" s="126" t="s">
        <v>50</v>
      </c>
      <c r="P617" s="11" t="s">
        <v>86</v>
      </c>
      <c r="Q617" s="159" t="s">
        <v>87</v>
      </c>
      <c r="R617" s="167">
        <v>28</v>
      </c>
      <c r="S617" s="168">
        <v>43.61</v>
      </c>
      <c r="T617" s="179">
        <v>4.9400000000000004</v>
      </c>
      <c r="U617" s="168">
        <v>28</v>
      </c>
      <c r="V617" s="167">
        <v>42.82</v>
      </c>
      <c r="W617" s="168">
        <v>4.95</v>
      </c>
      <c r="X617" s="130">
        <f t="shared" si="109"/>
        <v>-0.78999999999999915</v>
      </c>
      <c r="Y617" s="16">
        <f t="shared" si="110"/>
        <v>0.93451859264543269</v>
      </c>
      <c r="Z617" s="286" t="s">
        <v>53</v>
      </c>
      <c r="AA617" s="286" t="s">
        <v>53</v>
      </c>
      <c r="AB617" s="16">
        <v>0.93451859264543269</v>
      </c>
      <c r="AC617" s="66" t="s">
        <v>49</v>
      </c>
      <c r="AD617" s="133" t="s">
        <v>518</v>
      </c>
      <c r="AE617" s="134">
        <v>12</v>
      </c>
      <c r="AF617" s="134">
        <v>0</v>
      </c>
      <c r="AG617" s="134">
        <v>0</v>
      </c>
      <c r="AH617" s="134">
        <v>0</v>
      </c>
      <c r="AI617" s="134">
        <v>0</v>
      </c>
      <c r="AJ617" s="135">
        <f t="shared" si="111"/>
        <v>0</v>
      </c>
      <c r="AK617" s="45">
        <f t="shared" si="105"/>
        <v>0</v>
      </c>
      <c r="AL617" s="136" t="str" cm="1">
        <f t="array" ref="AL617">_xlfn.IFS(
AI617&lt;3,"Ligera",
AI617&lt;=6,"Moderada",
AI617&gt;6,"Vigorosa"
)</f>
        <v>Ligera</v>
      </c>
      <c r="AM617" s="136" t="s">
        <v>49</v>
      </c>
      <c r="AN617" s="288" t="s">
        <v>49</v>
      </c>
      <c r="AO617" s="288" t="s">
        <v>49</v>
      </c>
      <c r="AP617" s="288" t="s">
        <v>49</v>
      </c>
      <c r="AQ617" s="137">
        <v>0</v>
      </c>
    </row>
    <row r="618" spans="1:45" ht="78.75" customHeight="1" thickBot="1">
      <c r="A618" s="138" t="s">
        <v>517</v>
      </c>
      <c r="B618" s="12">
        <v>56</v>
      </c>
      <c r="C618" s="12" t="s">
        <v>47</v>
      </c>
      <c r="D618" s="12">
        <v>53.6</v>
      </c>
      <c r="E618" s="12" t="s">
        <v>45</v>
      </c>
      <c r="F618" s="12" t="s">
        <v>45</v>
      </c>
      <c r="G618" s="12" t="s">
        <v>223</v>
      </c>
      <c r="H618" s="12"/>
      <c r="I618" s="12" t="s">
        <v>45</v>
      </c>
      <c r="J618" s="12" t="s">
        <v>47</v>
      </c>
      <c r="K618" s="12" t="s">
        <v>48</v>
      </c>
      <c r="L618" s="12" t="s">
        <v>48</v>
      </c>
      <c r="M618" s="11" t="s">
        <v>56</v>
      </c>
      <c r="N618" s="11" t="s">
        <v>76</v>
      </c>
      <c r="O618" s="11" t="s">
        <v>103</v>
      </c>
      <c r="P618" s="11" t="s">
        <v>86</v>
      </c>
      <c r="Q618" s="50" t="s">
        <v>87</v>
      </c>
      <c r="R618" s="47">
        <v>28</v>
      </c>
      <c r="S618" s="48">
        <v>40.29</v>
      </c>
      <c r="T618" s="52">
        <v>6.37</v>
      </c>
      <c r="U618" s="48">
        <v>28</v>
      </c>
      <c r="V618" s="47">
        <v>47.36</v>
      </c>
      <c r="W618" s="48">
        <v>4.82</v>
      </c>
      <c r="X618" s="130">
        <f t="shared" si="109"/>
        <v>7.07</v>
      </c>
      <c r="Y618" s="16">
        <f t="shared" si="110"/>
        <v>1.0873608285332756</v>
      </c>
      <c r="Z618" s="15">
        <f t="shared" si="112"/>
        <v>7.8599999999999994</v>
      </c>
      <c r="AA618" s="16">
        <f t="shared" si="113"/>
        <v>23.867450000000002</v>
      </c>
      <c r="AB618" s="16">
        <f t="shared" si="114"/>
        <v>1.305686737752535</v>
      </c>
      <c r="AC618" s="66" t="s">
        <v>49</v>
      </c>
      <c r="AD618" s="51" t="s">
        <v>519</v>
      </c>
      <c r="AE618" s="13">
        <v>12</v>
      </c>
      <c r="AF618" s="13">
        <v>5</v>
      </c>
      <c r="AG618" s="13">
        <v>30</v>
      </c>
      <c r="AH618" s="134" t="s">
        <v>520</v>
      </c>
      <c r="AI618" s="134">
        <v>3.65</v>
      </c>
      <c r="AJ618" s="135">
        <v>108.6</v>
      </c>
      <c r="AK618" s="45">
        <v>543</v>
      </c>
      <c r="AL618" s="136" t="str" cm="1">
        <f t="array" ref="AL618">_xlfn.IFS(
AI618&lt;3,"Ligera",
AI618&lt;=6,"Moderada",
AI618&gt;6,"Vigorosa"
)</f>
        <v>Moderada</v>
      </c>
      <c r="AM618" s="45" t="s">
        <v>48</v>
      </c>
      <c r="AN618" s="289" t="s">
        <v>60</v>
      </c>
      <c r="AO618" s="46" t="s">
        <v>255</v>
      </c>
      <c r="AP618" s="289" t="s">
        <v>62</v>
      </c>
      <c r="AQ618" s="139">
        <v>0</v>
      </c>
    </row>
    <row r="619" spans="1:45" ht="78.75" customHeight="1" thickBot="1">
      <c r="A619" s="138" t="s">
        <v>517</v>
      </c>
      <c r="B619" s="12">
        <v>56</v>
      </c>
      <c r="C619" s="12" t="s">
        <v>47</v>
      </c>
      <c r="D619" s="12">
        <v>57.1</v>
      </c>
      <c r="E619" s="12" t="s">
        <v>45</v>
      </c>
      <c r="F619" s="12" t="s">
        <v>45</v>
      </c>
      <c r="G619" s="12" t="s">
        <v>223</v>
      </c>
      <c r="H619" s="12"/>
      <c r="I619" s="12" t="s">
        <v>45</v>
      </c>
      <c r="J619" s="12" t="s">
        <v>47</v>
      </c>
      <c r="K619" s="12" t="s">
        <v>48</v>
      </c>
      <c r="L619" s="12" t="s">
        <v>48</v>
      </c>
      <c r="M619" s="11" t="s">
        <v>50</v>
      </c>
      <c r="N619" s="11" t="s">
        <v>50</v>
      </c>
      <c r="O619" s="11" t="s">
        <v>50</v>
      </c>
      <c r="P619" s="11" t="s">
        <v>51</v>
      </c>
      <c r="Q619" s="50" t="s">
        <v>64</v>
      </c>
      <c r="R619" s="47">
        <v>28</v>
      </c>
      <c r="S619" s="48">
        <v>11.54</v>
      </c>
      <c r="T619" s="52">
        <v>3.7</v>
      </c>
      <c r="U619" s="48">
        <v>28</v>
      </c>
      <c r="V619" s="47">
        <v>11.39</v>
      </c>
      <c r="W619" s="48">
        <v>3.58</v>
      </c>
      <c r="X619" s="130">
        <f t="shared" si="109"/>
        <v>-0.14999999999999858</v>
      </c>
      <c r="Y619" s="16">
        <f t="shared" si="110"/>
        <v>0.68817564203167936</v>
      </c>
      <c r="Z619" s="286" t="s">
        <v>53</v>
      </c>
      <c r="AA619" s="286" t="s">
        <v>53</v>
      </c>
      <c r="AB619" s="16">
        <v>0.68817564203167936</v>
      </c>
      <c r="AC619" s="66" t="s">
        <v>49</v>
      </c>
      <c r="AD619" s="51" t="s">
        <v>518</v>
      </c>
      <c r="AE619" s="13">
        <v>12</v>
      </c>
      <c r="AF619" s="13">
        <v>0</v>
      </c>
      <c r="AG619" s="13">
        <v>0</v>
      </c>
      <c r="AH619" s="134">
        <v>0</v>
      </c>
      <c r="AI619" s="134">
        <v>0</v>
      </c>
      <c r="AJ619" s="135">
        <f t="shared" si="111"/>
        <v>0</v>
      </c>
      <c r="AK619" s="45">
        <f t="shared" si="105"/>
        <v>0</v>
      </c>
      <c r="AL619" s="136" t="str" cm="1">
        <f t="array" ref="AL619">_xlfn.IFS(
AI619&lt;3,"Ligera",
AI619&lt;=6,"Moderada",
AI619&gt;6,"Vigorosa"
)</f>
        <v>Ligera</v>
      </c>
      <c r="AM619" s="45" t="s">
        <v>49</v>
      </c>
      <c r="AN619" s="289" t="s">
        <v>49</v>
      </c>
      <c r="AO619" s="289" t="s">
        <v>49</v>
      </c>
      <c r="AP619" s="289" t="s">
        <v>49</v>
      </c>
      <c r="AQ619" s="139">
        <v>0</v>
      </c>
    </row>
    <row r="620" spans="1:45" ht="78.75" customHeight="1" thickBot="1">
      <c r="A620" s="138" t="s">
        <v>517</v>
      </c>
      <c r="B620" s="12">
        <v>56</v>
      </c>
      <c r="C620" s="12" t="s">
        <v>47</v>
      </c>
      <c r="D620" s="12">
        <v>53.6</v>
      </c>
      <c r="E620" s="12" t="s">
        <v>45</v>
      </c>
      <c r="F620" s="12" t="s">
        <v>45</v>
      </c>
      <c r="G620" s="12" t="s">
        <v>223</v>
      </c>
      <c r="H620" s="12"/>
      <c r="I620" s="12" t="s">
        <v>45</v>
      </c>
      <c r="J620" s="12" t="s">
        <v>47</v>
      </c>
      <c r="K620" s="12" t="s">
        <v>48</v>
      </c>
      <c r="L620" s="12" t="s">
        <v>48</v>
      </c>
      <c r="M620" s="11" t="s">
        <v>56</v>
      </c>
      <c r="N620" s="11" t="s">
        <v>76</v>
      </c>
      <c r="O620" s="11" t="s">
        <v>103</v>
      </c>
      <c r="P620" s="11" t="s">
        <v>51</v>
      </c>
      <c r="Q620" s="50" t="s">
        <v>64</v>
      </c>
      <c r="R620" s="47">
        <v>28</v>
      </c>
      <c r="S620" s="48">
        <v>11.54</v>
      </c>
      <c r="T620" s="52">
        <v>3.19</v>
      </c>
      <c r="U620" s="48">
        <v>28</v>
      </c>
      <c r="V620" s="47">
        <v>15.07</v>
      </c>
      <c r="W620" s="48">
        <v>2.42</v>
      </c>
      <c r="X620" s="130">
        <f t="shared" si="109"/>
        <v>3.5300000000000011</v>
      </c>
      <c r="Y620" s="16">
        <f t="shared" si="110"/>
        <v>0.54486892263841102</v>
      </c>
      <c r="Z620" s="15">
        <f t="shared" si="112"/>
        <v>3.6799999999999997</v>
      </c>
      <c r="AA620" s="16">
        <f t="shared" si="113"/>
        <v>9.3363999999999994</v>
      </c>
      <c r="AB620" s="16">
        <f t="shared" si="114"/>
        <v>0.81663070863500731</v>
      </c>
      <c r="AC620" s="66" t="s">
        <v>49</v>
      </c>
      <c r="AD620" s="51" t="s">
        <v>521</v>
      </c>
      <c r="AE620" s="13">
        <v>12</v>
      </c>
      <c r="AF620" s="13">
        <v>5</v>
      </c>
      <c r="AG620" s="13">
        <v>30</v>
      </c>
      <c r="AH620" s="134" t="s">
        <v>520</v>
      </c>
      <c r="AI620" s="134">
        <v>3.65</v>
      </c>
      <c r="AJ620" s="135">
        <v>108.6</v>
      </c>
      <c r="AK620" s="45">
        <v>543</v>
      </c>
      <c r="AL620" s="136" t="str" cm="1">
        <f t="array" ref="AL620">_xlfn.IFS(
AI620&lt;3,"Ligera",
AI620&lt;=6,"Moderada",
AI620&gt;6,"Vigorosa"
)</f>
        <v>Moderada</v>
      </c>
      <c r="AM620" s="45" t="s">
        <v>48</v>
      </c>
      <c r="AN620" s="289" t="s">
        <v>60</v>
      </c>
      <c r="AO620" s="46" t="s">
        <v>255</v>
      </c>
      <c r="AP620" s="289" t="s">
        <v>62</v>
      </c>
      <c r="AQ620" s="139">
        <v>0</v>
      </c>
    </row>
    <row r="621" spans="1:45" ht="78.75" customHeight="1" thickBot="1">
      <c r="A621" s="138" t="s">
        <v>517</v>
      </c>
      <c r="B621" s="12">
        <v>56</v>
      </c>
      <c r="C621" s="12" t="s">
        <v>47</v>
      </c>
      <c r="D621" s="12">
        <v>57.1</v>
      </c>
      <c r="E621" s="12" t="s">
        <v>45</v>
      </c>
      <c r="F621" s="12" t="s">
        <v>45</v>
      </c>
      <c r="G621" s="12" t="s">
        <v>223</v>
      </c>
      <c r="H621" s="12"/>
      <c r="I621" s="12" t="s">
        <v>45</v>
      </c>
      <c r="J621" s="12" t="s">
        <v>47</v>
      </c>
      <c r="K621" s="12" t="s">
        <v>48</v>
      </c>
      <c r="L621" s="12" t="s">
        <v>48</v>
      </c>
      <c r="M621" s="11" t="s">
        <v>50</v>
      </c>
      <c r="N621" s="11" t="s">
        <v>50</v>
      </c>
      <c r="O621" s="11" t="s">
        <v>50</v>
      </c>
      <c r="P621" s="11" t="s">
        <v>51</v>
      </c>
      <c r="Q621" s="50" t="s">
        <v>293</v>
      </c>
      <c r="R621" s="47">
        <v>28</v>
      </c>
      <c r="S621" s="48">
        <v>10.89</v>
      </c>
      <c r="T621" s="52">
        <v>5.37</v>
      </c>
      <c r="U621" s="48">
        <v>28</v>
      </c>
      <c r="V621" s="47">
        <v>10.82</v>
      </c>
      <c r="W621" s="48">
        <v>4.82</v>
      </c>
      <c r="X621" s="130">
        <f t="shared" si="109"/>
        <v>-7.0000000000000284E-2</v>
      </c>
      <c r="Y621" s="16">
        <f t="shared" si="110"/>
        <v>0.96706293191586767</v>
      </c>
      <c r="Z621" s="286" t="s">
        <v>53</v>
      </c>
      <c r="AA621" s="286" t="s">
        <v>53</v>
      </c>
      <c r="AB621" s="16">
        <v>0.96706293191586767</v>
      </c>
      <c r="AC621" s="66" t="s">
        <v>49</v>
      </c>
      <c r="AD621" s="51" t="s">
        <v>518</v>
      </c>
      <c r="AE621" s="13">
        <v>12</v>
      </c>
      <c r="AF621" s="13">
        <v>0</v>
      </c>
      <c r="AG621" s="13">
        <v>0</v>
      </c>
      <c r="AH621" s="134">
        <v>0</v>
      </c>
      <c r="AI621" s="134">
        <v>0</v>
      </c>
      <c r="AJ621" s="135">
        <f t="shared" si="111"/>
        <v>0</v>
      </c>
      <c r="AK621" s="45">
        <f t="shared" si="105"/>
        <v>0</v>
      </c>
      <c r="AL621" s="136" t="str" cm="1">
        <f t="array" ref="AL621">_xlfn.IFS(
AI621&lt;3,"Ligera",
AI621&lt;=6,"Moderada",
AI621&gt;6,"Vigorosa"
)</f>
        <v>Ligera</v>
      </c>
      <c r="AM621" s="45" t="s">
        <v>49</v>
      </c>
      <c r="AN621" s="289" t="s">
        <v>49</v>
      </c>
      <c r="AO621" s="289" t="s">
        <v>49</v>
      </c>
      <c r="AP621" s="289" t="s">
        <v>49</v>
      </c>
      <c r="AQ621" s="139">
        <v>0</v>
      </c>
    </row>
    <row r="622" spans="1:45" ht="78.75" customHeight="1" thickBot="1">
      <c r="A622" s="138" t="s">
        <v>517</v>
      </c>
      <c r="B622" s="12">
        <v>56</v>
      </c>
      <c r="C622" s="12" t="s">
        <v>47</v>
      </c>
      <c r="D622" s="12">
        <v>53.6</v>
      </c>
      <c r="E622" s="12" t="s">
        <v>45</v>
      </c>
      <c r="F622" s="12" t="s">
        <v>45</v>
      </c>
      <c r="G622" s="12" t="s">
        <v>223</v>
      </c>
      <c r="H622" s="12"/>
      <c r="I622" s="12" t="s">
        <v>45</v>
      </c>
      <c r="J622" s="12" t="s">
        <v>47</v>
      </c>
      <c r="K622" s="12" t="s">
        <v>48</v>
      </c>
      <c r="L622" s="12" t="s">
        <v>48</v>
      </c>
      <c r="M622" s="11" t="s">
        <v>56</v>
      </c>
      <c r="N622" s="11" t="s">
        <v>76</v>
      </c>
      <c r="O622" s="11" t="s">
        <v>103</v>
      </c>
      <c r="P622" s="11" t="s">
        <v>51</v>
      </c>
      <c r="Q622" s="50" t="s">
        <v>293</v>
      </c>
      <c r="R622" s="47">
        <v>28</v>
      </c>
      <c r="S622" s="48">
        <v>11.43</v>
      </c>
      <c r="T622" s="52">
        <v>5.04</v>
      </c>
      <c r="U622" s="48">
        <v>28</v>
      </c>
      <c r="V622" s="47">
        <v>12.71</v>
      </c>
      <c r="W622" s="48">
        <v>4.95</v>
      </c>
      <c r="X622" s="130">
        <f t="shared" si="109"/>
        <v>1.2800000000000011</v>
      </c>
      <c r="Y622" s="16">
        <f t="shared" si="110"/>
        <v>0.94408118597623025</v>
      </c>
      <c r="Z622" s="15">
        <f t="shared" si="112"/>
        <v>1.3500000000000014</v>
      </c>
      <c r="AA622" s="16">
        <f t="shared" si="113"/>
        <v>23.867450000000002</v>
      </c>
      <c r="AB622" s="16">
        <f t="shared" si="114"/>
        <v>1.305686737752535</v>
      </c>
      <c r="AC622" s="66" t="s">
        <v>49</v>
      </c>
      <c r="AD622" s="51" t="s">
        <v>521</v>
      </c>
      <c r="AE622" s="13">
        <v>12</v>
      </c>
      <c r="AF622" s="13">
        <v>5</v>
      </c>
      <c r="AG622" s="13">
        <v>30</v>
      </c>
      <c r="AH622" s="134" t="s">
        <v>520</v>
      </c>
      <c r="AI622" s="134">
        <v>3.65</v>
      </c>
      <c r="AJ622" s="135">
        <v>108.6</v>
      </c>
      <c r="AK622" s="45">
        <v>543</v>
      </c>
      <c r="AL622" s="136" t="str" cm="1">
        <f t="array" ref="AL622">_xlfn.IFS(
AI622&lt;3,"Ligera",
AI622&lt;=6,"Moderada",
AI622&gt;6,"Vigorosa"
)</f>
        <v>Moderada</v>
      </c>
      <c r="AM622" s="45" t="s">
        <v>48</v>
      </c>
      <c r="AN622" s="289" t="s">
        <v>60</v>
      </c>
      <c r="AO622" s="46" t="s">
        <v>255</v>
      </c>
      <c r="AP622" s="289" t="s">
        <v>62</v>
      </c>
      <c r="AQ622" s="139">
        <v>0</v>
      </c>
    </row>
    <row r="623" spans="1:45" ht="78.75" customHeight="1" thickBot="1">
      <c r="A623" s="138" t="s">
        <v>517</v>
      </c>
      <c r="B623" s="12">
        <v>56</v>
      </c>
      <c r="C623" s="12" t="s">
        <v>47</v>
      </c>
      <c r="D623" s="12">
        <v>57.1</v>
      </c>
      <c r="E623" s="12" t="s">
        <v>45</v>
      </c>
      <c r="F623" s="12" t="s">
        <v>45</v>
      </c>
      <c r="G623" s="12" t="s">
        <v>223</v>
      </c>
      <c r="H623" s="12"/>
      <c r="I623" s="12" t="s">
        <v>45</v>
      </c>
      <c r="J623" s="12" t="s">
        <v>47</v>
      </c>
      <c r="K623" s="12" t="s">
        <v>48</v>
      </c>
      <c r="L623" s="12" t="s">
        <v>48</v>
      </c>
      <c r="M623" s="11" t="s">
        <v>50</v>
      </c>
      <c r="N623" s="11" t="s">
        <v>50</v>
      </c>
      <c r="O623" s="11" t="s">
        <v>50</v>
      </c>
      <c r="P623" s="11" t="s">
        <v>51</v>
      </c>
      <c r="Q623" s="50" t="s">
        <v>299</v>
      </c>
      <c r="R623" s="47">
        <v>28</v>
      </c>
      <c r="S623" s="48">
        <v>10.32</v>
      </c>
      <c r="T623" s="52">
        <v>5.08</v>
      </c>
      <c r="U623" s="48">
        <v>28</v>
      </c>
      <c r="V623" s="47">
        <v>10.039999999999999</v>
      </c>
      <c r="W623" s="48">
        <v>4.42</v>
      </c>
      <c r="X623" s="130">
        <f t="shared" si="109"/>
        <v>-0.28000000000000114</v>
      </c>
      <c r="Y623" s="16">
        <f t="shared" si="110"/>
        <v>0.90414126582709864</v>
      </c>
      <c r="Z623" s="286" t="s">
        <v>53</v>
      </c>
      <c r="AA623" s="286" t="s">
        <v>53</v>
      </c>
      <c r="AB623" s="16">
        <v>0.90414126582709864</v>
      </c>
      <c r="AC623" s="66" t="s">
        <v>49</v>
      </c>
      <c r="AD623" s="51" t="s">
        <v>518</v>
      </c>
      <c r="AE623" s="13">
        <v>12</v>
      </c>
      <c r="AF623" s="13">
        <v>0</v>
      </c>
      <c r="AG623" s="13">
        <v>0</v>
      </c>
      <c r="AH623" s="134">
        <v>0</v>
      </c>
      <c r="AI623" s="134">
        <v>0</v>
      </c>
      <c r="AJ623" s="135">
        <f t="shared" si="111"/>
        <v>0</v>
      </c>
      <c r="AK623" s="45">
        <f t="shared" si="105"/>
        <v>0</v>
      </c>
      <c r="AL623" s="136" t="str" cm="1">
        <f t="array" ref="AL623">_xlfn.IFS(
AI623&lt;3,"Ligera",
AI623&lt;=6,"Moderada",
AI623&gt;6,"Vigorosa"
)</f>
        <v>Ligera</v>
      </c>
      <c r="AM623" s="45" t="s">
        <v>49</v>
      </c>
      <c r="AN623" s="289" t="s">
        <v>49</v>
      </c>
      <c r="AO623" s="289" t="s">
        <v>49</v>
      </c>
      <c r="AP623" s="289" t="s">
        <v>49</v>
      </c>
      <c r="AQ623" s="139">
        <v>0</v>
      </c>
    </row>
    <row r="624" spans="1:45" ht="78.75" customHeight="1" thickBot="1">
      <c r="A624" s="138" t="s">
        <v>517</v>
      </c>
      <c r="B624" s="12">
        <v>56</v>
      </c>
      <c r="C624" s="12" t="s">
        <v>47</v>
      </c>
      <c r="D624" s="12">
        <v>53.6</v>
      </c>
      <c r="E624" s="12" t="s">
        <v>45</v>
      </c>
      <c r="F624" s="12" t="s">
        <v>45</v>
      </c>
      <c r="G624" s="12" t="s">
        <v>223</v>
      </c>
      <c r="H624" s="12"/>
      <c r="I624" s="12" t="s">
        <v>45</v>
      </c>
      <c r="J624" s="12" t="s">
        <v>47</v>
      </c>
      <c r="K624" s="12" t="s">
        <v>48</v>
      </c>
      <c r="L624" s="12" t="s">
        <v>48</v>
      </c>
      <c r="M624" s="11" t="s">
        <v>56</v>
      </c>
      <c r="N624" s="11" t="s">
        <v>76</v>
      </c>
      <c r="O624" s="11" t="s">
        <v>103</v>
      </c>
      <c r="P624" s="11" t="s">
        <v>51</v>
      </c>
      <c r="Q624" s="50" t="s">
        <v>299</v>
      </c>
      <c r="R624" s="47">
        <v>28</v>
      </c>
      <c r="S624" s="48">
        <v>10.5</v>
      </c>
      <c r="T624" s="52">
        <v>4.6100000000000003</v>
      </c>
      <c r="U624" s="48">
        <v>28</v>
      </c>
      <c r="V624" s="47">
        <v>11.96</v>
      </c>
      <c r="W624" s="48">
        <v>4.6900000000000004</v>
      </c>
      <c r="X624" s="130">
        <f t="shared" si="109"/>
        <v>1.4600000000000009</v>
      </c>
      <c r="Y624" s="16">
        <f t="shared" si="110"/>
        <v>0.87886493355268847</v>
      </c>
      <c r="Z624" s="15">
        <f t="shared" si="112"/>
        <v>1.740000000000002</v>
      </c>
      <c r="AA624" s="16">
        <f t="shared" si="113"/>
        <v>20.766249999999999</v>
      </c>
      <c r="AB624" s="16">
        <f t="shared" si="114"/>
        <v>1.2179095087191705</v>
      </c>
      <c r="AC624" s="66" t="s">
        <v>49</v>
      </c>
      <c r="AD624" s="51" t="s">
        <v>521</v>
      </c>
      <c r="AE624" s="13">
        <v>12</v>
      </c>
      <c r="AF624" s="13">
        <v>5</v>
      </c>
      <c r="AG624" s="13">
        <v>30</v>
      </c>
      <c r="AH624" s="134" t="s">
        <v>520</v>
      </c>
      <c r="AI624" s="134">
        <v>3.65</v>
      </c>
      <c r="AJ624" s="135">
        <v>108.6</v>
      </c>
      <c r="AK624" s="45">
        <v>543</v>
      </c>
      <c r="AL624" s="136" t="str" cm="1">
        <f t="array" ref="AL624">_xlfn.IFS(
AI624&lt;3,"Ligera",
AI624&lt;=6,"Moderada",
AI624&gt;6,"Vigorosa"
)</f>
        <v>Moderada</v>
      </c>
      <c r="AM624" s="45" t="s">
        <v>48</v>
      </c>
      <c r="AN624" s="289" t="s">
        <v>60</v>
      </c>
      <c r="AO624" s="46" t="s">
        <v>255</v>
      </c>
      <c r="AP624" s="289" t="s">
        <v>62</v>
      </c>
      <c r="AQ624" s="139">
        <v>0</v>
      </c>
    </row>
    <row r="625" spans="1:45" ht="78.75" customHeight="1" thickBot="1">
      <c r="A625" s="138" t="s">
        <v>517</v>
      </c>
      <c r="B625" s="12">
        <v>56</v>
      </c>
      <c r="C625" s="12" t="s">
        <v>47</v>
      </c>
      <c r="D625" s="12">
        <v>57.1</v>
      </c>
      <c r="E625" s="12" t="s">
        <v>45</v>
      </c>
      <c r="F625" s="12" t="s">
        <v>45</v>
      </c>
      <c r="G625" s="12" t="s">
        <v>223</v>
      </c>
      <c r="H625" s="12"/>
      <c r="I625" s="12" t="s">
        <v>45</v>
      </c>
      <c r="J625" s="12" t="s">
        <v>47</v>
      </c>
      <c r="K625" s="12" t="s">
        <v>48</v>
      </c>
      <c r="L625" s="12" t="s">
        <v>48</v>
      </c>
      <c r="M625" s="11" t="s">
        <v>50</v>
      </c>
      <c r="N625" s="11" t="s">
        <v>50</v>
      </c>
      <c r="O625" s="11" t="s">
        <v>50</v>
      </c>
      <c r="P625" s="11" t="s">
        <v>51</v>
      </c>
      <c r="Q625" s="50" t="s">
        <v>189</v>
      </c>
      <c r="R625" s="47">
        <v>28</v>
      </c>
      <c r="S625" s="48">
        <v>10.61</v>
      </c>
      <c r="T625" s="52">
        <v>5.19</v>
      </c>
      <c r="U625" s="48">
        <v>28</v>
      </c>
      <c r="V625" s="47">
        <v>10.43</v>
      </c>
      <c r="W625" s="48">
        <v>4.5999999999999996</v>
      </c>
      <c r="X625" s="130">
        <f t="shared" si="109"/>
        <v>-0.17999999999999972</v>
      </c>
      <c r="Y625" s="16">
        <f t="shared" si="110"/>
        <v>0.93009408126275062</v>
      </c>
      <c r="Z625" s="286" t="s">
        <v>53</v>
      </c>
      <c r="AA625" s="286" t="s">
        <v>53</v>
      </c>
      <c r="AB625" s="16">
        <v>0.93009408126275062</v>
      </c>
      <c r="AC625" s="66" t="s">
        <v>49</v>
      </c>
      <c r="AD625" s="51" t="s">
        <v>518</v>
      </c>
      <c r="AE625" s="13">
        <v>12</v>
      </c>
      <c r="AF625" s="13">
        <v>0</v>
      </c>
      <c r="AG625" s="13">
        <v>0</v>
      </c>
      <c r="AH625" s="134">
        <v>0</v>
      </c>
      <c r="AI625" s="134">
        <v>0</v>
      </c>
      <c r="AJ625" s="135">
        <f t="shared" si="111"/>
        <v>0</v>
      </c>
      <c r="AK625" s="45">
        <f t="shared" si="105"/>
        <v>0</v>
      </c>
      <c r="AL625" s="136" t="str" cm="1">
        <f t="array" ref="AL625">_xlfn.IFS(
AI625&lt;3,"Ligera",
AI625&lt;=6,"Moderada",
AI625&gt;6,"Vigorosa"
)</f>
        <v>Ligera</v>
      </c>
      <c r="AM625" s="45" t="s">
        <v>49</v>
      </c>
      <c r="AN625" s="289" t="s">
        <v>49</v>
      </c>
      <c r="AO625" s="289" t="s">
        <v>49</v>
      </c>
      <c r="AP625" s="289" t="s">
        <v>49</v>
      </c>
      <c r="AQ625" s="139">
        <v>0</v>
      </c>
    </row>
    <row r="626" spans="1:45" ht="78.75" customHeight="1" thickBot="1">
      <c r="A626" s="138" t="s">
        <v>517</v>
      </c>
      <c r="B626" s="12">
        <v>56</v>
      </c>
      <c r="C626" s="12" t="s">
        <v>47</v>
      </c>
      <c r="D626" s="12">
        <v>53.6</v>
      </c>
      <c r="E626" s="12" t="s">
        <v>45</v>
      </c>
      <c r="F626" s="12" t="s">
        <v>45</v>
      </c>
      <c r="G626" s="12" t="s">
        <v>223</v>
      </c>
      <c r="H626" s="12"/>
      <c r="I626" s="12" t="s">
        <v>45</v>
      </c>
      <c r="J626" s="12" t="s">
        <v>47</v>
      </c>
      <c r="K626" s="12" t="s">
        <v>48</v>
      </c>
      <c r="L626" s="12" t="s">
        <v>48</v>
      </c>
      <c r="M626" s="11" t="s">
        <v>56</v>
      </c>
      <c r="N626" s="11" t="s">
        <v>76</v>
      </c>
      <c r="O626" s="11" t="s">
        <v>103</v>
      </c>
      <c r="P626" s="11" t="s">
        <v>51</v>
      </c>
      <c r="Q626" s="50" t="s">
        <v>189</v>
      </c>
      <c r="R626" s="47">
        <v>28</v>
      </c>
      <c r="S626" s="48">
        <v>10.96</v>
      </c>
      <c r="T626" s="52">
        <v>4.75</v>
      </c>
      <c r="U626" s="48">
        <v>28</v>
      </c>
      <c r="V626" s="47">
        <v>12.34</v>
      </c>
      <c r="W626" s="48">
        <v>4.7</v>
      </c>
      <c r="X626" s="130">
        <f t="shared" si="109"/>
        <v>1.379999999999999</v>
      </c>
      <c r="Y626" s="16">
        <f t="shared" si="110"/>
        <v>0.89297856317255131</v>
      </c>
      <c r="Z626" s="15">
        <f t="shared" si="112"/>
        <v>1.5599999999999987</v>
      </c>
      <c r="AA626" s="16">
        <f t="shared" si="113"/>
        <v>21.625</v>
      </c>
      <c r="AB626" s="16">
        <f t="shared" si="114"/>
        <v>1.2428366172360938</v>
      </c>
      <c r="AC626" s="66" t="s">
        <v>49</v>
      </c>
      <c r="AD626" s="51" t="s">
        <v>521</v>
      </c>
      <c r="AE626" s="13">
        <v>12</v>
      </c>
      <c r="AF626" s="13">
        <v>5</v>
      </c>
      <c r="AG626" s="13">
        <v>30</v>
      </c>
      <c r="AH626" s="134" t="s">
        <v>520</v>
      </c>
      <c r="AI626" s="134">
        <v>3.65</v>
      </c>
      <c r="AJ626" s="135">
        <v>108.6</v>
      </c>
      <c r="AK626" s="45">
        <v>543</v>
      </c>
      <c r="AL626" s="136" t="str" cm="1">
        <f t="array" ref="AL626">_xlfn.IFS(
AI626&lt;3,"Ligera",
AI626&lt;=6,"Moderada",
AI626&gt;6,"Vigorosa"
)</f>
        <v>Moderada</v>
      </c>
      <c r="AM626" s="45" t="s">
        <v>48</v>
      </c>
      <c r="AN626" s="289" t="s">
        <v>60</v>
      </c>
      <c r="AO626" s="46" t="s">
        <v>255</v>
      </c>
      <c r="AP626" s="289" t="s">
        <v>62</v>
      </c>
      <c r="AQ626" s="139">
        <v>0</v>
      </c>
    </row>
    <row r="627" spans="1:45" ht="78.75" customHeight="1" thickBot="1">
      <c r="A627" s="138" t="s">
        <v>517</v>
      </c>
      <c r="B627" s="12">
        <v>56</v>
      </c>
      <c r="C627" s="12" t="s">
        <v>47</v>
      </c>
      <c r="D627" s="12">
        <v>57.1</v>
      </c>
      <c r="E627" s="12" t="s">
        <v>45</v>
      </c>
      <c r="F627" s="12" t="s">
        <v>45</v>
      </c>
      <c r="G627" s="12" t="s">
        <v>223</v>
      </c>
      <c r="H627" s="12"/>
      <c r="I627" s="12" t="s">
        <v>45</v>
      </c>
      <c r="J627" s="12" t="s">
        <v>47</v>
      </c>
      <c r="K627" s="12" t="s">
        <v>48</v>
      </c>
      <c r="L627" s="12" t="s">
        <v>48</v>
      </c>
      <c r="M627" s="11" t="s">
        <v>50</v>
      </c>
      <c r="N627" s="11" t="s">
        <v>50</v>
      </c>
      <c r="O627" s="11" t="s">
        <v>50</v>
      </c>
      <c r="P627" s="11" t="s">
        <v>51</v>
      </c>
      <c r="Q627" s="50" t="s">
        <v>124</v>
      </c>
      <c r="R627" s="47">
        <v>28</v>
      </c>
      <c r="S627" s="48">
        <v>17.68</v>
      </c>
      <c r="T627" s="52">
        <v>4.51</v>
      </c>
      <c r="U627" s="48">
        <v>28</v>
      </c>
      <c r="V627" s="47">
        <v>18.57</v>
      </c>
      <c r="W627" s="48">
        <v>3.95</v>
      </c>
      <c r="X627" s="130">
        <f t="shared" si="109"/>
        <v>0.89000000000000057</v>
      </c>
      <c r="Y627" s="16">
        <f t="shared" si="110"/>
        <v>0.80463168148982478</v>
      </c>
      <c r="Z627" s="286" t="s">
        <v>53</v>
      </c>
      <c r="AA627" s="286" t="s">
        <v>53</v>
      </c>
      <c r="AB627" s="16">
        <v>0.80463168148982478</v>
      </c>
      <c r="AC627" s="66" t="s">
        <v>48</v>
      </c>
      <c r="AD627" s="51" t="s">
        <v>518</v>
      </c>
      <c r="AE627" s="13">
        <v>12</v>
      </c>
      <c r="AF627" s="13">
        <v>0</v>
      </c>
      <c r="AG627" s="13">
        <v>0</v>
      </c>
      <c r="AH627" s="134">
        <v>0</v>
      </c>
      <c r="AI627" s="134">
        <v>0</v>
      </c>
      <c r="AJ627" s="135">
        <f t="shared" si="111"/>
        <v>0</v>
      </c>
      <c r="AK627" s="45">
        <f t="shared" ref="AK627:AK676" si="115">AJ627*AF627</f>
        <v>0</v>
      </c>
      <c r="AL627" s="136" t="str" cm="1">
        <f t="array" ref="AL627">_xlfn.IFS(
AI627&lt;3,"Ligera",
AI627&lt;=6,"Moderada",
AI627&gt;6,"Vigorosa"
)</f>
        <v>Ligera</v>
      </c>
      <c r="AM627" s="45" t="s">
        <v>49</v>
      </c>
      <c r="AN627" s="289" t="s">
        <v>49</v>
      </c>
      <c r="AO627" s="289" t="s">
        <v>49</v>
      </c>
      <c r="AP627" s="289" t="s">
        <v>49</v>
      </c>
      <c r="AQ627" s="139">
        <v>0</v>
      </c>
    </row>
    <row r="628" spans="1:45" ht="78.75" customHeight="1" thickBot="1">
      <c r="A628" s="138" t="s">
        <v>517</v>
      </c>
      <c r="B628" s="12">
        <v>56</v>
      </c>
      <c r="C628" s="12" t="s">
        <v>47</v>
      </c>
      <c r="D628" s="12">
        <v>53.6</v>
      </c>
      <c r="E628" s="12" t="s">
        <v>45</v>
      </c>
      <c r="F628" s="12" t="s">
        <v>45</v>
      </c>
      <c r="G628" s="12" t="s">
        <v>223</v>
      </c>
      <c r="H628" s="12"/>
      <c r="I628" s="12" t="s">
        <v>45</v>
      </c>
      <c r="J628" s="12" t="s">
        <v>47</v>
      </c>
      <c r="K628" s="12" t="s">
        <v>48</v>
      </c>
      <c r="L628" s="12" t="s">
        <v>48</v>
      </c>
      <c r="M628" s="11" t="s">
        <v>56</v>
      </c>
      <c r="N628" s="11" t="s">
        <v>76</v>
      </c>
      <c r="O628" s="11" t="s">
        <v>103</v>
      </c>
      <c r="P628" s="11" t="s">
        <v>51</v>
      </c>
      <c r="Q628" s="50" t="s">
        <v>124</v>
      </c>
      <c r="R628" s="47">
        <v>28</v>
      </c>
      <c r="S628" s="48">
        <v>17.89</v>
      </c>
      <c r="T628" s="52">
        <v>4.25</v>
      </c>
      <c r="U628" s="48">
        <v>28</v>
      </c>
      <c r="V628" s="47">
        <v>12.68</v>
      </c>
      <c r="W628" s="48">
        <v>3.84</v>
      </c>
      <c r="X628" s="130">
        <f t="shared" si="109"/>
        <v>-5.2100000000000009</v>
      </c>
      <c r="Y628" s="16">
        <f t="shared" si="110"/>
        <v>0.76737260459682433</v>
      </c>
      <c r="Z628" s="15">
        <f t="shared" si="112"/>
        <v>-6.1000000000000014</v>
      </c>
      <c r="AA628" s="16">
        <f t="shared" si="113"/>
        <v>15.174049999999999</v>
      </c>
      <c r="AB628" s="16">
        <f t="shared" si="114"/>
        <v>1.0410863145223426</v>
      </c>
      <c r="AC628" s="66" t="s">
        <v>48</v>
      </c>
      <c r="AD628" s="51" t="s">
        <v>521</v>
      </c>
      <c r="AE628" s="13">
        <v>12</v>
      </c>
      <c r="AF628" s="13">
        <v>5</v>
      </c>
      <c r="AG628" s="13">
        <v>30</v>
      </c>
      <c r="AH628" s="134" t="s">
        <v>520</v>
      </c>
      <c r="AI628" s="134">
        <v>3.65</v>
      </c>
      <c r="AJ628" s="135">
        <v>108.6</v>
      </c>
      <c r="AK628" s="45">
        <v>543</v>
      </c>
      <c r="AL628" s="136" t="str" cm="1">
        <f t="array" ref="AL628">_xlfn.IFS(
AI628&lt;3,"Ligera",
AI628&lt;=6,"Moderada",
AI628&gt;6,"Vigorosa"
)</f>
        <v>Moderada</v>
      </c>
      <c r="AM628" s="45" t="s">
        <v>48</v>
      </c>
      <c r="AN628" s="289" t="s">
        <v>60</v>
      </c>
      <c r="AO628" s="46" t="s">
        <v>255</v>
      </c>
      <c r="AP628" s="289" t="s">
        <v>62</v>
      </c>
      <c r="AQ628" s="139">
        <v>0</v>
      </c>
    </row>
    <row r="629" spans="1:45" ht="78.75" customHeight="1" thickBot="1">
      <c r="A629" s="138" t="s">
        <v>517</v>
      </c>
      <c r="B629" s="12">
        <v>56</v>
      </c>
      <c r="C629" s="12" t="s">
        <v>47</v>
      </c>
      <c r="D629" s="12">
        <v>57.1</v>
      </c>
      <c r="E629" s="12" t="s">
        <v>45</v>
      </c>
      <c r="F629" s="12" t="s">
        <v>45</v>
      </c>
      <c r="G629" s="12" t="s">
        <v>223</v>
      </c>
      <c r="H629" s="12"/>
      <c r="I629" s="12" t="s">
        <v>45</v>
      </c>
      <c r="J629" s="12" t="s">
        <v>47</v>
      </c>
      <c r="K629" s="12" t="s">
        <v>48</v>
      </c>
      <c r="L629" s="12" t="s">
        <v>48</v>
      </c>
      <c r="M629" s="11" t="s">
        <v>50</v>
      </c>
      <c r="N629" s="11" t="s">
        <v>50</v>
      </c>
      <c r="O629" s="11" t="s">
        <v>50</v>
      </c>
      <c r="P629" s="11" t="s">
        <v>51</v>
      </c>
      <c r="Q629" s="50" t="s">
        <v>82</v>
      </c>
      <c r="R629" s="47">
        <v>28</v>
      </c>
      <c r="S629" s="63">
        <v>342.14</v>
      </c>
      <c r="T629" s="63">
        <v>118.86</v>
      </c>
      <c r="U629" s="48">
        <v>28</v>
      </c>
      <c r="V629" s="63">
        <v>339.93</v>
      </c>
      <c r="W629" s="63">
        <v>102.82</v>
      </c>
      <c r="X629" s="130">
        <f t="shared" si="109"/>
        <v>-2.2099999999999795</v>
      </c>
      <c r="Y629" s="16">
        <f t="shared" si="110"/>
        <v>21.110649648256409</v>
      </c>
      <c r="Z629" s="286" t="s">
        <v>53</v>
      </c>
      <c r="AA629" s="286" t="s">
        <v>53</v>
      </c>
      <c r="AB629" s="16">
        <v>21.110649648256409</v>
      </c>
      <c r="AC629" s="66" t="s">
        <v>49</v>
      </c>
      <c r="AD629" s="51" t="s">
        <v>518</v>
      </c>
      <c r="AE629" s="13">
        <v>12</v>
      </c>
      <c r="AF629" s="13">
        <v>0</v>
      </c>
      <c r="AG629" s="13">
        <v>0</v>
      </c>
      <c r="AH629" s="134">
        <v>0</v>
      </c>
      <c r="AI629" s="134">
        <v>0</v>
      </c>
      <c r="AJ629" s="135">
        <f t="shared" si="111"/>
        <v>0</v>
      </c>
      <c r="AK629" s="45">
        <f t="shared" si="115"/>
        <v>0</v>
      </c>
      <c r="AL629" s="136" t="str" cm="1">
        <f t="array" ref="AL629">_xlfn.IFS(
AI629&lt;3,"Ligera",
AI629&lt;=6,"Moderada",
AI629&gt;6,"Vigorosa"
)</f>
        <v>Ligera</v>
      </c>
      <c r="AM629" s="45" t="s">
        <v>49</v>
      </c>
      <c r="AN629" s="289" t="s">
        <v>49</v>
      </c>
      <c r="AO629" s="289" t="s">
        <v>49</v>
      </c>
      <c r="AP629" s="289" t="s">
        <v>49</v>
      </c>
      <c r="AQ629" s="139">
        <v>0</v>
      </c>
    </row>
    <row r="630" spans="1:45" ht="78.75" customHeight="1" thickBot="1">
      <c r="A630" s="140" t="s">
        <v>517</v>
      </c>
      <c r="B630" s="141">
        <v>56</v>
      </c>
      <c r="C630" s="141" t="s">
        <v>47</v>
      </c>
      <c r="D630" s="141">
        <v>53.6</v>
      </c>
      <c r="E630" s="141" t="s">
        <v>45</v>
      </c>
      <c r="F630" s="141" t="s">
        <v>45</v>
      </c>
      <c r="G630" s="141" t="s">
        <v>223</v>
      </c>
      <c r="H630" s="141"/>
      <c r="I630" s="141" t="s">
        <v>45</v>
      </c>
      <c r="J630" s="141" t="s">
        <v>47</v>
      </c>
      <c r="K630" s="141" t="s">
        <v>48</v>
      </c>
      <c r="L630" s="141" t="s">
        <v>48</v>
      </c>
      <c r="M630" s="142" t="s">
        <v>56</v>
      </c>
      <c r="N630" s="142" t="s">
        <v>76</v>
      </c>
      <c r="O630" s="142" t="s">
        <v>103</v>
      </c>
      <c r="P630" s="142" t="s">
        <v>51</v>
      </c>
      <c r="Q630" s="158" t="s">
        <v>82</v>
      </c>
      <c r="R630" s="169">
        <v>28</v>
      </c>
      <c r="S630" s="170">
        <v>361.07</v>
      </c>
      <c r="T630" s="171">
        <v>118.96</v>
      </c>
      <c r="U630" s="170">
        <v>28</v>
      </c>
      <c r="V630" s="169">
        <v>415.29</v>
      </c>
      <c r="W630" s="170">
        <v>127.37</v>
      </c>
      <c r="X630" s="130">
        <f t="shared" si="109"/>
        <v>54.220000000000027</v>
      </c>
      <c r="Y630" s="16">
        <f t="shared" si="110"/>
        <v>23.316658131657103</v>
      </c>
      <c r="Z630" s="15">
        <f t="shared" si="112"/>
        <v>56.430000000000007</v>
      </c>
      <c r="AA630" s="16">
        <f t="shared" si="113"/>
        <v>13397.53465</v>
      </c>
      <c r="AB630" s="16">
        <f t="shared" si="114"/>
        <v>30.934879355095045</v>
      </c>
      <c r="AC630" s="66" t="s">
        <v>49</v>
      </c>
      <c r="AD630" s="151" t="s">
        <v>521</v>
      </c>
      <c r="AE630" s="146">
        <v>12</v>
      </c>
      <c r="AF630" s="13">
        <v>5</v>
      </c>
      <c r="AG630" s="13">
        <v>30</v>
      </c>
      <c r="AH630" s="134" t="s">
        <v>520</v>
      </c>
      <c r="AI630" s="134">
        <v>3.65</v>
      </c>
      <c r="AJ630" s="135">
        <v>108.6</v>
      </c>
      <c r="AK630" s="45">
        <v>543</v>
      </c>
      <c r="AL630" s="136" t="str" cm="1">
        <f t="array" ref="AL630">_xlfn.IFS(
AI630&lt;3,"Ligera",
AI630&lt;=6,"Moderada",
AI630&gt;6,"Vigorosa"
)</f>
        <v>Moderada</v>
      </c>
      <c r="AM630" s="147" t="s">
        <v>48</v>
      </c>
      <c r="AN630" s="290" t="s">
        <v>60</v>
      </c>
      <c r="AO630" s="148" t="s">
        <v>255</v>
      </c>
      <c r="AP630" s="290" t="s">
        <v>62</v>
      </c>
      <c r="AQ630" s="149">
        <v>0</v>
      </c>
    </row>
    <row r="631" spans="1:45" ht="78.75" customHeight="1" thickBot="1">
      <c r="A631" s="124" t="s">
        <v>522</v>
      </c>
      <c r="B631" s="125">
        <v>42</v>
      </c>
      <c r="C631" s="125">
        <v>85.9</v>
      </c>
      <c r="D631" s="125">
        <v>30.95</v>
      </c>
      <c r="E631" s="125" t="s">
        <v>45</v>
      </c>
      <c r="F631" s="125" t="s">
        <v>45</v>
      </c>
      <c r="G631" s="125" t="s">
        <v>236</v>
      </c>
      <c r="H631" s="125"/>
      <c r="I631" s="125" t="s">
        <v>45</v>
      </c>
      <c r="J631" s="125" t="s">
        <v>47</v>
      </c>
      <c r="K631" s="125" t="s">
        <v>49</v>
      </c>
      <c r="L631" s="125" t="s">
        <v>49</v>
      </c>
      <c r="M631" s="126" t="s">
        <v>50</v>
      </c>
      <c r="N631" s="126" t="s">
        <v>50</v>
      </c>
      <c r="O631" s="126" t="s">
        <v>50</v>
      </c>
      <c r="P631" s="126" t="s">
        <v>51</v>
      </c>
      <c r="Q631" s="159" t="s">
        <v>92</v>
      </c>
      <c r="R631" s="167">
        <v>21</v>
      </c>
      <c r="S631" s="168">
        <v>17.899999999999999</v>
      </c>
      <c r="T631" s="179">
        <v>7.4</v>
      </c>
      <c r="U631" s="167">
        <v>21</v>
      </c>
      <c r="V631" s="167">
        <v>15.9</v>
      </c>
      <c r="W631" s="168">
        <v>7.9</v>
      </c>
      <c r="X631" s="130">
        <f t="shared" si="109"/>
        <v>-1.9999999999999982</v>
      </c>
      <c r="Y631" s="16">
        <f t="shared" si="110"/>
        <v>1.6720389605850356</v>
      </c>
      <c r="Z631" s="286" t="s">
        <v>53</v>
      </c>
      <c r="AA631" s="286" t="s">
        <v>53</v>
      </c>
      <c r="AB631" s="16">
        <v>1.6720389605850356</v>
      </c>
      <c r="AC631" s="66" t="s">
        <v>49</v>
      </c>
      <c r="AD631" s="133" t="s">
        <v>523</v>
      </c>
      <c r="AE631" s="134">
        <v>24</v>
      </c>
      <c r="AF631" s="134">
        <v>0</v>
      </c>
      <c r="AG631" s="134">
        <v>0</v>
      </c>
      <c r="AH631" s="134">
        <v>0</v>
      </c>
      <c r="AI631" s="134">
        <v>0</v>
      </c>
      <c r="AJ631" s="135">
        <f t="shared" si="111"/>
        <v>0</v>
      </c>
      <c r="AK631" s="45">
        <f t="shared" si="115"/>
        <v>0</v>
      </c>
      <c r="AL631" s="136" t="str" cm="1">
        <f t="array" ref="AL631">_xlfn.IFS(
AI631&lt;3,"Ligera",
AI631&lt;=6,"Moderada",
AI631&gt;6,"Vigorosa"
)</f>
        <v>Ligera</v>
      </c>
      <c r="AM631" s="136" t="s">
        <v>49</v>
      </c>
      <c r="AN631" s="288" t="s">
        <v>49</v>
      </c>
      <c r="AO631" s="288" t="s">
        <v>49</v>
      </c>
      <c r="AP631" s="288" t="s">
        <v>49</v>
      </c>
      <c r="AQ631" s="137">
        <v>0</v>
      </c>
      <c r="AS631" s="292" t="s">
        <v>524</v>
      </c>
    </row>
    <row r="632" spans="1:45" ht="78.75" customHeight="1" thickBot="1">
      <c r="A632" s="138" t="s">
        <v>522</v>
      </c>
      <c r="B632" s="12">
        <v>42</v>
      </c>
      <c r="C632" s="12">
        <v>85.9</v>
      </c>
      <c r="D632" s="12">
        <v>30.95</v>
      </c>
      <c r="E632" s="12" t="s">
        <v>45</v>
      </c>
      <c r="F632" s="12" t="s">
        <v>45</v>
      </c>
      <c r="G632" s="12" t="s">
        <v>236</v>
      </c>
      <c r="H632" s="12"/>
      <c r="I632" s="12" t="s">
        <v>45</v>
      </c>
      <c r="J632" s="12" t="s">
        <v>47</v>
      </c>
      <c r="K632" s="12" t="s">
        <v>49</v>
      </c>
      <c r="L632" s="12" t="s">
        <v>49</v>
      </c>
      <c r="M632" s="11" t="s">
        <v>56</v>
      </c>
      <c r="N632" s="11" t="s">
        <v>76</v>
      </c>
      <c r="O632" s="11" t="s">
        <v>77</v>
      </c>
      <c r="P632" s="11" t="s">
        <v>51</v>
      </c>
      <c r="Q632" s="50" t="s">
        <v>92</v>
      </c>
      <c r="R632" s="47">
        <v>20</v>
      </c>
      <c r="S632" s="48">
        <v>18.8</v>
      </c>
      <c r="T632" s="52">
        <v>8.1</v>
      </c>
      <c r="U632" s="47">
        <v>20</v>
      </c>
      <c r="V632" s="47">
        <v>21</v>
      </c>
      <c r="W632" s="48">
        <v>7</v>
      </c>
      <c r="X632" s="130">
        <f t="shared" si="109"/>
        <v>2.1999999999999993</v>
      </c>
      <c r="Y632" s="16">
        <f t="shared" si="110"/>
        <v>1.7016168781485448</v>
      </c>
      <c r="Z632" s="15">
        <f t="shared" si="112"/>
        <v>4.1999999999999975</v>
      </c>
      <c r="AA632" s="16">
        <f t="shared" si="113"/>
        <v>55.87692307692307</v>
      </c>
      <c r="AB632" s="16">
        <f t="shared" si="114"/>
        <v>2.3355196455290232</v>
      </c>
      <c r="AC632" s="66" t="s">
        <v>49</v>
      </c>
      <c r="AD632" s="51" t="s">
        <v>525</v>
      </c>
      <c r="AE632" s="13">
        <v>24</v>
      </c>
      <c r="AF632" s="13">
        <v>2</v>
      </c>
      <c r="AG632" s="13">
        <v>62.5</v>
      </c>
      <c r="AH632" s="134" t="s">
        <v>526</v>
      </c>
      <c r="AI632" s="135">
        <v>3.9</v>
      </c>
      <c r="AJ632" s="135">
        <v>234</v>
      </c>
      <c r="AK632" s="45">
        <v>468</v>
      </c>
      <c r="AL632" s="136" t="str" cm="1">
        <f t="array" ref="AL632">_xlfn.IFS(
AI632&lt;3,"Ligera",
AI632&lt;=6,"Moderada",
AI632&gt;6,"Vigorosa"
)</f>
        <v>Moderada</v>
      </c>
      <c r="AM632" s="45" t="s">
        <v>48</v>
      </c>
      <c r="AN632" s="289" t="s">
        <v>60</v>
      </c>
      <c r="AO632" s="46" t="s">
        <v>255</v>
      </c>
      <c r="AP632" s="289" t="s">
        <v>173</v>
      </c>
      <c r="AQ632" s="139">
        <v>0</v>
      </c>
      <c r="AS632" s="292" t="s">
        <v>524</v>
      </c>
    </row>
    <row r="633" spans="1:45" ht="78.75" customHeight="1" thickBot="1">
      <c r="A633" s="138" t="s">
        <v>522</v>
      </c>
      <c r="B633" s="12">
        <v>42</v>
      </c>
      <c r="C633" s="12">
        <v>85.9</v>
      </c>
      <c r="D633" s="12">
        <v>30.95</v>
      </c>
      <c r="E633" s="12" t="s">
        <v>45</v>
      </c>
      <c r="F633" s="12" t="s">
        <v>45</v>
      </c>
      <c r="G633" s="12" t="s">
        <v>236</v>
      </c>
      <c r="H633" s="12"/>
      <c r="I633" s="12" t="s">
        <v>45</v>
      </c>
      <c r="J633" s="12" t="s">
        <v>47</v>
      </c>
      <c r="K633" s="12" t="s">
        <v>49</v>
      </c>
      <c r="L633" s="12" t="s">
        <v>49</v>
      </c>
      <c r="M633" s="11" t="s">
        <v>50</v>
      </c>
      <c r="N633" s="11" t="s">
        <v>50</v>
      </c>
      <c r="O633" s="11" t="s">
        <v>50</v>
      </c>
      <c r="P633" s="11" t="s">
        <v>51</v>
      </c>
      <c r="Q633" s="50" t="s">
        <v>85</v>
      </c>
      <c r="R633" s="47">
        <v>21</v>
      </c>
      <c r="S633" s="48">
        <v>0.48</v>
      </c>
      <c r="T633" s="52">
        <v>0.17</v>
      </c>
      <c r="U633" s="47">
        <v>21</v>
      </c>
      <c r="V633" s="47">
        <v>0.43</v>
      </c>
      <c r="W633" s="48">
        <v>0.21</v>
      </c>
      <c r="X633" s="130">
        <f t="shared" si="109"/>
        <v>-4.9999999999999989E-2</v>
      </c>
      <c r="Y633" s="16">
        <f t="shared" si="110"/>
        <v>4.2144874850810463E-2</v>
      </c>
      <c r="Z633" s="286" t="s">
        <v>53</v>
      </c>
      <c r="AA633" s="286" t="s">
        <v>53</v>
      </c>
      <c r="AB633" s="16">
        <v>4.2144874850810463E-2</v>
      </c>
      <c r="AC633" s="66" t="s">
        <v>49</v>
      </c>
      <c r="AD633" s="51" t="s">
        <v>523</v>
      </c>
      <c r="AE633" s="13">
        <v>24</v>
      </c>
      <c r="AF633" s="13">
        <v>0</v>
      </c>
      <c r="AG633" s="13">
        <v>0</v>
      </c>
      <c r="AH633" s="134">
        <v>0</v>
      </c>
      <c r="AI633" s="134">
        <v>0</v>
      </c>
      <c r="AJ633" s="135">
        <f t="shared" si="111"/>
        <v>0</v>
      </c>
      <c r="AK633" s="45">
        <f t="shared" si="115"/>
        <v>0</v>
      </c>
      <c r="AL633" s="136" t="str" cm="1">
        <f t="array" ref="AL633">_xlfn.IFS(
AI633&lt;3,"Ligera",
AI633&lt;=6,"Moderada",
AI633&gt;6,"Vigorosa"
)</f>
        <v>Ligera</v>
      </c>
      <c r="AM633" s="45" t="s">
        <v>49</v>
      </c>
      <c r="AN633" s="289" t="s">
        <v>49</v>
      </c>
      <c r="AO633" s="289" t="s">
        <v>49</v>
      </c>
      <c r="AP633" s="289" t="s">
        <v>49</v>
      </c>
      <c r="AQ633" s="139">
        <v>0</v>
      </c>
      <c r="AS633" s="292" t="s">
        <v>524</v>
      </c>
    </row>
    <row r="634" spans="1:45" ht="78.75" customHeight="1" thickBot="1">
      <c r="A634" s="140" t="s">
        <v>522</v>
      </c>
      <c r="B634" s="141">
        <v>42</v>
      </c>
      <c r="C634" s="141">
        <v>85.9</v>
      </c>
      <c r="D634" s="141">
        <v>30.95</v>
      </c>
      <c r="E634" s="141" t="s">
        <v>45</v>
      </c>
      <c r="F634" s="141" t="s">
        <v>45</v>
      </c>
      <c r="G634" s="141" t="s">
        <v>236</v>
      </c>
      <c r="H634" s="141"/>
      <c r="I634" s="141" t="s">
        <v>45</v>
      </c>
      <c r="J634" s="141" t="s">
        <v>47</v>
      </c>
      <c r="K634" s="141" t="s">
        <v>49</v>
      </c>
      <c r="L634" s="141" t="s">
        <v>49</v>
      </c>
      <c r="M634" s="142" t="s">
        <v>56</v>
      </c>
      <c r="N634" s="142" t="s">
        <v>76</v>
      </c>
      <c r="O634" s="142" t="s">
        <v>77</v>
      </c>
      <c r="P634" s="142" t="s">
        <v>51</v>
      </c>
      <c r="Q634" s="158" t="s">
        <v>85</v>
      </c>
      <c r="R634" s="169">
        <v>20</v>
      </c>
      <c r="S634" s="170">
        <v>0.62</v>
      </c>
      <c r="T634" s="171">
        <v>0.28999999999999998</v>
      </c>
      <c r="U634" s="169">
        <v>20</v>
      </c>
      <c r="V634" s="169">
        <v>0.66</v>
      </c>
      <c r="W634" s="170">
        <v>0.31</v>
      </c>
      <c r="X634" s="130">
        <f t="shared" si="109"/>
        <v>4.0000000000000036E-2</v>
      </c>
      <c r="Y634" s="16">
        <f t="shared" si="110"/>
        <v>6.719374970932937E-2</v>
      </c>
      <c r="Z634" s="15">
        <f t="shared" si="112"/>
        <v>9.0000000000000024E-2</v>
      </c>
      <c r="AA634" s="16">
        <f t="shared" si="113"/>
        <v>6.9433333333333333E-2</v>
      </c>
      <c r="AB634" s="16">
        <f t="shared" si="114"/>
        <v>8.2328706251318398E-2</v>
      </c>
      <c r="AC634" s="66" t="s">
        <v>49</v>
      </c>
      <c r="AD634" s="151" t="s">
        <v>527</v>
      </c>
      <c r="AE634" s="146">
        <v>24</v>
      </c>
      <c r="AF634" s="146">
        <v>2</v>
      </c>
      <c r="AG634" s="146">
        <v>62.5</v>
      </c>
      <c r="AH634" s="134" t="s">
        <v>526</v>
      </c>
      <c r="AI634" s="135">
        <v>3.9</v>
      </c>
      <c r="AJ634" s="135"/>
      <c r="AK634" s="45">
        <v>468</v>
      </c>
      <c r="AL634" s="136" t="str" cm="1">
        <f t="array" ref="AL634">_xlfn.IFS(
AI634&lt;3,"Ligera",
AI634&lt;=6,"Moderada",
AI634&gt;6,"Vigorosa"
)</f>
        <v>Moderada</v>
      </c>
      <c r="AM634" s="147" t="s">
        <v>48</v>
      </c>
      <c r="AN634" s="290" t="s">
        <v>60</v>
      </c>
      <c r="AO634" s="148" t="s">
        <v>255</v>
      </c>
      <c r="AP634" s="290" t="s">
        <v>173</v>
      </c>
      <c r="AQ634" s="149">
        <v>0</v>
      </c>
      <c r="AS634" s="292" t="s">
        <v>524</v>
      </c>
    </row>
    <row r="635" spans="1:45" ht="78.75" customHeight="1" thickBot="1">
      <c r="A635" s="124" t="s">
        <v>528</v>
      </c>
      <c r="B635" s="125">
        <v>52</v>
      </c>
      <c r="C635" s="125">
        <v>70.12</v>
      </c>
      <c r="D635" s="125">
        <v>73.08</v>
      </c>
      <c r="E635" s="125" t="s">
        <v>45</v>
      </c>
      <c r="F635" s="125" t="s">
        <v>45</v>
      </c>
      <c r="G635" s="125" t="s">
        <v>278</v>
      </c>
      <c r="H635" s="125"/>
      <c r="I635" s="125" t="s">
        <v>45</v>
      </c>
      <c r="J635" s="125" t="s">
        <v>47</v>
      </c>
      <c r="K635" s="125" t="s">
        <v>49</v>
      </c>
      <c r="L635" s="125" t="s">
        <v>49</v>
      </c>
      <c r="M635" s="175" t="s">
        <v>56</v>
      </c>
      <c r="N635" s="175" t="s">
        <v>162</v>
      </c>
      <c r="O635" s="175" t="s">
        <v>163</v>
      </c>
      <c r="P635" s="11" t="s">
        <v>86</v>
      </c>
      <c r="Q635" s="176" t="s">
        <v>87</v>
      </c>
      <c r="R635" s="167">
        <v>26</v>
      </c>
      <c r="S635" s="168">
        <v>44.57</v>
      </c>
      <c r="T635" s="179">
        <v>6.1</v>
      </c>
      <c r="U635" s="168">
        <v>26</v>
      </c>
      <c r="V635" s="167">
        <v>45.83</v>
      </c>
      <c r="W635" s="198">
        <v>5.04</v>
      </c>
      <c r="X635" s="130">
        <f t="shared" si="109"/>
        <v>1.259999999999998</v>
      </c>
      <c r="Y635" s="16">
        <f t="shared" si="110"/>
        <v>1.1071029414995353</v>
      </c>
      <c r="Z635" s="286" t="s">
        <v>53</v>
      </c>
      <c r="AA635" s="286" t="s">
        <v>53</v>
      </c>
      <c r="AB635" s="16">
        <v>1.1071029414995353</v>
      </c>
      <c r="AC635" s="66" t="s">
        <v>49</v>
      </c>
      <c r="AD635" s="133" t="s">
        <v>529</v>
      </c>
      <c r="AE635" s="134">
        <v>4</v>
      </c>
      <c r="AF635" s="134">
        <v>3</v>
      </c>
      <c r="AG635" s="134">
        <v>50</v>
      </c>
      <c r="AH635" s="134" t="s">
        <v>530</v>
      </c>
      <c r="AI635" s="134">
        <v>3.8</v>
      </c>
      <c r="AJ635" s="135">
        <v>177</v>
      </c>
      <c r="AK635" s="45">
        <v>531</v>
      </c>
      <c r="AL635" s="136" t="str" cm="1">
        <f t="array" ref="AL635">_xlfn.IFS(
AI635&lt;3,"Ligera",
AI635&lt;=6,"Moderada",
AI635&gt;6,"Vigorosa"
)</f>
        <v>Moderada</v>
      </c>
      <c r="AM635" s="136" t="s">
        <v>48</v>
      </c>
      <c r="AN635" s="288" t="s">
        <v>60</v>
      </c>
      <c r="AO635" s="135" t="s">
        <v>61</v>
      </c>
      <c r="AP635" s="288" t="s">
        <v>155</v>
      </c>
      <c r="AQ635" s="137">
        <v>0</v>
      </c>
      <c r="AS635" s="83" t="s">
        <v>531</v>
      </c>
    </row>
    <row r="636" spans="1:45" ht="78.75" customHeight="1" thickBot="1">
      <c r="A636" s="138" t="s">
        <v>528</v>
      </c>
      <c r="B636" s="12">
        <v>52</v>
      </c>
      <c r="C636" s="12">
        <v>68.31</v>
      </c>
      <c r="D636" s="12">
        <v>46.16</v>
      </c>
      <c r="E636" s="12" t="s">
        <v>45</v>
      </c>
      <c r="F636" s="12" t="s">
        <v>45</v>
      </c>
      <c r="G636" s="12" t="s">
        <v>278</v>
      </c>
      <c r="H636" s="12"/>
      <c r="I636" s="12" t="s">
        <v>45</v>
      </c>
      <c r="J636" s="12" t="s">
        <v>47</v>
      </c>
      <c r="K636" s="12" t="s">
        <v>49</v>
      </c>
      <c r="L636" s="12" t="s">
        <v>49</v>
      </c>
      <c r="M636" s="77" t="s">
        <v>56</v>
      </c>
      <c r="N636" s="77" t="s">
        <v>532</v>
      </c>
      <c r="O636" s="77" t="s">
        <v>532</v>
      </c>
      <c r="P636" s="11" t="s">
        <v>86</v>
      </c>
      <c r="Q636" s="78" t="s">
        <v>87</v>
      </c>
      <c r="R636" s="47">
        <v>26</v>
      </c>
      <c r="S636" s="48">
        <v>45</v>
      </c>
      <c r="T636" s="52">
        <v>6.03</v>
      </c>
      <c r="U636" s="48">
        <v>26</v>
      </c>
      <c r="V636" s="47">
        <v>47.26</v>
      </c>
      <c r="W636" s="195">
        <v>4.68</v>
      </c>
      <c r="X636" s="130">
        <f t="shared" si="109"/>
        <v>2.259999999999998</v>
      </c>
      <c r="Y636" s="16">
        <f t="shared" si="110"/>
        <v>1.0749400698858305</v>
      </c>
      <c r="Z636" s="15">
        <f t="shared" si="112"/>
        <v>1</v>
      </c>
      <c r="AA636" s="16">
        <f t="shared" si="113"/>
        <v>23.651999999999997</v>
      </c>
      <c r="AB636" s="16">
        <f t="shared" si="114"/>
        <v>1.348845660327606</v>
      </c>
      <c r="AC636" s="66" t="s">
        <v>49</v>
      </c>
      <c r="AD636" s="51" t="s">
        <v>533</v>
      </c>
      <c r="AE636" s="13">
        <v>4</v>
      </c>
      <c r="AF636" s="13">
        <v>3</v>
      </c>
      <c r="AG636" s="13">
        <v>50</v>
      </c>
      <c r="AH636" s="134" t="s">
        <v>534</v>
      </c>
      <c r="AI636" s="134">
        <v>3.5</v>
      </c>
      <c r="AJ636" s="135">
        <v>165</v>
      </c>
      <c r="AK636" s="45">
        <v>495</v>
      </c>
      <c r="AL636" s="136" t="str" cm="1">
        <f t="array" ref="AL636">_xlfn.IFS(
AI636&lt;3,"Ligera",
AI636&lt;=6,"Moderada",
AI636&gt;6,"Vigorosa"
)</f>
        <v>Moderada</v>
      </c>
      <c r="AM636" s="45" t="s">
        <v>49</v>
      </c>
      <c r="AN636" s="289" t="s">
        <v>49</v>
      </c>
      <c r="AO636" s="46" t="s">
        <v>61</v>
      </c>
      <c r="AP636" s="289" t="s">
        <v>155</v>
      </c>
      <c r="AQ636" s="139">
        <v>0</v>
      </c>
      <c r="AS636" s="83" t="s">
        <v>531</v>
      </c>
    </row>
    <row r="637" spans="1:45" ht="78.75" customHeight="1" thickBot="1">
      <c r="A637" s="138" t="s">
        <v>528</v>
      </c>
      <c r="B637" s="12">
        <v>52</v>
      </c>
      <c r="C637" s="12">
        <v>70.12</v>
      </c>
      <c r="D637" s="12">
        <v>73.08</v>
      </c>
      <c r="E637" s="12" t="s">
        <v>45</v>
      </c>
      <c r="F637" s="12" t="s">
        <v>45</v>
      </c>
      <c r="G637" s="12" t="s">
        <v>278</v>
      </c>
      <c r="H637" s="12"/>
      <c r="I637" s="12" t="s">
        <v>45</v>
      </c>
      <c r="J637" s="12" t="s">
        <v>47</v>
      </c>
      <c r="K637" s="12" t="s">
        <v>49</v>
      </c>
      <c r="L637" s="12" t="s">
        <v>49</v>
      </c>
      <c r="M637" s="77" t="s">
        <v>56</v>
      </c>
      <c r="N637" s="77" t="s">
        <v>162</v>
      </c>
      <c r="O637" s="77" t="s">
        <v>163</v>
      </c>
      <c r="P637" s="77" t="s">
        <v>51</v>
      </c>
      <c r="Q637" s="78" t="s">
        <v>188</v>
      </c>
      <c r="R637" s="47">
        <v>26</v>
      </c>
      <c r="S637" s="48">
        <v>19.54</v>
      </c>
      <c r="T637" s="52">
        <v>7.35</v>
      </c>
      <c r="U637" s="48">
        <v>26</v>
      </c>
      <c r="V637" s="47">
        <v>17.88</v>
      </c>
      <c r="W637" s="195">
        <v>7.75</v>
      </c>
      <c r="X637" s="130">
        <f t="shared" si="109"/>
        <v>-1.6600000000000001</v>
      </c>
      <c r="Y637" s="16">
        <f t="shared" si="110"/>
        <v>1.4822345397302112</v>
      </c>
      <c r="Z637" s="286" t="s">
        <v>53</v>
      </c>
      <c r="AA637" s="286" t="s">
        <v>53</v>
      </c>
      <c r="AB637" s="16">
        <v>1.4822345397302112</v>
      </c>
      <c r="AC637" s="66" t="s">
        <v>49</v>
      </c>
      <c r="AD637" s="51" t="s">
        <v>535</v>
      </c>
      <c r="AE637" s="13">
        <v>4</v>
      </c>
      <c r="AF637" s="13">
        <v>3</v>
      </c>
      <c r="AG637" s="13">
        <v>50</v>
      </c>
      <c r="AH637" s="134" t="s">
        <v>530</v>
      </c>
      <c r="AI637" s="134">
        <v>3.8</v>
      </c>
      <c r="AJ637" s="135">
        <v>177</v>
      </c>
      <c r="AK637" s="45">
        <v>531</v>
      </c>
      <c r="AL637" s="136" t="str" cm="1">
        <f t="array" ref="AL637">_xlfn.IFS(
AI637&lt;3,"Ligera",
AI637&lt;=6,"Moderada",
AI637&gt;6,"Vigorosa"
)</f>
        <v>Moderada</v>
      </c>
      <c r="AM637" s="45" t="s">
        <v>48</v>
      </c>
      <c r="AN637" s="289" t="s">
        <v>60</v>
      </c>
      <c r="AO637" s="46" t="s">
        <v>61</v>
      </c>
      <c r="AP637" s="289" t="s">
        <v>155</v>
      </c>
      <c r="AQ637" s="139">
        <v>0</v>
      </c>
      <c r="AS637" s="83" t="s">
        <v>531</v>
      </c>
    </row>
    <row r="638" spans="1:45" ht="78.75" customHeight="1" thickBot="1">
      <c r="A638" s="138" t="s">
        <v>528</v>
      </c>
      <c r="B638" s="12">
        <v>52</v>
      </c>
      <c r="C638" s="12">
        <v>68.31</v>
      </c>
      <c r="D638" s="12">
        <v>46.16</v>
      </c>
      <c r="E638" s="12" t="s">
        <v>45</v>
      </c>
      <c r="F638" s="12" t="s">
        <v>45</v>
      </c>
      <c r="G638" s="12" t="s">
        <v>278</v>
      </c>
      <c r="H638" s="12"/>
      <c r="I638" s="12" t="s">
        <v>45</v>
      </c>
      <c r="J638" s="12" t="s">
        <v>47</v>
      </c>
      <c r="K638" s="12" t="s">
        <v>49</v>
      </c>
      <c r="L638" s="12" t="s">
        <v>49</v>
      </c>
      <c r="M638" s="77" t="s">
        <v>56</v>
      </c>
      <c r="N638" s="77" t="s">
        <v>532</v>
      </c>
      <c r="O638" s="77" t="s">
        <v>532</v>
      </c>
      <c r="P638" s="77" t="s">
        <v>51</v>
      </c>
      <c r="Q638" s="78" t="s">
        <v>188</v>
      </c>
      <c r="R638" s="47">
        <v>26</v>
      </c>
      <c r="S638" s="48">
        <v>17.3</v>
      </c>
      <c r="T638" s="52">
        <v>7.33</v>
      </c>
      <c r="U638" s="48">
        <v>26</v>
      </c>
      <c r="V638" s="47">
        <v>15.72</v>
      </c>
      <c r="W638" s="195">
        <v>6.12</v>
      </c>
      <c r="X638" s="130">
        <f t="shared" si="109"/>
        <v>-1.58</v>
      </c>
      <c r="Y638" s="16">
        <f t="shared" si="110"/>
        <v>1.3347961526880312</v>
      </c>
      <c r="Z638" s="15">
        <f t="shared" si="112"/>
        <v>8.0000000000000071E-2</v>
      </c>
      <c r="AA638" s="16">
        <f t="shared" si="113"/>
        <v>48.758450000000003</v>
      </c>
      <c r="AB638" s="16">
        <f t="shared" si="114"/>
        <v>1.9366594951100724</v>
      </c>
      <c r="AC638" s="66" t="s">
        <v>49</v>
      </c>
      <c r="AD638" s="51" t="s">
        <v>533</v>
      </c>
      <c r="AE638" s="13">
        <v>4</v>
      </c>
      <c r="AF638" s="13">
        <v>3</v>
      </c>
      <c r="AG638" s="13">
        <v>50</v>
      </c>
      <c r="AH638" s="134" t="s">
        <v>534</v>
      </c>
      <c r="AI638" s="134">
        <v>3.5</v>
      </c>
      <c r="AJ638" s="135">
        <v>165</v>
      </c>
      <c r="AK638" s="45">
        <v>495</v>
      </c>
      <c r="AL638" s="136" t="str" cm="1">
        <f t="array" ref="AL638">_xlfn.IFS(
AI638&lt;3,"Ligera",
AI638&lt;=6,"Moderada",
AI638&gt;6,"Vigorosa"
)</f>
        <v>Moderada</v>
      </c>
      <c r="AM638" s="45" t="s">
        <v>49</v>
      </c>
      <c r="AN638" s="289" t="s">
        <v>49</v>
      </c>
      <c r="AO638" s="46" t="s">
        <v>61</v>
      </c>
      <c r="AP638" s="289" t="s">
        <v>155</v>
      </c>
      <c r="AQ638" s="139">
        <v>0</v>
      </c>
      <c r="AS638" s="83" t="s">
        <v>531</v>
      </c>
    </row>
    <row r="639" spans="1:45" ht="78.75" customHeight="1" thickBot="1">
      <c r="A639" s="138" t="s">
        <v>528</v>
      </c>
      <c r="B639" s="12">
        <v>52</v>
      </c>
      <c r="C639" s="12">
        <v>70.12</v>
      </c>
      <c r="D639" s="12">
        <v>73.08</v>
      </c>
      <c r="E639" s="12" t="s">
        <v>45</v>
      </c>
      <c r="F639" s="12" t="s">
        <v>45</v>
      </c>
      <c r="G639" s="12" t="s">
        <v>278</v>
      </c>
      <c r="H639" s="12"/>
      <c r="I639" s="12" t="s">
        <v>45</v>
      </c>
      <c r="J639" s="12" t="s">
        <v>47</v>
      </c>
      <c r="K639" s="12" t="s">
        <v>49</v>
      </c>
      <c r="L639" s="12" t="s">
        <v>49</v>
      </c>
      <c r="M639" s="77" t="s">
        <v>56</v>
      </c>
      <c r="N639" s="77" t="s">
        <v>162</v>
      </c>
      <c r="O639" s="77" t="s">
        <v>163</v>
      </c>
      <c r="P639" s="77" t="s">
        <v>51</v>
      </c>
      <c r="Q639" s="78" t="s">
        <v>124</v>
      </c>
      <c r="R639" s="47">
        <v>26</v>
      </c>
      <c r="S639" s="48">
        <v>13.95</v>
      </c>
      <c r="T639" s="52">
        <v>3.59</v>
      </c>
      <c r="U639" s="48">
        <v>26</v>
      </c>
      <c r="V639" s="47">
        <v>14.44</v>
      </c>
      <c r="W639" s="195">
        <v>2.62</v>
      </c>
      <c r="X639" s="130">
        <f t="shared" si="109"/>
        <v>0.49000000000000021</v>
      </c>
      <c r="Y639" s="16">
        <f t="shared" si="110"/>
        <v>0.6308327829147754</v>
      </c>
      <c r="Z639" s="286" t="s">
        <v>53</v>
      </c>
      <c r="AA639" s="286" t="s">
        <v>53</v>
      </c>
      <c r="AB639" s="16">
        <v>0.6308327829147754</v>
      </c>
      <c r="AC639" s="66" t="s">
        <v>48</v>
      </c>
      <c r="AD639" s="51" t="s">
        <v>535</v>
      </c>
      <c r="AE639" s="13">
        <v>4</v>
      </c>
      <c r="AF639" s="13">
        <v>3</v>
      </c>
      <c r="AG639" s="13">
        <v>50</v>
      </c>
      <c r="AH639" s="134" t="s">
        <v>530</v>
      </c>
      <c r="AI639" s="134">
        <v>3.8</v>
      </c>
      <c r="AJ639" s="135">
        <v>177</v>
      </c>
      <c r="AK639" s="45">
        <v>531</v>
      </c>
      <c r="AL639" s="136" t="str" cm="1">
        <f t="array" ref="AL639">_xlfn.IFS(
AI639&lt;3,"Ligera",
AI639&lt;=6,"Moderada",
AI639&gt;6,"Vigorosa"
)</f>
        <v>Moderada</v>
      </c>
      <c r="AM639" s="45" t="s">
        <v>48</v>
      </c>
      <c r="AN639" s="289" t="s">
        <v>60</v>
      </c>
      <c r="AO639" s="46" t="s">
        <v>61</v>
      </c>
      <c r="AP639" s="289" t="s">
        <v>155</v>
      </c>
      <c r="AQ639" s="139">
        <v>0</v>
      </c>
      <c r="AS639" s="83" t="s">
        <v>531</v>
      </c>
    </row>
    <row r="640" spans="1:45" ht="78.75" customHeight="1" thickBot="1">
      <c r="A640" s="138" t="s">
        <v>528</v>
      </c>
      <c r="B640" s="12">
        <v>52</v>
      </c>
      <c r="C640" s="12">
        <v>68.31</v>
      </c>
      <c r="D640" s="12">
        <v>46.16</v>
      </c>
      <c r="E640" s="12" t="s">
        <v>45</v>
      </c>
      <c r="F640" s="12" t="s">
        <v>45</v>
      </c>
      <c r="G640" s="12" t="s">
        <v>278</v>
      </c>
      <c r="H640" s="12"/>
      <c r="I640" s="12" t="s">
        <v>45</v>
      </c>
      <c r="J640" s="12" t="s">
        <v>47</v>
      </c>
      <c r="K640" s="12" t="s">
        <v>49</v>
      </c>
      <c r="L640" s="12" t="s">
        <v>49</v>
      </c>
      <c r="M640" s="77" t="s">
        <v>56</v>
      </c>
      <c r="N640" s="77" t="s">
        <v>532</v>
      </c>
      <c r="O640" s="77" t="s">
        <v>532</v>
      </c>
      <c r="P640" s="77" t="s">
        <v>51</v>
      </c>
      <c r="Q640" s="78" t="s">
        <v>124</v>
      </c>
      <c r="R640" s="47">
        <v>26</v>
      </c>
      <c r="S640" s="48">
        <v>13.96</v>
      </c>
      <c r="T640" s="52">
        <v>3.19</v>
      </c>
      <c r="U640" s="48">
        <v>26</v>
      </c>
      <c r="V640" s="47">
        <v>13.36</v>
      </c>
      <c r="W640" s="195">
        <v>2.63</v>
      </c>
      <c r="X640" s="130">
        <f t="shared" si="109"/>
        <v>-0.60000000000000142</v>
      </c>
      <c r="Y640" s="16">
        <f t="shared" si="110"/>
        <v>0.57856919006485963</v>
      </c>
      <c r="Z640" s="15">
        <f t="shared" si="112"/>
        <v>-1.0900000000000016</v>
      </c>
      <c r="AA640" s="16">
        <f t="shared" si="113"/>
        <v>6.8906500000000008</v>
      </c>
      <c r="AB640" s="16">
        <f t="shared" si="114"/>
        <v>0.72804532825916835</v>
      </c>
      <c r="AC640" s="66" t="s">
        <v>48</v>
      </c>
      <c r="AD640" s="51" t="s">
        <v>533</v>
      </c>
      <c r="AE640" s="13">
        <v>4</v>
      </c>
      <c r="AF640" s="13">
        <v>3</v>
      </c>
      <c r="AG640" s="13">
        <v>50</v>
      </c>
      <c r="AH640" s="134" t="s">
        <v>534</v>
      </c>
      <c r="AI640" s="134">
        <v>3.5</v>
      </c>
      <c r="AJ640" s="135">
        <v>165</v>
      </c>
      <c r="AK640" s="45">
        <v>495</v>
      </c>
      <c r="AL640" s="136" t="str" cm="1">
        <f t="array" ref="AL640">_xlfn.IFS(
AI640&lt;3,"Ligera",
AI640&lt;=6,"Moderada",
AI640&gt;6,"Vigorosa"
)</f>
        <v>Moderada</v>
      </c>
      <c r="AM640" s="45" t="s">
        <v>49</v>
      </c>
      <c r="AN640" s="289" t="s">
        <v>49</v>
      </c>
      <c r="AO640" s="46" t="s">
        <v>61</v>
      </c>
      <c r="AP640" s="289" t="s">
        <v>155</v>
      </c>
      <c r="AQ640" s="139">
        <v>0</v>
      </c>
      <c r="AS640" s="83" t="s">
        <v>531</v>
      </c>
    </row>
    <row r="641" spans="1:45" ht="78.75" customHeight="1" thickBot="1">
      <c r="A641" s="138" t="s">
        <v>528</v>
      </c>
      <c r="B641" s="12">
        <v>52</v>
      </c>
      <c r="C641" s="12">
        <v>70.12</v>
      </c>
      <c r="D641" s="12">
        <v>73.08</v>
      </c>
      <c r="E641" s="12" t="s">
        <v>45</v>
      </c>
      <c r="F641" s="12" t="s">
        <v>45</v>
      </c>
      <c r="G641" s="12" t="s">
        <v>278</v>
      </c>
      <c r="H641" s="12"/>
      <c r="I641" s="12" t="s">
        <v>45</v>
      </c>
      <c r="J641" s="12" t="s">
        <v>47</v>
      </c>
      <c r="K641" s="12" t="s">
        <v>49</v>
      </c>
      <c r="L641" s="12" t="s">
        <v>49</v>
      </c>
      <c r="M641" s="77" t="s">
        <v>56</v>
      </c>
      <c r="N641" s="77" t="s">
        <v>162</v>
      </c>
      <c r="O641" s="77" t="s">
        <v>163</v>
      </c>
      <c r="P641" s="77" t="s">
        <v>197</v>
      </c>
      <c r="Q641" s="78" t="s">
        <v>198</v>
      </c>
      <c r="R641" s="47">
        <v>26</v>
      </c>
      <c r="S641" s="48">
        <v>26.96</v>
      </c>
      <c r="T641" s="52">
        <v>12.14</v>
      </c>
      <c r="U641" s="48">
        <v>26</v>
      </c>
      <c r="V641" s="48">
        <v>26.96</v>
      </c>
      <c r="W641" s="200">
        <v>12.14</v>
      </c>
      <c r="X641" s="130">
        <f t="shared" si="109"/>
        <v>0</v>
      </c>
      <c r="Y641" s="16">
        <f t="shared" si="110"/>
        <v>2.3808498805775544</v>
      </c>
      <c r="Z641" s="286" t="s">
        <v>53</v>
      </c>
      <c r="AA641" s="286" t="s">
        <v>53</v>
      </c>
      <c r="AB641" s="16">
        <v>2.3808498805775544</v>
      </c>
      <c r="AC641" s="66" t="s">
        <v>48</v>
      </c>
      <c r="AD641" s="51" t="s">
        <v>535</v>
      </c>
      <c r="AE641" s="13">
        <v>4</v>
      </c>
      <c r="AF641" s="13">
        <v>3</v>
      </c>
      <c r="AG641" s="13">
        <v>50</v>
      </c>
      <c r="AH641" s="134" t="s">
        <v>530</v>
      </c>
      <c r="AI641" s="134">
        <v>3.8</v>
      </c>
      <c r="AJ641" s="135">
        <v>177</v>
      </c>
      <c r="AK641" s="45">
        <v>531</v>
      </c>
      <c r="AL641" s="136" t="str" cm="1">
        <f t="array" ref="AL641">_xlfn.IFS(
AI641&lt;3,"Ligera",
AI641&lt;=6,"Moderada",
AI641&gt;6,"Vigorosa"
)</f>
        <v>Moderada</v>
      </c>
      <c r="AM641" s="45" t="s">
        <v>48</v>
      </c>
      <c r="AN641" s="289" t="s">
        <v>60</v>
      </c>
      <c r="AO641" s="46" t="s">
        <v>61</v>
      </c>
      <c r="AP641" s="289" t="s">
        <v>155</v>
      </c>
      <c r="AQ641" s="139">
        <v>0</v>
      </c>
      <c r="AS641" s="83" t="s">
        <v>531</v>
      </c>
    </row>
    <row r="642" spans="1:45" ht="78.75" customHeight="1" thickBot="1">
      <c r="A642" s="138" t="s">
        <v>528</v>
      </c>
      <c r="B642" s="12">
        <v>52</v>
      </c>
      <c r="C642" s="12">
        <v>68.31</v>
      </c>
      <c r="D642" s="12">
        <v>46.16</v>
      </c>
      <c r="E642" s="12" t="s">
        <v>45</v>
      </c>
      <c r="F642" s="12" t="s">
        <v>45</v>
      </c>
      <c r="G642" s="12" t="s">
        <v>278</v>
      </c>
      <c r="H642" s="12"/>
      <c r="I642" s="12" t="s">
        <v>45</v>
      </c>
      <c r="J642" s="12" t="s">
        <v>47</v>
      </c>
      <c r="K642" s="12" t="s">
        <v>49</v>
      </c>
      <c r="L642" s="12" t="s">
        <v>49</v>
      </c>
      <c r="M642" s="77" t="s">
        <v>56</v>
      </c>
      <c r="N642" s="77" t="s">
        <v>532</v>
      </c>
      <c r="O642" s="77" t="s">
        <v>532</v>
      </c>
      <c r="P642" s="77" t="s">
        <v>197</v>
      </c>
      <c r="Q642" s="78" t="s">
        <v>198</v>
      </c>
      <c r="R642" s="47">
        <v>26</v>
      </c>
      <c r="S642" s="48">
        <v>30.3</v>
      </c>
      <c r="T642" s="52">
        <v>12.38</v>
      </c>
      <c r="U642" s="48">
        <v>26</v>
      </c>
      <c r="V642" s="47">
        <v>30.8</v>
      </c>
      <c r="W642" s="200">
        <v>12.38</v>
      </c>
      <c r="X642" s="130">
        <f t="shared" si="109"/>
        <v>0.5</v>
      </c>
      <c r="Y642" s="16">
        <f t="shared" si="110"/>
        <v>2.4279177530107185</v>
      </c>
      <c r="Z642" s="15">
        <f t="shared" si="112"/>
        <v>0.5</v>
      </c>
      <c r="AA642" s="16">
        <f t="shared" si="113"/>
        <v>150.322</v>
      </c>
      <c r="AB642" s="16">
        <f t="shared" si="114"/>
        <v>3.4004750799308572</v>
      </c>
      <c r="AC642" s="66" t="s">
        <v>48</v>
      </c>
      <c r="AD642" s="51" t="s">
        <v>533</v>
      </c>
      <c r="AE642" s="13">
        <v>4</v>
      </c>
      <c r="AF642" s="13">
        <v>3</v>
      </c>
      <c r="AG642" s="13">
        <v>50</v>
      </c>
      <c r="AH642" s="134" t="s">
        <v>534</v>
      </c>
      <c r="AI642" s="134">
        <v>3.5</v>
      </c>
      <c r="AJ642" s="135">
        <v>165</v>
      </c>
      <c r="AK642" s="45">
        <v>495</v>
      </c>
      <c r="AL642" s="136" t="str" cm="1">
        <f t="array" ref="AL642">_xlfn.IFS(
AI642&lt;3,"Ligera",
AI642&lt;=6,"Moderada",
AI642&gt;6,"Vigorosa"
)</f>
        <v>Moderada</v>
      </c>
      <c r="AM642" s="45" t="s">
        <v>49</v>
      </c>
      <c r="AN642" s="289" t="s">
        <v>49</v>
      </c>
      <c r="AO642" s="46" t="s">
        <v>61</v>
      </c>
      <c r="AP642" s="289" t="s">
        <v>155</v>
      </c>
      <c r="AQ642" s="139">
        <v>0</v>
      </c>
      <c r="AS642" s="83" t="s">
        <v>531</v>
      </c>
    </row>
    <row r="643" spans="1:45" ht="78.75" customHeight="1" thickBot="1">
      <c r="A643" s="124" t="s">
        <v>537</v>
      </c>
      <c r="B643" s="125">
        <v>132</v>
      </c>
      <c r="C643" s="125">
        <v>74.31</v>
      </c>
      <c r="D643" s="125">
        <v>33.799999999999997</v>
      </c>
      <c r="E643" s="125" t="s">
        <v>45</v>
      </c>
      <c r="F643" s="125" t="s">
        <v>45</v>
      </c>
      <c r="G643" s="125" t="s">
        <v>343</v>
      </c>
      <c r="H643" s="125"/>
      <c r="I643" s="125" t="s">
        <v>45</v>
      </c>
      <c r="J643" s="125" t="s">
        <v>47</v>
      </c>
      <c r="K643" s="125" t="s">
        <v>49</v>
      </c>
      <c r="L643" s="125" t="s">
        <v>49</v>
      </c>
      <c r="M643" s="126" t="s">
        <v>50</v>
      </c>
      <c r="N643" s="126" t="s">
        <v>50</v>
      </c>
      <c r="O643" s="126" t="s">
        <v>50</v>
      </c>
      <c r="P643" s="126" t="s">
        <v>94</v>
      </c>
      <c r="Q643" s="159" t="s">
        <v>119</v>
      </c>
      <c r="R643" s="167">
        <v>65</v>
      </c>
      <c r="S643" s="168">
        <v>23.72</v>
      </c>
      <c r="T643" s="179">
        <v>3.99</v>
      </c>
      <c r="U643" s="168">
        <v>65</v>
      </c>
      <c r="V643" s="167" t="s">
        <v>47</v>
      </c>
      <c r="W643" s="168" t="s">
        <v>47</v>
      </c>
      <c r="X643" s="130"/>
      <c r="Y643" s="16"/>
      <c r="Z643" s="286"/>
      <c r="AA643" s="286"/>
      <c r="AB643" s="16"/>
      <c r="AC643" s="66" t="s">
        <v>49</v>
      </c>
      <c r="AD643" s="133" t="s">
        <v>538</v>
      </c>
      <c r="AE643" s="134">
        <v>8</v>
      </c>
      <c r="AF643" s="134">
        <v>0</v>
      </c>
      <c r="AG643" s="134">
        <v>0</v>
      </c>
      <c r="AH643" s="134">
        <v>0</v>
      </c>
      <c r="AI643" s="134">
        <v>0</v>
      </c>
      <c r="AJ643" s="135">
        <f t="shared" si="111"/>
        <v>0</v>
      </c>
      <c r="AK643" s="45">
        <f t="shared" si="115"/>
        <v>0</v>
      </c>
      <c r="AL643" s="136" t="str" cm="1">
        <f t="array" ref="AL643">_xlfn.IFS(
AI643&lt;3,"Ligera",
AI643&lt;=6,"Moderada",
AI643&gt;6,"Vigorosa"
)</f>
        <v>Ligera</v>
      </c>
      <c r="AM643" s="136" t="s">
        <v>49</v>
      </c>
      <c r="AN643" s="135" t="s">
        <v>49</v>
      </c>
      <c r="AO643" s="135" t="s">
        <v>49</v>
      </c>
      <c r="AP643" s="135" t="s">
        <v>49</v>
      </c>
      <c r="AQ643" s="137">
        <v>0</v>
      </c>
    </row>
    <row r="644" spans="1:45" ht="78.75" customHeight="1" thickBot="1">
      <c r="A644" s="124" t="s">
        <v>537</v>
      </c>
      <c r="B644" s="12">
        <v>132</v>
      </c>
      <c r="C644" s="12">
        <v>71.900000000000006</v>
      </c>
      <c r="D644" s="12">
        <v>29.9</v>
      </c>
      <c r="E644" s="12" t="s">
        <v>45</v>
      </c>
      <c r="F644" s="12" t="s">
        <v>45</v>
      </c>
      <c r="G644" s="12" t="s">
        <v>343</v>
      </c>
      <c r="H644" s="12"/>
      <c r="I644" s="12" t="s">
        <v>45</v>
      </c>
      <c r="J644" s="12" t="s">
        <v>47</v>
      </c>
      <c r="K644" s="12" t="s">
        <v>49</v>
      </c>
      <c r="L644" s="12" t="s">
        <v>49</v>
      </c>
      <c r="M644" s="11" t="s">
        <v>56</v>
      </c>
      <c r="N644" s="11" t="s">
        <v>410</v>
      </c>
      <c r="O644" s="50" t="s">
        <v>539</v>
      </c>
      <c r="P644" s="11" t="s">
        <v>94</v>
      </c>
      <c r="Q644" s="50" t="s">
        <v>119</v>
      </c>
      <c r="R644" s="47">
        <v>67</v>
      </c>
      <c r="S644" s="48">
        <v>24.28</v>
      </c>
      <c r="T644" s="52">
        <v>4.13</v>
      </c>
      <c r="U644" s="48">
        <v>67</v>
      </c>
      <c r="V644" s="47" t="s">
        <v>47</v>
      </c>
      <c r="W644" s="48" t="s">
        <v>47</v>
      </c>
      <c r="X644" s="130"/>
      <c r="Y644" s="16"/>
      <c r="Z644" s="15"/>
      <c r="AA644" s="16"/>
      <c r="AB644" s="16"/>
      <c r="AC644" s="66" t="s">
        <v>49</v>
      </c>
      <c r="AD644" s="51" t="s">
        <v>540</v>
      </c>
      <c r="AE644" s="13">
        <v>8</v>
      </c>
      <c r="AF644" s="13">
        <v>2</v>
      </c>
      <c r="AG644" s="13">
        <v>90</v>
      </c>
      <c r="AH644" s="134">
        <v>221060</v>
      </c>
      <c r="AI644" s="134">
        <v>3.8</v>
      </c>
      <c r="AJ644" s="135">
        <f t="shared" si="111"/>
        <v>342</v>
      </c>
      <c r="AK644" s="45">
        <f t="shared" si="115"/>
        <v>684</v>
      </c>
      <c r="AL644" s="136" t="str" cm="1">
        <f t="array" ref="AL644">_xlfn.IFS(
AI644&lt;3,"Ligera",
AI644&lt;=6,"Moderada",
AI644&gt;6,"Vigorosa"
)</f>
        <v>Moderada</v>
      </c>
      <c r="AM644" s="45" t="s">
        <v>49</v>
      </c>
      <c r="AN644" s="289" t="s">
        <v>49</v>
      </c>
      <c r="AO644" s="46" t="s">
        <v>61</v>
      </c>
      <c r="AP644" s="289" t="s">
        <v>173</v>
      </c>
      <c r="AQ644" s="139">
        <v>0</v>
      </c>
    </row>
    <row r="645" spans="1:45" ht="78.75" customHeight="1" thickBot="1">
      <c r="A645" s="124" t="s">
        <v>542</v>
      </c>
      <c r="B645" s="125">
        <v>24</v>
      </c>
      <c r="C645" s="125">
        <v>78.5</v>
      </c>
      <c r="D645" s="125">
        <v>33.33</v>
      </c>
      <c r="E645" s="125" t="s">
        <v>45</v>
      </c>
      <c r="F645" s="125" t="s">
        <v>45</v>
      </c>
      <c r="G645" s="125" t="s">
        <v>427</v>
      </c>
      <c r="H645" s="125"/>
      <c r="I645" s="125" t="s">
        <v>45</v>
      </c>
      <c r="J645" s="125" t="s">
        <v>47</v>
      </c>
      <c r="K645" s="125" t="s">
        <v>49</v>
      </c>
      <c r="L645" s="125" t="s">
        <v>49</v>
      </c>
      <c r="M645" s="126" t="s">
        <v>50</v>
      </c>
      <c r="N645" s="126" t="s">
        <v>50</v>
      </c>
      <c r="O645" s="126" t="s">
        <v>50</v>
      </c>
      <c r="P645" s="126" t="s">
        <v>94</v>
      </c>
      <c r="Q645" s="159" t="s">
        <v>119</v>
      </c>
      <c r="R645" s="167">
        <v>12</v>
      </c>
      <c r="S645" s="168">
        <v>25.3</v>
      </c>
      <c r="T645" s="179">
        <v>3.9</v>
      </c>
      <c r="U645" s="168">
        <v>12</v>
      </c>
      <c r="V645" s="167" t="s">
        <v>47</v>
      </c>
      <c r="W645" s="168" t="s">
        <v>47</v>
      </c>
      <c r="X645" s="130"/>
      <c r="Y645" s="16"/>
      <c r="Z645" s="286"/>
      <c r="AA645" s="286"/>
      <c r="AB645" s="16"/>
      <c r="AC645" s="66" t="s">
        <v>49</v>
      </c>
      <c r="AD645" s="133" t="s">
        <v>543</v>
      </c>
      <c r="AE645" s="134">
        <v>12</v>
      </c>
      <c r="AF645" s="134">
        <v>0</v>
      </c>
      <c r="AG645" s="134">
        <v>0</v>
      </c>
      <c r="AH645" s="134">
        <v>0</v>
      </c>
      <c r="AI645" s="134">
        <v>0</v>
      </c>
      <c r="AJ645" s="135">
        <f t="shared" si="111"/>
        <v>0</v>
      </c>
      <c r="AK645" s="45">
        <f t="shared" si="115"/>
        <v>0</v>
      </c>
      <c r="AL645" s="136" t="str" cm="1">
        <f t="array" ref="AL645">_xlfn.IFS(
AI645&lt;3,"Ligera",
AI645&lt;=6,"Moderada",
AI645&gt;6,"Vigorosa"
)</f>
        <v>Ligera</v>
      </c>
      <c r="AM645" s="136" t="s">
        <v>49</v>
      </c>
      <c r="AN645" s="135" t="s">
        <v>49</v>
      </c>
      <c r="AO645" s="135" t="s">
        <v>49</v>
      </c>
      <c r="AP645" s="135" t="s">
        <v>49</v>
      </c>
      <c r="AQ645" s="137">
        <v>0</v>
      </c>
    </row>
    <row r="646" spans="1:45" ht="78.75" customHeight="1" thickBot="1">
      <c r="A646" s="138" t="s">
        <v>542</v>
      </c>
      <c r="B646" s="12">
        <v>24</v>
      </c>
      <c r="C646" s="12">
        <v>78.3</v>
      </c>
      <c r="D646" s="12">
        <v>25</v>
      </c>
      <c r="E646" s="12" t="s">
        <v>45</v>
      </c>
      <c r="F646" s="12" t="s">
        <v>45</v>
      </c>
      <c r="G646" s="12" t="s">
        <v>427</v>
      </c>
      <c r="H646" s="12"/>
      <c r="I646" s="12" t="s">
        <v>45</v>
      </c>
      <c r="J646" s="12" t="s">
        <v>47</v>
      </c>
      <c r="K646" s="12" t="s">
        <v>49</v>
      </c>
      <c r="L646" s="12" t="s">
        <v>49</v>
      </c>
      <c r="M646" s="11" t="s">
        <v>56</v>
      </c>
      <c r="N646" s="11" t="s">
        <v>76</v>
      </c>
      <c r="O646" s="11" t="s">
        <v>103</v>
      </c>
      <c r="P646" s="11" t="s">
        <v>94</v>
      </c>
      <c r="Q646" s="50" t="s">
        <v>119</v>
      </c>
      <c r="R646" s="47">
        <v>12</v>
      </c>
      <c r="S646" s="48">
        <v>26.1</v>
      </c>
      <c r="T646" s="52">
        <v>3.1</v>
      </c>
      <c r="U646" s="48">
        <v>12</v>
      </c>
      <c r="V646" s="47" t="s">
        <v>47</v>
      </c>
      <c r="W646" s="48" t="s">
        <v>47</v>
      </c>
      <c r="X646" s="130"/>
      <c r="Y646" s="16"/>
      <c r="Z646" s="15"/>
      <c r="AA646" s="16"/>
      <c r="AB646" s="16"/>
      <c r="AC646" s="66" t="s">
        <v>49</v>
      </c>
      <c r="AD646" s="51" t="s">
        <v>544</v>
      </c>
      <c r="AE646" s="13">
        <v>12</v>
      </c>
      <c r="AF646" s="13">
        <v>2</v>
      </c>
      <c r="AG646" s="13">
        <v>50</v>
      </c>
      <c r="AH646" s="134" t="s">
        <v>545</v>
      </c>
      <c r="AI646" s="134">
        <v>3.5</v>
      </c>
      <c r="AJ646" s="135">
        <v>165.25</v>
      </c>
      <c r="AK646" s="45">
        <v>328.5</v>
      </c>
      <c r="AL646" s="136" t="str" cm="1">
        <f t="array" ref="AL646">_xlfn.IFS(
AI646&lt;3,"Ligera",
AI646&lt;=6,"Moderada",
AI646&gt;6,"Vigorosa"
)</f>
        <v>Moderada</v>
      </c>
      <c r="AM646" s="45" t="s">
        <v>48</v>
      </c>
      <c r="AN646" s="46" t="s">
        <v>60</v>
      </c>
      <c r="AO646" s="46" t="s">
        <v>61</v>
      </c>
      <c r="AP646" s="289" t="s">
        <v>155</v>
      </c>
      <c r="AQ646" s="139">
        <v>0</v>
      </c>
    </row>
    <row r="647" spans="1:45" ht="78.75" customHeight="1" thickBot="1">
      <c r="A647" s="138" t="s">
        <v>542</v>
      </c>
      <c r="B647" s="12">
        <v>24</v>
      </c>
      <c r="C647" s="12">
        <v>78.5</v>
      </c>
      <c r="D647" s="12">
        <v>33.33</v>
      </c>
      <c r="E647" s="12" t="s">
        <v>45</v>
      </c>
      <c r="F647" s="12" t="s">
        <v>45</v>
      </c>
      <c r="G647" s="12" t="s">
        <v>427</v>
      </c>
      <c r="H647" s="12"/>
      <c r="I647" s="12" t="s">
        <v>45</v>
      </c>
      <c r="J647" s="12" t="s">
        <v>47</v>
      </c>
      <c r="K647" s="12" t="s">
        <v>49</v>
      </c>
      <c r="L647" s="12" t="s">
        <v>49</v>
      </c>
      <c r="M647" s="11" t="s">
        <v>50</v>
      </c>
      <c r="N647" s="11" t="s">
        <v>50</v>
      </c>
      <c r="O647" s="11" t="s">
        <v>50</v>
      </c>
      <c r="P647" s="11" t="s">
        <v>86</v>
      </c>
      <c r="Q647" s="50" t="s">
        <v>86</v>
      </c>
      <c r="R647" s="47">
        <v>12</v>
      </c>
      <c r="S647" s="48">
        <v>0.9</v>
      </c>
      <c r="T647" s="52">
        <v>0.8</v>
      </c>
      <c r="U647" s="48">
        <v>12</v>
      </c>
      <c r="V647" s="47">
        <v>0.3</v>
      </c>
      <c r="W647" s="48">
        <v>0.5</v>
      </c>
      <c r="X647" s="130">
        <f t="shared" si="109"/>
        <v>-0.60000000000000009</v>
      </c>
      <c r="Y647" s="16">
        <f t="shared" si="110"/>
        <v>0.20207259421636906</v>
      </c>
      <c r="Z647" s="286" t="s">
        <v>53</v>
      </c>
      <c r="AA647" s="286" t="s">
        <v>53</v>
      </c>
      <c r="AB647" s="16">
        <v>0.20207259421636906</v>
      </c>
      <c r="AC647" s="66" t="s">
        <v>48</v>
      </c>
      <c r="AD647" s="51" t="s">
        <v>543</v>
      </c>
      <c r="AE647" s="13">
        <v>12</v>
      </c>
      <c r="AF647" s="13">
        <v>0</v>
      </c>
      <c r="AG647" s="13">
        <v>0</v>
      </c>
      <c r="AH647" s="134">
        <v>0</v>
      </c>
      <c r="AI647" s="134">
        <v>0</v>
      </c>
      <c r="AJ647" s="135">
        <f t="shared" si="111"/>
        <v>0</v>
      </c>
      <c r="AK647" s="45">
        <f t="shared" si="115"/>
        <v>0</v>
      </c>
      <c r="AL647" s="136" t="str" cm="1">
        <f t="array" ref="AL647">_xlfn.IFS(
AI647&lt;3,"Ligera",
AI647&lt;=6,"Moderada",
AI647&gt;6,"Vigorosa"
)</f>
        <v>Ligera</v>
      </c>
      <c r="AM647" s="45" t="s">
        <v>49</v>
      </c>
      <c r="AN647" s="46" t="s">
        <v>49</v>
      </c>
      <c r="AO647" s="46" t="s">
        <v>49</v>
      </c>
      <c r="AP647" s="46" t="s">
        <v>49</v>
      </c>
      <c r="AQ647" s="139">
        <v>0</v>
      </c>
    </row>
    <row r="648" spans="1:45" ht="78.75" customHeight="1" thickBot="1">
      <c r="A648" s="138" t="s">
        <v>542</v>
      </c>
      <c r="B648" s="12">
        <v>24</v>
      </c>
      <c r="C648" s="12">
        <v>78.3</v>
      </c>
      <c r="D648" s="12">
        <v>25</v>
      </c>
      <c r="E648" s="12" t="s">
        <v>45</v>
      </c>
      <c r="F648" s="12" t="s">
        <v>45</v>
      </c>
      <c r="G648" s="12" t="s">
        <v>427</v>
      </c>
      <c r="H648" s="12"/>
      <c r="I648" s="12" t="s">
        <v>45</v>
      </c>
      <c r="J648" s="12" t="s">
        <v>47</v>
      </c>
      <c r="K648" s="12" t="s">
        <v>49</v>
      </c>
      <c r="L648" s="12" t="s">
        <v>49</v>
      </c>
      <c r="M648" s="11" t="s">
        <v>56</v>
      </c>
      <c r="N648" s="11" t="s">
        <v>76</v>
      </c>
      <c r="O648" s="11" t="s">
        <v>103</v>
      </c>
      <c r="P648" s="11" t="s">
        <v>86</v>
      </c>
      <c r="Q648" s="50" t="s">
        <v>86</v>
      </c>
      <c r="R648" s="47">
        <v>12</v>
      </c>
      <c r="S648" s="48">
        <v>0.4</v>
      </c>
      <c r="T648" s="52">
        <v>0.6</v>
      </c>
      <c r="U648" s="48">
        <v>12</v>
      </c>
      <c r="V648" s="47">
        <v>0.3</v>
      </c>
      <c r="W648" s="48">
        <v>0.9</v>
      </c>
      <c r="X648" s="130">
        <f t="shared" si="109"/>
        <v>-0.10000000000000003</v>
      </c>
      <c r="Y648" s="16">
        <f t="shared" si="110"/>
        <v>0.229128784747792</v>
      </c>
      <c r="Z648" s="15">
        <f t="shared" si="112"/>
        <v>0.5</v>
      </c>
      <c r="AA648" s="16">
        <f t="shared" si="113"/>
        <v>0.53</v>
      </c>
      <c r="AB648" s="16">
        <f t="shared" si="114"/>
        <v>0.29720924166878349</v>
      </c>
      <c r="AC648" s="66" t="s">
        <v>48</v>
      </c>
      <c r="AD648" s="51" t="s">
        <v>546</v>
      </c>
      <c r="AE648" s="13">
        <v>12</v>
      </c>
      <c r="AF648" s="13">
        <v>2</v>
      </c>
      <c r="AG648" s="13">
        <v>52.5</v>
      </c>
      <c r="AH648" s="134" t="s">
        <v>545</v>
      </c>
      <c r="AI648" s="134">
        <v>3.5</v>
      </c>
      <c r="AJ648" s="135">
        <v>165.25</v>
      </c>
      <c r="AK648" s="45">
        <v>328.5</v>
      </c>
      <c r="AL648" s="136" t="str" cm="1">
        <f t="array" ref="AL648">_xlfn.IFS(
AI648&lt;3,"Ligera",
AI648&lt;=6,"Moderada",
AI648&gt;6,"Vigorosa"
)</f>
        <v>Moderada</v>
      </c>
      <c r="AM648" s="45" t="s">
        <v>48</v>
      </c>
      <c r="AN648" s="46" t="s">
        <v>60</v>
      </c>
      <c r="AO648" s="46" t="s">
        <v>61</v>
      </c>
      <c r="AP648" s="289" t="s">
        <v>155</v>
      </c>
      <c r="AQ648" s="139">
        <v>0</v>
      </c>
    </row>
    <row r="649" spans="1:45" ht="78.75" customHeight="1" thickBot="1">
      <c r="A649" s="138" t="s">
        <v>542</v>
      </c>
      <c r="B649" s="12">
        <v>24</v>
      </c>
      <c r="C649" s="12">
        <v>78.5</v>
      </c>
      <c r="D649" s="12">
        <v>33.33</v>
      </c>
      <c r="E649" s="12" t="s">
        <v>45</v>
      </c>
      <c r="F649" s="12" t="s">
        <v>45</v>
      </c>
      <c r="G649" s="12" t="s">
        <v>427</v>
      </c>
      <c r="H649" s="12"/>
      <c r="I649" s="12" t="s">
        <v>45</v>
      </c>
      <c r="J649" s="12" t="s">
        <v>47</v>
      </c>
      <c r="K649" s="12" t="s">
        <v>49</v>
      </c>
      <c r="L649" s="12" t="s">
        <v>49</v>
      </c>
      <c r="M649" s="11" t="s">
        <v>50</v>
      </c>
      <c r="N649" s="11" t="s">
        <v>50</v>
      </c>
      <c r="O649" s="11" t="s">
        <v>50</v>
      </c>
      <c r="P649" s="11" t="s">
        <v>51</v>
      </c>
      <c r="Q649" s="50" t="s">
        <v>91</v>
      </c>
      <c r="R649" s="47">
        <v>12</v>
      </c>
      <c r="S649" s="48">
        <v>6.6</v>
      </c>
      <c r="T649" s="52">
        <v>2.6</v>
      </c>
      <c r="U649" s="48">
        <v>12</v>
      </c>
      <c r="V649" s="47">
        <v>7.3</v>
      </c>
      <c r="W649" s="48">
        <v>2.4</v>
      </c>
      <c r="X649" s="130">
        <f t="shared" si="109"/>
        <v>0.70000000000000018</v>
      </c>
      <c r="Y649" s="16">
        <f t="shared" si="110"/>
        <v>0.72341781380702352</v>
      </c>
      <c r="Z649" s="286" t="s">
        <v>53</v>
      </c>
      <c r="AA649" s="286" t="s">
        <v>53</v>
      </c>
      <c r="AB649" s="16">
        <v>0.72341781380702352</v>
      </c>
      <c r="AC649" s="66" t="s">
        <v>49</v>
      </c>
      <c r="AD649" s="51" t="s">
        <v>543</v>
      </c>
      <c r="AE649" s="13">
        <v>12</v>
      </c>
      <c r="AF649" s="13">
        <v>0</v>
      </c>
      <c r="AG649" s="13">
        <v>0</v>
      </c>
      <c r="AH649" s="134">
        <v>0</v>
      </c>
      <c r="AI649" s="134">
        <v>0</v>
      </c>
      <c r="AJ649" s="135">
        <f t="shared" si="111"/>
        <v>0</v>
      </c>
      <c r="AK649" s="45">
        <f t="shared" si="115"/>
        <v>0</v>
      </c>
      <c r="AL649" s="136" t="str" cm="1">
        <f t="array" ref="AL649">_xlfn.IFS(
AI649&lt;3,"Ligera",
AI649&lt;=6,"Moderada",
AI649&gt;6,"Vigorosa"
)</f>
        <v>Ligera</v>
      </c>
      <c r="AM649" s="45" t="s">
        <v>49</v>
      </c>
      <c r="AN649" s="46" t="s">
        <v>49</v>
      </c>
      <c r="AO649" s="46" t="s">
        <v>49</v>
      </c>
      <c r="AP649" s="46" t="s">
        <v>49</v>
      </c>
      <c r="AQ649" s="139">
        <v>0</v>
      </c>
    </row>
    <row r="650" spans="1:45" ht="78.75" customHeight="1" thickBot="1">
      <c r="A650" s="138" t="s">
        <v>542</v>
      </c>
      <c r="B650" s="12">
        <v>24</v>
      </c>
      <c r="C650" s="12">
        <v>78.3</v>
      </c>
      <c r="D650" s="12">
        <v>25</v>
      </c>
      <c r="E650" s="12" t="s">
        <v>45</v>
      </c>
      <c r="F650" s="12" t="s">
        <v>45</v>
      </c>
      <c r="G650" s="12" t="s">
        <v>427</v>
      </c>
      <c r="H650" s="12"/>
      <c r="I650" s="12" t="s">
        <v>45</v>
      </c>
      <c r="J650" s="12" t="s">
        <v>47</v>
      </c>
      <c r="K650" s="12" t="s">
        <v>49</v>
      </c>
      <c r="L650" s="12" t="s">
        <v>49</v>
      </c>
      <c r="M650" s="11" t="s">
        <v>56</v>
      </c>
      <c r="N650" s="11" t="s">
        <v>76</v>
      </c>
      <c r="O650" s="11" t="s">
        <v>103</v>
      </c>
      <c r="P650" s="11" t="s">
        <v>51</v>
      </c>
      <c r="Q650" s="50" t="s">
        <v>91</v>
      </c>
      <c r="R650" s="47">
        <v>12</v>
      </c>
      <c r="S650" s="48">
        <v>5.9</v>
      </c>
      <c r="T650" s="52">
        <v>2.7</v>
      </c>
      <c r="U650" s="48">
        <v>12</v>
      </c>
      <c r="V650" s="47">
        <v>7.7</v>
      </c>
      <c r="W650" s="48">
        <v>1.9</v>
      </c>
      <c r="X650" s="130">
        <f t="shared" si="109"/>
        <v>1.7999999999999998</v>
      </c>
      <c r="Y650" s="16">
        <f t="shared" si="110"/>
        <v>0.69342146875715738</v>
      </c>
      <c r="Z650" s="15">
        <f t="shared" si="112"/>
        <v>1.0999999999999996</v>
      </c>
      <c r="AA650" s="16">
        <f t="shared" si="113"/>
        <v>4.6849999999999996</v>
      </c>
      <c r="AB650" s="16">
        <f t="shared" si="114"/>
        <v>0.88364774278743752</v>
      </c>
      <c r="AC650" s="66" t="s">
        <v>49</v>
      </c>
      <c r="AD650" s="51" t="s">
        <v>546</v>
      </c>
      <c r="AE650" s="13">
        <v>12</v>
      </c>
      <c r="AF650" s="13">
        <v>2</v>
      </c>
      <c r="AG650" s="13">
        <v>52.5</v>
      </c>
      <c r="AH650" s="134" t="s">
        <v>545</v>
      </c>
      <c r="AI650" s="134">
        <v>3.5</v>
      </c>
      <c r="AJ650" s="135">
        <v>165.25</v>
      </c>
      <c r="AK650" s="45">
        <v>328.5</v>
      </c>
      <c r="AL650" s="136" t="str" cm="1">
        <f t="array" ref="AL650">_xlfn.IFS(
AI650&lt;3,"Ligera",
AI650&lt;=6,"Moderada",
AI650&gt;6,"Vigorosa"
)</f>
        <v>Moderada</v>
      </c>
      <c r="AM650" s="45" t="s">
        <v>48</v>
      </c>
      <c r="AN650" s="46" t="s">
        <v>60</v>
      </c>
      <c r="AO650" s="46" t="s">
        <v>61</v>
      </c>
      <c r="AP650" s="289" t="s">
        <v>155</v>
      </c>
      <c r="AQ650" s="139">
        <v>0</v>
      </c>
    </row>
    <row r="651" spans="1:45" ht="78.75" customHeight="1" thickBot="1">
      <c r="A651" s="138" t="s">
        <v>542</v>
      </c>
      <c r="B651" s="12">
        <v>24</v>
      </c>
      <c r="C651" s="12">
        <v>78.5</v>
      </c>
      <c r="D651" s="12">
        <v>33.33</v>
      </c>
      <c r="E651" s="12" t="s">
        <v>45</v>
      </c>
      <c r="F651" s="12" t="s">
        <v>45</v>
      </c>
      <c r="G651" s="12" t="s">
        <v>427</v>
      </c>
      <c r="H651" s="12"/>
      <c r="I651" s="12" t="s">
        <v>45</v>
      </c>
      <c r="J651" s="12" t="s">
        <v>47</v>
      </c>
      <c r="K651" s="12" t="s">
        <v>49</v>
      </c>
      <c r="L651" s="12" t="s">
        <v>49</v>
      </c>
      <c r="M651" s="11" t="s">
        <v>50</v>
      </c>
      <c r="N651" s="11" t="s">
        <v>50</v>
      </c>
      <c r="O651" s="11" t="s">
        <v>50</v>
      </c>
      <c r="P651" s="11" t="s">
        <v>51</v>
      </c>
      <c r="Q651" s="50" t="s">
        <v>82</v>
      </c>
      <c r="R651" s="47">
        <v>12</v>
      </c>
      <c r="S651" s="48">
        <v>251.3</v>
      </c>
      <c r="T651" s="52">
        <v>92.2</v>
      </c>
      <c r="U651" s="48">
        <v>12</v>
      </c>
      <c r="V651" s="47">
        <v>200.9</v>
      </c>
      <c r="W651" s="48">
        <v>123.3</v>
      </c>
      <c r="X651" s="130">
        <f t="shared" si="109"/>
        <v>-50.400000000000006</v>
      </c>
      <c r="Y651" s="16">
        <f t="shared" si="110"/>
        <v>32.061750316121753</v>
      </c>
      <c r="Z651" s="286" t="s">
        <v>53</v>
      </c>
      <c r="AA651" s="286" t="s">
        <v>53</v>
      </c>
      <c r="AB651" s="16">
        <v>32.061750316121753</v>
      </c>
      <c r="AC651" s="66" t="s">
        <v>49</v>
      </c>
      <c r="AD651" s="51" t="s">
        <v>543</v>
      </c>
      <c r="AE651" s="13">
        <v>12</v>
      </c>
      <c r="AF651" s="13">
        <v>0</v>
      </c>
      <c r="AG651" s="13">
        <v>0</v>
      </c>
      <c r="AH651" s="134">
        <v>0</v>
      </c>
      <c r="AI651" s="134">
        <v>0</v>
      </c>
      <c r="AJ651" s="135">
        <f t="shared" si="111"/>
        <v>0</v>
      </c>
      <c r="AK651" s="45">
        <f t="shared" si="115"/>
        <v>0</v>
      </c>
      <c r="AL651" s="136" t="str" cm="1">
        <f t="array" ref="AL651">_xlfn.IFS(
AI651&lt;3,"Ligera",
AI651&lt;=6,"Moderada",
AI651&gt;6,"Vigorosa"
)</f>
        <v>Ligera</v>
      </c>
      <c r="AM651" s="45" t="s">
        <v>49</v>
      </c>
      <c r="AN651" s="46" t="s">
        <v>49</v>
      </c>
      <c r="AO651" s="46" t="s">
        <v>49</v>
      </c>
      <c r="AP651" s="46" t="s">
        <v>49</v>
      </c>
      <c r="AQ651" s="139">
        <v>0</v>
      </c>
    </row>
    <row r="652" spans="1:45" ht="78.75" customHeight="1" thickBot="1">
      <c r="A652" s="138" t="s">
        <v>542</v>
      </c>
      <c r="B652" s="12">
        <v>24</v>
      </c>
      <c r="C652" s="12">
        <v>78.3</v>
      </c>
      <c r="D652" s="12">
        <v>25</v>
      </c>
      <c r="E652" s="12" t="s">
        <v>45</v>
      </c>
      <c r="F652" s="12" t="s">
        <v>45</v>
      </c>
      <c r="G652" s="12" t="s">
        <v>427</v>
      </c>
      <c r="H652" s="12"/>
      <c r="I652" s="12" t="s">
        <v>45</v>
      </c>
      <c r="J652" s="12" t="s">
        <v>47</v>
      </c>
      <c r="K652" s="12" t="s">
        <v>49</v>
      </c>
      <c r="L652" s="12" t="s">
        <v>49</v>
      </c>
      <c r="M652" s="11" t="s">
        <v>56</v>
      </c>
      <c r="N652" s="11" t="s">
        <v>76</v>
      </c>
      <c r="O652" s="11" t="s">
        <v>103</v>
      </c>
      <c r="P652" s="11" t="s">
        <v>51</v>
      </c>
      <c r="Q652" s="50" t="s">
        <v>82</v>
      </c>
      <c r="R652" s="47">
        <v>12</v>
      </c>
      <c r="S652" s="48">
        <v>223.1</v>
      </c>
      <c r="T652" s="52">
        <v>137.9</v>
      </c>
      <c r="U652" s="48">
        <v>12</v>
      </c>
      <c r="V652" s="47">
        <v>235.8</v>
      </c>
      <c r="W652" s="48">
        <v>133.80000000000001</v>
      </c>
      <c r="X652" s="130">
        <f t="shared" si="109"/>
        <v>12.700000000000017</v>
      </c>
      <c r="Y652" s="16">
        <f t="shared" si="110"/>
        <v>39.229909932771115</v>
      </c>
      <c r="Z652" s="15">
        <f t="shared" si="112"/>
        <v>63.100000000000023</v>
      </c>
      <c r="AA652" s="16">
        <f t="shared" si="113"/>
        <v>16552.665000000001</v>
      </c>
      <c r="AB652" s="16">
        <f t="shared" si="114"/>
        <v>52.524065912684257</v>
      </c>
      <c r="AC652" s="66" t="s">
        <v>49</v>
      </c>
      <c r="AD652" s="51" t="s">
        <v>546</v>
      </c>
      <c r="AE652" s="13">
        <v>12</v>
      </c>
      <c r="AF652" s="13">
        <v>2</v>
      </c>
      <c r="AG652" s="13">
        <v>52.5</v>
      </c>
      <c r="AH652" s="134" t="s">
        <v>545</v>
      </c>
      <c r="AI652" s="134">
        <v>3.5</v>
      </c>
      <c r="AJ652" s="135">
        <v>165.25</v>
      </c>
      <c r="AK652" s="45">
        <v>328.5</v>
      </c>
      <c r="AL652" s="136" t="str" cm="1">
        <f t="array" ref="AL652">_xlfn.IFS(
AI652&lt;3,"Ligera",
AI652&lt;=6,"Moderada",
AI652&gt;6,"Vigorosa"
)</f>
        <v>Moderada</v>
      </c>
      <c r="AM652" s="45" t="s">
        <v>48</v>
      </c>
      <c r="AN652" s="46" t="s">
        <v>60</v>
      </c>
      <c r="AO652" s="46" t="s">
        <v>61</v>
      </c>
      <c r="AP652" s="289" t="s">
        <v>155</v>
      </c>
      <c r="AQ652" s="139">
        <v>0</v>
      </c>
    </row>
    <row r="653" spans="1:45" ht="78.75" customHeight="1" thickBot="1">
      <c r="A653" s="138" t="s">
        <v>542</v>
      </c>
      <c r="B653" s="12">
        <v>24</v>
      </c>
      <c r="C653" s="12">
        <v>78.5</v>
      </c>
      <c r="D653" s="12">
        <v>33.33</v>
      </c>
      <c r="E653" s="12" t="s">
        <v>45</v>
      </c>
      <c r="F653" s="12" t="s">
        <v>45</v>
      </c>
      <c r="G653" s="12" t="s">
        <v>427</v>
      </c>
      <c r="H653" s="12"/>
      <c r="I653" s="12" t="s">
        <v>45</v>
      </c>
      <c r="J653" s="12" t="s">
        <v>47</v>
      </c>
      <c r="K653" s="12" t="s">
        <v>49</v>
      </c>
      <c r="L653" s="12" t="s">
        <v>49</v>
      </c>
      <c r="M653" s="11" t="s">
        <v>50</v>
      </c>
      <c r="N653" s="11" t="s">
        <v>50</v>
      </c>
      <c r="O653" s="11" t="s">
        <v>50</v>
      </c>
      <c r="P653" s="11" t="s">
        <v>51</v>
      </c>
      <c r="Q653" s="50" t="s">
        <v>124</v>
      </c>
      <c r="R653" s="47">
        <v>12</v>
      </c>
      <c r="S653" s="48">
        <v>15.8</v>
      </c>
      <c r="T653" s="52">
        <v>4.0999999999999996</v>
      </c>
      <c r="U653" s="48">
        <v>12</v>
      </c>
      <c r="V653" s="47">
        <v>18.7</v>
      </c>
      <c r="W653" s="48">
        <v>8.1</v>
      </c>
      <c r="X653" s="130">
        <f t="shared" si="109"/>
        <v>2.8999999999999986</v>
      </c>
      <c r="Y653" s="16">
        <f t="shared" si="110"/>
        <v>2.0250514396758752</v>
      </c>
      <c r="Z653" s="286" t="s">
        <v>53</v>
      </c>
      <c r="AA653" s="286" t="s">
        <v>53</v>
      </c>
      <c r="AB653" s="16">
        <v>2.0250514396758752</v>
      </c>
      <c r="AC653" s="66" t="s">
        <v>48</v>
      </c>
      <c r="AD653" s="51" t="s">
        <v>543</v>
      </c>
      <c r="AE653" s="13">
        <v>12</v>
      </c>
      <c r="AF653" s="13">
        <v>0</v>
      </c>
      <c r="AG653" s="13">
        <v>0</v>
      </c>
      <c r="AH653" s="134">
        <v>0</v>
      </c>
      <c r="AI653" s="134">
        <v>0</v>
      </c>
      <c r="AJ653" s="135">
        <f t="shared" si="111"/>
        <v>0</v>
      </c>
      <c r="AK653" s="45">
        <f t="shared" si="115"/>
        <v>0</v>
      </c>
      <c r="AL653" s="136" t="str" cm="1">
        <f t="array" ref="AL653">_xlfn.IFS(
AI653&lt;3,"Ligera",
AI653&lt;=6,"Moderada",
AI653&gt;6,"Vigorosa"
)</f>
        <v>Ligera</v>
      </c>
      <c r="AM653" s="45" t="s">
        <v>49</v>
      </c>
      <c r="AN653" s="46" t="s">
        <v>49</v>
      </c>
      <c r="AO653" s="46" t="s">
        <v>49</v>
      </c>
      <c r="AP653" s="46" t="s">
        <v>49</v>
      </c>
      <c r="AQ653" s="139">
        <v>0</v>
      </c>
    </row>
    <row r="654" spans="1:45" ht="78.75" customHeight="1" thickBot="1">
      <c r="A654" s="138" t="s">
        <v>542</v>
      </c>
      <c r="B654" s="12">
        <v>24</v>
      </c>
      <c r="C654" s="12">
        <v>78.3</v>
      </c>
      <c r="D654" s="12">
        <v>25</v>
      </c>
      <c r="E654" s="12" t="s">
        <v>45</v>
      </c>
      <c r="F654" s="12" t="s">
        <v>45</v>
      </c>
      <c r="G654" s="12" t="s">
        <v>427</v>
      </c>
      <c r="H654" s="12"/>
      <c r="I654" s="12" t="s">
        <v>45</v>
      </c>
      <c r="J654" s="12" t="s">
        <v>47</v>
      </c>
      <c r="K654" s="12" t="s">
        <v>49</v>
      </c>
      <c r="L654" s="12" t="s">
        <v>49</v>
      </c>
      <c r="M654" s="11" t="s">
        <v>56</v>
      </c>
      <c r="N654" s="11" t="s">
        <v>76</v>
      </c>
      <c r="O654" s="11" t="s">
        <v>103</v>
      </c>
      <c r="P654" s="11" t="s">
        <v>51</v>
      </c>
      <c r="Q654" s="50" t="s">
        <v>124</v>
      </c>
      <c r="R654" s="47">
        <v>12</v>
      </c>
      <c r="S654" s="48">
        <v>18.600000000000001</v>
      </c>
      <c r="T654" s="52">
        <v>9.1999999999999993</v>
      </c>
      <c r="U654" s="48">
        <v>12</v>
      </c>
      <c r="V654" s="47">
        <v>16.899999999999999</v>
      </c>
      <c r="W654" s="48">
        <v>9.5</v>
      </c>
      <c r="X654" s="130">
        <f t="shared" si="109"/>
        <v>-1.7000000000000028</v>
      </c>
      <c r="Y654" s="16">
        <f t="shared" si="110"/>
        <v>2.7001543165777275</v>
      </c>
      <c r="Z654" s="15">
        <f t="shared" si="112"/>
        <v>-4.6000000000000014</v>
      </c>
      <c r="AA654" s="16">
        <f t="shared" si="113"/>
        <v>77.930000000000007</v>
      </c>
      <c r="AB654" s="16">
        <f t="shared" si="114"/>
        <v>3.6039330367437925</v>
      </c>
      <c r="AC654" s="66" t="s">
        <v>48</v>
      </c>
      <c r="AD654" s="51" t="s">
        <v>546</v>
      </c>
      <c r="AE654" s="13">
        <v>12</v>
      </c>
      <c r="AF654" s="13">
        <v>2</v>
      </c>
      <c r="AG654" s="13">
        <v>52.5</v>
      </c>
      <c r="AH654" s="134" t="s">
        <v>545</v>
      </c>
      <c r="AI654" s="134">
        <v>3.5</v>
      </c>
      <c r="AJ654" s="135">
        <v>165.25</v>
      </c>
      <c r="AK654" s="45">
        <v>328.5</v>
      </c>
      <c r="AL654" s="136" t="str" cm="1">
        <f t="array" ref="AL654">_xlfn.IFS(
AI654&lt;3,"Ligera",
AI654&lt;=6,"Moderada",
AI654&gt;6,"Vigorosa"
)</f>
        <v>Moderada</v>
      </c>
      <c r="AM654" s="45" t="s">
        <v>48</v>
      </c>
      <c r="AN654" s="46" t="s">
        <v>60</v>
      </c>
      <c r="AO654" s="46" t="s">
        <v>61</v>
      </c>
      <c r="AP654" s="289" t="s">
        <v>155</v>
      </c>
      <c r="AQ654" s="139">
        <v>0</v>
      </c>
    </row>
    <row r="655" spans="1:45" ht="78.75" customHeight="1" thickBot="1">
      <c r="A655" s="138" t="s">
        <v>542</v>
      </c>
      <c r="B655" s="12">
        <v>24</v>
      </c>
      <c r="C655" s="12">
        <v>78.5</v>
      </c>
      <c r="D655" s="12">
        <v>33.33</v>
      </c>
      <c r="E655" s="12" t="s">
        <v>45</v>
      </c>
      <c r="F655" s="12" t="s">
        <v>45</v>
      </c>
      <c r="G655" s="12" t="s">
        <v>427</v>
      </c>
      <c r="H655" s="12"/>
      <c r="I655" s="12" t="s">
        <v>45</v>
      </c>
      <c r="J655" s="12" t="s">
        <v>47</v>
      </c>
      <c r="K655" s="12" t="s">
        <v>49</v>
      </c>
      <c r="L655" s="12" t="s">
        <v>49</v>
      </c>
      <c r="M655" s="11" t="s">
        <v>50</v>
      </c>
      <c r="N655" s="11" t="s">
        <v>50</v>
      </c>
      <c r="O655" s="11" t="s">
        <v>50</v>
      </c>
      <c r="P655" s="11" t="s">
        <v>51</v>
      </c>
      <c r="Q655" s="50" t="s">
        <v>495</v>
      </c>
      <c r="R655" s="47">
        <v>12</v>
      </c>
      <c r="S655" s="48">
        <v>3.5</v>
      </c>
      <c r="T655" s="52">
        <v>3.1</v>
      </c>
      <c r="U655" s="48">
        <v>12</v>
      </c>
      <c r="V655" s="47">
        <v>2.4</v>
      </c>
      <c r="W655" s="48">
        <v>1.4</v>
      </c>
      <c r="X655" s="130">
        <f t="shared" si="109"/>
        <v>-1.1000000000000001</v>
      </c>
      <c r="Y655" s="16">
        <f t="shared" si="110"/>
        <v>0.77620873481300123</v>
      </c>
      <c r="Z655" s="286" t="s">
        <v>53</v>
      </c>
      <c r="AA655" s="286" t="s">
        <v>53</v>
      </c>
      <c r="AB655" s="16">
        <v>0.77620873481300123</v>
      </c>
      <c r="AC655" s="66" t="s">
        <v>49</v>
      </c>
      <c r="AD655" s="51" t="s">
        <v>543</v>
      </c>
      <c r="AE655" s="13">
        <v>12</v>
      </c>
      <c r="AF655" s="13">
        <v>0</v>
      </c>
      <c r="AG655" s="13">
        <v>0</v>
      </c>
      <c r="AH655" s="134">
        <v>0</v>
      </c>
      <c r="AI655" s="134">
        <v>0</v>
      </c>
      <c r="AJ655" s="135">
        <f t="shared" si="111"/>
        <v>0</v>
      </c>
      <c r="AK655" s="45">
        <f t="shared" si="115"/>
        <v>0</v>
      </c>
      <c r="AL655" s="136" t="str" cm="1">
        <f t="array" ref="AL655">_xlfn.IFS(
AI655&lt;3,"Ligera",
AI655&lt;=6,"Moderada",
AI655&gt;6,"Vigorosa"
)</f>
        <v>Ligera</v>
      </c>
      <c r="AM655" s="45" t="s">
        <v>49</v>
      </c>
      <c r="AN655" s="46" t="s">
        <v>49</v>
      </c>
      <c r="AO655" s="46" t="s">
        <v>49</v>
      </c>
      <c r="AP655" s="46" t="s">
        <v>49</v>
      </c>
      <c r="AQ655" s="139">
        <v>0</v>
      </c>
    </row>
    <row r="656" spans="1:45" ht="78.75" customHeight="1" thickBot="1">
      <c r="A656" s="138" t="s">
        <v>542</v>
      </c>
      <c r="B656" s="12">
        <v>24</v>
      </c>
      <c r="C656" s="12">
        <v>78.3</v>
      </c>
      <c r="D656" s="12">
        <v>25</v>
      </c>
      <c r="E656" s="12" t="s">
        <v>45</v>
      </c>
      <c r="F656" s="12" t="s">
        <v>45</v>
      </c>
      <c r="G656" s="12" t="s">
        <v>427</v>
      </c>
      <c r="H656" s="12"/>
      <c r="I656" s="12" t="s">
        <v>45</v>
      </c>
      <c r="J656" s="12" t="s">
        <v>47</v>
      </c>
      <c r="K656" s="12" t="s">
        <v>49</v>
      </c>
      <c r="L656" s="12" t="s">
        <v>49</v>
      </c>
      <c r="M656" s="11" t="s">
        <v>56</v>
      </c>
      <c r="N656" s="11" t="s">
        <v>76</v>
      </c>
      <c r="O656" s="11" t="s">
        <v>103</v>
      </c>
      <c r="P656" s="11" t="s">
        <v>51</v>
      </c>
      <c r="Q656" s="50" t="s">
        <v>495</v>
      </c>
      <c r="R656" s="47">
        <v>12</v>
      </c>
      <c r="S656" s="48">
        <v>2.5</v>
      </c>
      <c r="T656" s="52">
        <v>1.7</v>
      </c>
      <c r="U656" s="48">
        <v>12</v>
      </c>
      <c r="V656" s="47">
        <v>2</v>
      </c>
      <c r="W656" s="48">
        <v>1.3</v>
      </c>
      <c r="X656" s="130">
        <f t="shared" si="109"/>
        <v>-0.5</v>
      </c>
      <c r="Y656" s="16">
        <f t="shared" si="110"/>
        <v>0.44440972086577951</v>
      </c>
      <c r="Z656" s="15">
        <f t="shared" si="112"/>
        <v>0.60000000000000009</v>
      </c>
      <c r="AA656" s="16">
        <f t="shared" si="113"/>
        <v>1.8250000000000002</v>
      </c>
      <c r="AB656" s="16">
        <f t="shared" si="114"/>
        <v>0.55151307025914331</v>
      </c>
      <c r="AC656" s="66" t="s">
        <v>49</v>
      </c>
      <c r="AD656" s="51" t="s">
        <v>546</v>
      </c>
      <c r="AE656" s="13">
        <v>12</v>
      </c>
      <c r="AF656" s="13">
        <v>2</v>
      </c>
      <c r="AG656" s="13">
        <v>52.5</v>
      </c>
      <c r="AH656" s="134" t="s">
        <v>545</v>
      </c>
      <c r="AI656" s="134">
        <v>3.5</v>
      </c>
      <c r="AJ656" s="135">
        <v>165.25</v>
      </c>
      <c r="AK656" s="45">
        <v>328.5</v>
      </c>
      <c r="AL656" s="136" t="str" cm="1">
        <f t="array" ref="AL656">_xlfn.IFS(
AI656&lt;3,"Ligera",
AI656&lt;=6,"Moderada",
AI656&gt;6,"Vigorosa"
)</f>
        <v>Moderada</v>
      </c>
      <c r="AM656" s="45" t="s">
        <v>48</v>
      </c>
      <c r="AN656" s="46" t="s">
        <v>60</v>
      </c>
      <c r="AO656" s="46" t="s">
        <v>61</v>
      </c>
      <c r="AP656" s="289" t="s">
        <v>155</v>
      </c>
      <c r="AQ656" s="139">
        <v>0</v>
      </c>
    </row>
    <row r="657" spans="1:43" ht="78.75" customHeight="1" thickBot="1">
      <c r="A657" s="138" t="s">
        <v>542</v>
      </c>
      <c r="B657" s="12">
        <v>24</v>
      </c>
      <c r="C657" s="12">
        <v>78.5</v>
      </c>
      <c r="D657" s="12">
        <v>33.33</v>
      </c>
      <c r="E657" s="12" t="s">
        <v>45</v>
      </c>
      <c r="F657" s="12" t="s">
        <v>45</v>
      </c>
      <c r="G657" s="12" t="s">
        <v>427</v>
      </c>
      <c r="H657" s="12"/>
      <c r="I657" s="12" t="s">
        <v>45</v>
      </c>
      <c r="J657" s="12" t="s">
        <v>47</v>
      </c>
      <c r="K657" s="12" t="s">
        <v>49</v>
      </c>
      <c r="L657" s="12" t="s">
        <v>49</v>
      </c>
      <c r="M657" s="11" t="s">
        <v>50</v>
      </c>
      <c r="N657" s="11" t="s">
        <v>50</v>
      </c>
      <c r="O657" s="11" t="s">
        <v>50</v>
      </c>
      <c r="P657" s="11" t="s">
        <v>51</v>
      </c>
      <c r="Q657" s="50" t="s">
        <v>547</v>
      </c>
      <c r="R657" s="47">
        <v>12</v>
      </c>
      <c r="S657" s="48">
        <v>3.4</v>
      </c>
      <c r="T657" s="52">
        <v>4.9000000000000004</v>
      </c>
      <c r="U657" s="48">
        <v>12</v>
      </c>
      <c r="V657" s="47">
        <v>2.8</v>
      </c>
      <c r="W657" s="48">
        <v>2.9</v>
      </c>
      <c r="X657" s="130">
        <f t="shared" si="109"/>
        <v>-0.60000000000000009</v>
      </c>
      <c r="Y657" s="16">
        <f t="shared" si="110"/>
        <v>1.231868499475492</v>
      </c>
      <c r="Z657" s="286" t="s">
        <v>53</v>
      </c>
      <c r="AA657" s="286" t="s">
        <v>53</v>
      </c>
      <c r="AB657" s="16">
        <v>1.231868499475492</v>
      </c>
      <c r="AC657" s="66" t="s">
        <v>49</v>
      </c>
      <c r="AD657" s="51" t="s">
        <v>543</v>
      </c>
      <c r="AE657" s="13">
        <v>12</v>
      </c>
      <c r="AF657" s="13">
        <v>0</v>
      </c>
      <c r="AG657" s="13">
        <v>0</v>
      </c>
      <c r="AH657" s="134">
        <v>0</v>
      </c>
      <c r="AI657" s="134">
        <v>0</v>
      </c>
      <c r="AJ657" s="135">
        <f t="shared" si="111"/>
        <v>0</v>
      </c>
      <c r="AK657" s="45">
        <f t="shared" si="115"/>
        <v>0</v>
      </c>
      <c r="AL657" s="136" t="str" cm="1">
        <f t="array" ref="AL657">_xlfn.IFS(
AI657&lt;3,"Ligera",
AI657&lt;=6,"Moderada",
AI657&gt;6,"Vigorosa"
)</f>
        <v>Ligera</v>
      </c>
      <c r="AM657" s="45" t="s">
        <v>49</v>
      </c>
      <c r="AN657" s="46" t="s">
        <v>49</v>
      </c>
      <c r="AO657" s="46" t="s">
        <v>49</v>
      </c>
      <c r="AP657" s="46" t="s">
        <v>49</v>
      </c>
      <c r="AQ657" s="139">
        <v>0</v>
      </c>
    </row>
    <row r="658" spans="1:43" ht="78.75" customHeight="1" thickBot="1">
      <c r="A658" s="138" t="s">
        <v>542</v>
      </c>
      <c r="B658" s="12">
        <v>24</v>
      </c>
      <c r="C658" s="12">
        <v>78.3</v>
      </c>
      <c r="D658" s="12">
        <v>25</v>
      </c>
      <c r="E658" s="12" t="s">
        <v>45</v>
      </c>
      <c r="F658" s="12" t="s">
        <v>45</v>
      </c>
      <c r="G658" s="12" t="s">
        <v>427</v>
      </c>
      <c r="H658" s="12"/>
      <c r="I658" s="12" t="s">
        <v>45</v>
      </c>
      <c r="J658" s="12" t="s">
        <v>47</v>
      </c>
      <c r="K658" s="12" t="s">
        <v>49</v>
      </c>
      <c r="L658" s="12" t="s">
        <v>49</v>
      </c>
      <c r="M658" s="11" t="s">
        <v>56</v>
      </c>
      <c r="N658" s="11" t="s">
        <v>76</v>
      </c>
      <c r="O658" s="11" t="s">
        <v>103</v>
      </c>
      <c r="P658" s="11" t="s">
        <v>51</v>
      </c>
      <c r="Q658" s="50" t="s">
        <v>547</v>
      </c>
      <c r="R658" s="47">
        <v>12</v>
      </c>
      <c r="S658" s="48">
        <v>3.3</v>
      </c>
      <c r="T658" s="52">
        <v>3.6</v>
      </c>
      <c r="U658" s="48">
        <v>12</v>
      </c>
      <c r="V658" s="47">
        <v>1.1000000000000001</v>
      </c>
      <c r="W658" s="48">
        <v>0.9</v>
      </c>
      <c r="X658" s="130">
        <f t="shared" si="109"/>
        <v>-2.1999999999999997</v>
      </c>
      <c r="Y658" s="16">
        <f t="shared" si="110"/>
        <v>0.93674969975975986</v>
      </c>
      <c r="Z658" s="15">
        <f t="shared" si="112"/>
        <v>-1.5999999999999996</v>
      </c>
      <c r="AA658" s="16">
        <f t="shared" si="113"/>
        <v>4.6100000000000003</v>
      </c>
      <c r="AB658" s="16">
        <f t="shared" si="114"/>
        <v>0.87654625282031373</v>
      </c>
      <c r="AC658" s="66" t="s">
        <v>49</v>
      </c>
      <c r="AD658" s="51" t="s">
        <v>546</v>
      </c>
      <c r="AE658" s="13">
        <v>12</v>
      </c>
      <c r="AF658" s="13">
        <v>2</v>
      </c>
      <c r="AG658" s="13">
        <v>52.5</v>
      </c>
      <c r="AH658" s="134" t="s">
        <v>545</v>
      </c>
      <c r="AI658" s="134">
        <v>3.5</v>
      </c>
      <c r="AJ658" s="135">
        <v>165.25</v>
      </c>
      <c r="AK658" s="45">
        <v>328.5</v>
      </c>
      <c r="AL658" s="136" t="str" cm="1">
        <f t="array" ref="AL658">_xlfn.IFS(
AI658&lt;3,"Ligera",
AI658&lt;=6,"Moderada",
AI658&gt;6,"Vigorosa"
)</f>
        <v>Moderada</v>
      </c>
      <c r="AM658" s="45" t="s">
        <v>48</v>
      </c>
      <c r="AN658" s="46" t="s">
        <v>60</v>
      </c>
      <c r="AO658" s="46" t="s">
        <v>61</v>
      </c>
      <c r="AP658" s="289" t="s">
        <v>155</v>
      </c>
      <c r="AQ658" s="139">
        <v>0</v>
      </c>
    </row>
    <row r="659" spans="1:43" ht="78.75" customHeight="1" thickBot="1">
      <c r="A659" s="138" t="s">
        <v>542</v>
      </c>
      <c r="B659" s="12">
        <v>24</v>
      </c>
      <c r="C659" s="12">
        <v>78.5</v>
      </c>
      <c r="D659" s="12">
        <v>33.33</v>
      </c>
      <c r="E659" s="12" t="s">
        <v>45</v>
      </c>
      <c r="F659" s="12" t="s">
        <v>45</v>
      </c>
      <c r="G659" s="12" t="s">
        <v>427</v>
      </c>
      <c r="H659" s="12"/>
      <c r="I659" s="12" t="s">
        <v>45</v>
      </c>
      <c r="J659" s="12" t="s">
        <v>47</v>
      </c>
      <c r="K659" s="12" t="s">
        <v>49</v>
      </c>
      <c r="L659" s="12" t="s">
        <v>49</v>
      </c>
      <c r="M659" s="11" t="s">
        <v>50</v>
      </c>
      <c r="N659" s="11" t="s">
        <v>50</v>
      </c>
      <c r="O659" s="11" t="s">
        <v>50</v>
      </c>
      <c r="P659" s="11" t="s">
        <v>51</v>
      </c>
      <c r="Q659" s="50" t="s">
        <v>188</v>
      </c>
      <c r="R659" s="47">
        <v>12</v>
      </c>
      <c r="S659" s="48">
        <v>33.9</v>
      </c>
      <c r="T659" s="52">
        <v>11.8</v>
      </c>
      <c r="U659" s="48">
        <v>12</v>
      </c>
      <c r="V659" s="47">
        <v>32.4</v>
      </c>
      <c r="W659" s="48">
        <v>6</v>
      </c>
      <c r="X659" s="130">
        <f t="shared" si="109"/>
        <v>-1.5</v>
      </c>
      <c r="Y659" s="16">
        <f t="shared" si="110"/>
        <v>2.9501412395567326</v>
      </c>
      <c r="Z659" s="286" t="s">
        <v>53</v>
      </c>
      <c r="AA659" s="286" t="s">
        <v>53</v>
      </c>
      <c r="AB659" s="16">
        <v>2.9501412395567326</v>
      </c>
      <c r="AC659" s="66" t="s">
        <v>49</v>
      </c>
      <c r="AD659" s="51" t="s">
        <v>543</v>
      </c>
      <c r="AE659" s="13">
        <v>12</v>
      </c>
      <c r="AF659" s="13">
        <v>0</v>
      </c>
      <c r="AG659" s="13">
        <v>0</v>
      </c>
      <c r="AH659" s="134">
        <v>0</v>
      </c>
      <c r="AI659" s="134">
        <v>0</v>
      </c>
      <c r="AJ659" s="135">
        <f t="shared" si="111"/>
        <v>0</v>
      </c>
      <c r="AK659" s="45">
        <f t="shared" si="115"/>
        <v>0</v>
      </c>
      <c r="AL659" s="136" t="str" cm="1">
        <f t="array" ref="AL659">_xlfn.IFS(
AI659&lt;3,"Ligera",
AI659&lt;=6,"Moderada",
AI659&gt;6,"Vigorosa"
)</f>
        <v>Ligera</v>
      </c>
      <c r="AM659" s="45" t="s">
        <v>49</v>
      </c>
      <c r="AN659" s="46" t="s">
        <v>49</v>
      </c>
      <c r="AO659" s="46" t="s">
        <v>49</v>
      </c>
      <c r="AP659" s="46" t="s">
        <v>49</v>
      </c>
      <c r="AQ659" s="139">
        <v>0</v>
      </c>
    </row>
    <row r="660" spans="1:43" ht="78.75" customHeight="1" thickBot="1">
      <c r="A660" s="140" t="s">
        <v>542</v>
      </c>
      <c r="B660" s="141">
        <v>24</v>
      </c>
      <c r="C660" s="141">
        <v>78.3</v>
      </c>
      <c r="D660" s="141">
        <v>25</v>
      </c>
      <c r="E660" s="141" t="s">
        <v>45</v>
      </c>
      <c r="F660" s="141" t="s">
        <v>45</v>
      </c>
      <c r="G660" s="141" t="s">
        <v>427</v>
      </c>
      <c r="H660" s="141"/>
      <c r="I660" s="141" t="s">
        <v>45</v>
      </c>
      <c r="J660" s="141" t="s">
        <v>47</v>
      </c>
      <c r="K660" s="141" t="s">
        <v>49</v>
      </c>
      <c r="L660" s="141" t="s">
        <v>49</v>
      </c>
      <c r="M660" s="142" t="s">
        <v>56</v>
      </c>
      <c r="N660" s="142" t="s">
        <v>76</v>
      </c>
      <c r="O660" s="142" t="s">
        <v>103</v>
      </c>
      <c r="P660" s="142" t="s">
        <v>51</v>
      </c>
      <c r="Q660" s="158" t="s">
        <v>188</v>
      </c>
      <c r="R660" s="169">
        <v>12</v>
      </c>
      <c r="S660" s="170">
        <v>34.5</v>
      </c>
      <c r="T660" s="171">
        <v>4.3</v>
      </c>
      <c r="U660" s="170">
        <v>12</v>
      </c>
      <c r="V660" s="169">
        <v>36.5</v>
      </c>
      <c r="W660" s="170">
        <v>8.1</v>
      </c>
      <c r="X660" s="130">
        <f t="shared" si="109"/>
        <v>2</v>
      </c>
      <c r="Y660" s="16">
        <f t="shared" si="110"/>
        <v>2.0262856001396576</v>
      </c>
      <c r="Z660" s="15">
        <f t="shared" si="112"/>
        <v>3.5</v>
      </c>
      <c r="AA660" s="16">
        <f t="shared" si="113"/>
        <v>50.805</v>
      </c>
      <c r="AB660" s="16">
        <f t="shared" si="114"/>
        <v>2.9098969053902923</v>
      </c>
      <c r="AC660" s="66" t="s">
        <v>49</v>
      </c>
      <c r="AD660" s="151" t="s">
        <v>546</v>
      </c>
      <c r="AE660" s="146">
        <v>12</v>
      </c>
      <c r="AF660" s="146">
        <v>2</v>
      </c>
      <c r="AG660" s="146">
        <v>52.5</v>
      </c>
      <c r="AH660" s="134" t="s">
        <v>545</v>
      </c>
      <c r="AI660" s="134">
        <v>3.5</v>
      </c>
      <c r="AJ660" s="135">
        <v>165.25</v>
      </c>
      <c r="AK660" s="45">
        <v>328.5</v>
      </c>
      <c r="AL660" s="136" t="str" cm="1">
        <f t="array" ref="AL660">_xlfn.IFS(
AI660&lt;3,"Ligera",
AI660&lt;=6,"Moderada",
AI660&gt;6,"Vigorosa"
)</f>
        <v>Moderada</v>
      </c>
      <c r="AM660" s="147" t="s">
        <v>48</v>
      </c>
      <c r="AN660" s="148" t="s">
        <v>60</v>
      </c>
      <c r="AO660" s="148" t="s">
        <v>61</v>
      </c>
      <c r="AP660" s="290" t="s">
        <v>155</v>
      </c>
      <c r="AQ660" s="149">
        <v>0</v>
      </c>
    </row>
    <row r="661" spans="1:43" ht="78.75" customHeight="1" thickBot="1">
      <c r="A661" s="124" t="s">
        <v>548</v>
      </c>
      <c r="B661" s="125">
        <v>66</v>
      </c>
      <c r="C661" s="125">
        <v>85.37</v>
      </c>
      <c r="D661" s="125" t="s">
        <v>47</v>
      </c>
      <c r="E661" s="125" t="s">
        <v>45</v>
      </c>
      <c r="F661" s="125" t="s">
        <v>45</v>
      </c>
      <c r="G661" s="125" t="s">
        <v>223</v>
      </c>
      <c r="H661" s="125"/>
      <c r="I661" s="125" t="s">
        <v>145</v>
      </c>
      <c r="J661" s="125" t="s">
        <v>47</v>
      </c>
      <c r="K661" s="125" t="s">
        <v>48</v>
      </c>
      <c r="L661" s="125" t="s">
        <v>49</v>
      </c>
      <c r="M661" s="126" t="s">
        <v>50</v>
      </c>
      <c r="N661" s="126" t="s">
        <v>50</v>
      </c>
      <c r="O661" s="126" t="s">
        <v>50</v>
      </c>
      <c r="P661" s="126" t="s">
        <v>86</v>
      </c>
      <c r="Q661" s="159" t="s">
        <v>86</v>
      </c>
      <c r="R661" s="167">
        <v>16</v>
      </c>
      <c r="S661" s="168">
        <v>13</v>
      </c>
      <c r="T661" s="179">
        <v>1.96</v>
      </c>
      <c r="U661" s="167">
        <v>16</v>
      </c>
      <c r="V661" s="167" t="s">
        <v>47</v>
      </c>
      <c r="W661" s="168" t="s">
        <v>47</v>
      </c>
      <c r="X661" s="130"/>
      <c r="Y661" s="16"/>
      <c r="Z661" s="286"/>
      <c r="AA661" s="286"/>
      <c r="AB661" s="16"/>
      <c r="AC661" s="66" t="s">
        <v>48</v>
      </c>
      <c r="AD661" s="133" t="s">
        <v>549</v>
      </c>
      <c r="AE661" s="134">
        <v>8</v>
      </c>
      <c r="AF661" s="134">
        <v>0</v>
      </c>
      <c r="AG661" s="134">
        <v>0</v>
      </c>
      <c r="AH661" s="134">
        <v>0</v>
      </c>
      <c r="AI661" s="134">
        <v>0</v>
      </c>
      <c r="AJ661" s="135">
        <f t="shared" si="111"/>
        <v>0</v>
      </c>
      <c r="AK661" s="45">
        <f t="shared" si="115"/>
        <v>0</v>
      </c>
      <c r="AL661" s="136" t="str" cm="1">
        <f t="array" ref="AL661">_xlfn.IFS(
AI661&lt;3,"Ligera",
AI661&lt;=6,"Moderada",
AI661&gt;6,"Vigorosa"
)</f>
        <v>Ligera</v>
      </c>
      <c r="AM661" s="136" t="s">
        <v>49</v>
      </c>
      <c r="AN661" s="135" t="s">
        <v>49</v>
      </c>
      <c r="AO661" s="135" t="s">
        <v>49</v>
      </c>
      <c r="AP661" s="135" t="s">
        <v>49</v>
      </c>
      <c r="AQ661" s="137">
        <v>0</v>
      </c>
    </row>
    <row r="662" spans="1:43" ht="78.75" customHeight="1" thickBot="1">
      <c r="A662" s="138" t="s">
        <v>548</v>
      </c>
      <c r="B662" s="12">
        <v>66</v>
      </c>
      <c r="C662" s="12">
        <v>84.5</v>
      </c>
      <c r="D662" s="12" t="s">
        <v>47</v>
      </c>
      <c r="E662" s="12" t="s">
        <v>45</v>
      </c>
      <c r="F662" s="12" t="s">
        <v>45</v>
      </c>
      <c r="G662" s="12" t="s">
        <v>223</v>
      </c>
      <c r="H662" s="12"/>
      <c r="I662" s="12" t="s">
        <v>145</v>
      </c>
      <c r="J662" s="12" t="s">
        <v>47</v>
      </c>
      <c r="K662" s="12" t="s">
        <v>48</v>
      </c>
      <c r="L662" s="12" t="s">
        <v>49</v>
      </c>
      <c r="M662" s="11" t="s">
        <v>56</v>
      </c>
      <c r="N662" s="11" t="s">
        <v>57</v>
      </c>
      <c r="O662" s="11" t="s">
        <v>126</v>
      </c>
      <c r="P662" s="11" t="s">
        <v>86</v>
      </c>
      <c r="Q662" s="50" t="s">
        <v>86</v>
      </c>
      <c r="R662" s="47">
        <v>16</v>
      </c>
      <c r="S662" s="48">
        <v>11.43</v>
      </c>
      <c r="T662" s="52">
        <v>1.78</v>
      </c>
      <c r="U662" s="47">
        <v>16</v>
      </c>
      <c r="V662" s="47" t="s">
        <v>47</v>
      </c>
      <c r="W662" s="48" t="s">
        <v>47</v>
      </c>
      <c r="X662" s="130"/>
      <c r="Y662" s="16"/>
      <c r="Z662" s="15"/>
      <c r="AA662" s="16"/>
      <c r="AB662" s="16"/>
      <c r="AC662" s="66" t="s">
        <v>48</v>
      </c>
      <c r="AD662" s="51" t="s">
        <v>550</v>
      </c>
      <c r="AE662" s="13">
        <v>8</v>
      </c>
      <c r="AF662" s="13">
        <v>3</v>
      </c>
      <c r="AG662" s="13">
        <v>40</v>
      </c>
      <c r="AH662" s="134" t="s">
        <v>551</v>
      </c>
      <c r="AI662" s="134">
        <v>3.4</v>
      </c>
      <c r="AJ662" s="135">
        <f t="shared" si="111"/>
        <v>136</v>
      </c>
      <c r="AK662" s="45">
        <f t="shared" si="115"/>
        <v>408</v>
      </c>
      <c r="AL662" s="136" t="str" cm="1">
        <f t="array" ref="AL662">_xlfn.IFS(
AI662&lt;3,"Ligera",
AI662&lt;=6,"Moderada",
AI662&gt;6,"Vigorosa"
)</f>
        <v>Moderada</v>
      </c>
      <c r="AM662" s="45" t="s">
        <v>49</v>
      </c>
      <c r="AN662" s="46" t="s">
        <v>49</v>
      </c>
      <c r="AO662" s="46" t="s">
        <v>61</v>
      </c>
      <c r="AP662" s="289" t="s">
        <v>155</v>
      </c>
      <c r="AQ662" s="139">
        <v>0</v>
      </c>
    </row>
    <row r="663" spans="1:43" ht="78.75" customHeight="1" thickBot="1">
      <c r="A663" s="138" t="s">
        <v>548</v>
      </c>
      <c r="B663" s="12">
        <v>66</v>
      </c>
      <c r="C663" s="12">
        <v>84.18</v>
      </c>
      <c r="D663" s="12" t="s">
        <v>47</v>
      </c>
      <c r="E663" s="12" t="s">
        <v>45</v>
      </c>
      <c r="F663" s="12" t="s">
        <v>45</v>
      </c>
      <c r="G663" s="12" t="s">
        <v>223</v>
      </c>
      <c r="H663" s="12"/>
      <c r="I663" s="12" t="s">
        <v>145</v>
      </c>
      <c r="J663" s="12" t="s">
        <v>47</v>
      </c>
      <c r="K663" s="12" t="s">
        <v>48</v>
      </c>
      <c r="L663" s="12" t="s">
        <v>49</v>
      </c>
      <c r="M663" s="11" t="s">
        <v>56</v>
      </c>
      <c r="N663" s="11" t="s">
        <v>57</v>
      </c>
      <c r="O663" s="11" t="s">
        <v>126</v>
      </c>
      <c r="P663" s="11" t="s">
        <v>86</v>
      </c>
      <c r="Q663" s="50" t="s">
        <v>86</v>
      </c>
      <c r="R663" s="47">
        <v>16</v>
      </c>
      <c r="S663" s="48">
        <v>11.75</v>
      </c>
      <c r="T663" s="52">
        <v>2.2599999999999998</v>
      </c>
      <c r="U663" s="47">
        <v>16</v>
      </c>
      <c r="V663" s="47" t="s">
        <v>47</v>
      </c>
      <c r="W663" s="48" t="s">
        <v>47</v>
      </c>
      <c r="X663" s="130"/>
      <c r="Y663" s="16"/>
      <c r="Z663" s="15"/>
      <c r="AA663" s="16"/>
      <c r="AB663" s="16"/>
      <c r="AC663" s="66" t="s">
        <v>48</v>
      </c>
      <c r="AD663" s="51" t="s">
        <v>552</v>
      </c>
      <c r="AE663" s="13">
        <v>8</v>
      </c>
      <c r="AF663" s="13">
        <v>3</v>
      </c>
      <c r="AG663" s="13">
        <v>40</v>
      </c>
      <c r="AH663" s="134" t="s">
        <v>551</v>
      </c>
      <c r="AI663" s="134">
        <v>3.4</v>
      </c>
      <c r="AJ663" s="135">
        <f t="shared" si="111"/>
        <v>136</v>
      </c>
      <c r="AK663" s="45">
        <f t="shared" si="115"/>
        <v>408</v>
      </c>
      <c r="AL663" s="136" t="str" cm="1">
        <f t="array" ref="AL663">_xlfn.IFS(
AI663&lt;3,"Ligera",
AI663&lt;=6,"Moderada",
AI663&gt;6,"Vigorosa"
)</f>
        <v>Moderada</v>
      </c>
      <c r="AM663" s="45" t="s">
        <v>49</v>
      </c>
      <c r="AN663" s="46" t="s">
        <v>49</v>
      </c>
      <c r="AO663" s="46" t="s">
        <v>61</v>
      </c>
      <c r="AP663" s="289" t="s">
        <v>155</v>
      </c>
      <c r="AQ663" s="139">
        <v>0</v>
      </c>
    </row>
    <row r="664" spans="1:43" ht="78.75" customHeight="1" thickBot="1">
      <c r="A664" s="138" t="s">
        <v>548</v>
      </c>
      <c r="B664" s="12">
        <v>66</v>
      </c>
      <c r="C664" s="12">
        <v>85.37</v>
      </c>
      <c r="D664" s="12" t="s">
        <v>47</v>
      </c>
      <c r="E664" s="12" t="s">
        <v>45</v>
      </c>
      <c r="F664" s="12" t="s">
        <v>45</v>
      </c>
      <c r="G664" s="12" t="s">
        <v>223</v>
      </c>
      <c r="H664" s="12"/>
      <c r="I664" s="12" t="s">
        <v>145</v>
      </c>
      <c r="J664" s="12" t="s">
        <v>47</v>
      </c>
      <c r="K664" s="12" t="s">
        <v>48</v>
      </c>
      <c r="L664" s="12" t="s">
        <v>49</v>
      </c>
      <c r="M664" s="11" t="s">
        <v>50</v>
      </c>
      <c r="N664" s="11" t="s">
        <v>50</v>
      </c>
      <c r="O664" s="11" t="s">
        <v>50</v>
      </c>
      <c r="P664" s="11" t="s">
        <v>51</v>
      </c>
      <c r="Q664" s="50" t="s">
        <v>92</v>
      </c>
      <c r="R664" s="47">
        <v>16</v>
      </c>
      <c r="S664" s="48">
        <v>10.09</v>
      </c>
      <c r="T664" s="52">
        <v>4.18</v>
      </c>
      <c r="U664" s="47">
        <v>16</v>
      </c>
      <c r="V664" s="47">
        <v>8.93</v>
      </c>
      <c r="W664" s="48">
        <v>4.53</v>
      </c>
      <c r="X664" s="130">
        <f t="shared" si="109"/>
        <v>-1.1600000000000001</v>
      </c>
      <c r="Y664" s="16">
        <f t="shared" si="110"/>
        <v>1.0913838692229236</v>
      </c>
      <c r="Z664" s="286" t="s">
        <v>53</v>
      </c>
      <c r="AA664" s="286" t="s">
        <v>53</v>
      </c>
      <c r="AB664" s="16">
        <v>1.0913838692229236</v>
      </c>
      <c r="AC664" s="66" t="s">
        <v>49</v>
      </c>
      <c r="AD664" s="51" t="s">
        <v>549</v>
      </c>
      <c r="AE664" s="13">
        <v>8</v>
      </c>
      <c r="AF664" s="13">
        <v>0</v>
      </c>
      <c r="AG664" s="13">
        <v>0</v>
      </c>
      <c r="AH664" s="134">
        <v>0</v>
      </c>
      <c r="AI664" s="134">
        <v>0</v>
      </c>
      <c r="AJ664" s="135">
        <f t="shared" si="111"/>
        <v>0</v>
      </c>
      <c r="AK664" s="45">
        <f t="shared" si="115"/>
        <v>0</v>
      </c>
      <c r="AL664" s="136" t="str" cm="1">
        <f t="array" ref="AL664">_xlfn.IFS(
AI664&lt;3,"Ligera",
AI664&lt;=6,"Moderada",
AI664&gt;6,"Vigorosa"
)</f>
        <v>Ligera</v>
      </c>
      <c r="AM664" s="45" t="s">
        <v>49</v>
      </c>
      <c r="AN664" s="46" t="s">
        <v>49</v>
      </c>
      <c r="AO664" s="46" t="s">
        <v>49</v>
      </c>
      <c r="AP664" s="46" t="s">
        <v>49</v>
      </c>
      <c r="AQ664" s="139">
        <v>0</v>
      </c>
    </row>
    <row r="665" spans="1:43" ht="78.75" customHeight="1" thickBot="1">
      <c r="A665" s="138" t="s">
        <v>548</v>
      </c>
      <c r="B665" s="12">
        <v>66</v>
      </c>
      <c r="C665" s="12">
        <v>84.5</v>
      </c>
      <c r="D665" s="12" t="s">
        <v>47</v>
      </c>
      <c r="E665" s="12" t="s">
        <v>45</v>
      </c>
      <c r="F665" s="12" t="s">
        <v>45</v>
      </c>
      <c r="G665" s="12" t="s">
        <v>223</v>
      </c>
      <c r="H665" s="12"/>
      <c r="I665" s="12" t="s">
        <v>145</v>
      </c>
      <c r="J665" s="12" t="s">
        <v>47</v>
      </c>
      <c r="K665" s="12" t="s">
        <v>48</v>
      </c>
      <c r="L665" s="12" t="s">
        <v>49</v>
      </c>
      <c r="M665" s="11" t="s">
        <v>56</v>
      </c>
      <c r="N665" s="11" t="s">
        <v>57</v>
      </c>
      <c r="O665" s="11" t="s">
        <v>126</v>
      </c>
      <c r="P665" s="11" t="s">
        <v>51</v>
      </c>
      <c r="Q665" s="50" t="s">
        <v>92</v>
      </c>
      <c r="R665" s="47">
        <v>16</v>
      </c>
      <c r="S665" s="48">
        <v>5.66</v>
      </c>
      <c r="T665" s="52">
        <v>4.72</v>
      </c>
      <c r="U665" s="47">
        <v>16</v>
      </c>
      <c r="V665" s="47">
        <v>9.2200000000000006</v>
      </c>
      <c r="W665" s="48">
        <v>4.88</v>
      </c>
      <c r="X665" s="130">
        <f t="shared" si="109"/>
        <v>3.5600000000000005</v>
      </c>
      <c r="Y665" s="16">
        <f t="shared" si="110"/>
        <v>1.2004998958767135</v>
      </c>
      <c r="Z665" s="15">
        <f t="shared" si="112"/>
        <v>4.7200000000000006</v>
      </c>
      <c r="AA665" s="16">
        <f t="shared" si="113"/>
        <v>22.167650000000002</v>
      </c>
      <c r="AB665" s="16">
        <f t="shared" si="114"/>
        <v>1.6646189503907494</v>
      </c>
      <c r="AC665" s="66" t="s">
        <v>49</v>
      </c>
      <c r="AD665" s="51" t="s">
        <v>550</v>
      </c>
      <c r="AE665" s="13">
        <v>8</v>
      </c>
      <c r="AF665" s="13">
        <v>3</v>
      </c>
      <c r="AG665" s="13">
        <v>40</v>
      </c>
      <c r="AH665" s="134" t="s">
        <v>551</v>
      </c>
      <c r="AI665" s="134">
        <v>3.4</v>
      </c>
      <c r="AJ665" s="135">
        <f t="shared" si="111"/>
        <v>136</v>
      </c>
      <c r="AK665" s="45">
        <f t="shared" si="115"/>
        <v>408</v>
      </c>
      <c r="AL665" s="136" t="str" cm="1">
        <f t="array" ref="AL665">_xlfn.IFS(
AI665&lt;3,"Ligera",
AI665&lt;=6,"Moderada",
AI665&gt;6,"Vigorosa"
)</f>
        <v>Moderada</v>
      </c>
      <c r="AM665" s="45" t="s">
        <v>49</v>
      </c>
      <c r="AN665" s="46" t="s">
        <v>49</v>
      </c>
      <c r="AO665" s="46" t="s">
        <v>61</v>
      </c>
      <c r="AP665" s="289" t="s">
        <v>155</v>
      </c>
      <c r="AQ665" s="139">
        <v>0</v>
      </c>
    </row>
    <row r="666" spans="1:43" ht="78.75" customHeight="1" thickBot="1">
      <c r="A666" s="138" t="s">
        <v>548</v>
      </c>
      <c r="B666" s="12">
        <v>66</v>
      </c>
      <c r="C666" s="12">
        <v>84.18</v>
      </c>
      <c r="D666" s="12" t="s">
        <v>47</v>
      </c>
      <c r="E666" s="12" t="s">
        <v>45</v>
      </c>
      <c r="F666" s="12" t="s">
        <v>45</v>
      </c>
      <c r="G666" s="12" t="s">
        <v>223</v>
      </c>
      <c r="H666" s="12"/>
      <c r="I666" s="12" t="s">
        <v>145</v>
      </c>
      <c r="J666" s="12" t="s">
        <v>47</v>
      </c>
      <c r="K666" s="12" t="s">
        <v>48</v>
      </c>
      <c r="L666" s="12" t="s">
        <v>49</v>
      </c>
      <c r="M666" s="11" t="s">
        <v>56</v>
      </c>
      <c r="N666" s="11" t="s">
        <v>57</v>
      </c>
      <c r="O666" s="11" t="s">
        <v>126</v>
      </c>
      <c r="P666" s="11" t="s">
        <v>51</v>
      </c>
      <c r="Q666" s="50" t="s">
        <v>92</v>
      </c>
      <c r="R666" s="47">
        <v>16</v>
      </c>
      <c r="S666" s="48">
        <v>7.41</v>
      </c>
      <c r="T666" s="52">
        <v>4.88</v>
      </c>
      <c r="U666" s="47">
        <v>16</v>
      </c>
      <c r="V666" s="47">
        <v>10.83</v>
      </c>
      <c r="W666" s="48">
        <v>5.13</v>
      </c>
      <c r="X666" s="130">
        <f t="shared" si="109"/>
        <v>3.42</v>
      </c>
      <c r="Y666" s="16">
        <f t="shared" si="110"/>
        <v>1.2524201571357751</v>
      </c>
      <c r="Z666" s="15">
        <f>X666-X664</f>
        <v>4.58</v>
      </c>
      <c r="AA666" s="16">
        <f>((U666-1)*W666^2+(U664-1)*W664^2)/((U666-1)+(U664-1))</f>
        <v>23.418900000000001</v>
      </c>
      <c r="AB666" s="16">
        <f>SQRT(AA666*((1/U666)+(1/U664)))</f>
        <v>1.7109536814303303</v>
      </c>
      <c r="AC666" s="66" t="s">
        <v>49</v>
      </c>
      <c r="AD666" s="51" t="s">
        <v>553</v>
      </c>
      <c r="AE666" s="13">
        <v>8</v>
      </c>
      <c r="AF666" s="13">
        <v>3</v>
      </c>
      <c r="AG666" s="13">
        <v>40</v>
      </c>
      <c r="AH666" s="134" t="s">
        <v>551</v>
      </c>
      <c r="AI666" s="134">
        <v>3.4</v>
      </c>
      <c r="AJ666" s="135">
        <f t="shared" si="111"/>
        <v>136</v>
      </c>
      <c r="AK666" s="45">
        <f t="shared" si="115"/>
        <v>408</v>
      </c>
      <c r="AL666" s="136" t="str" cm="1">
        <f t="array" ref="AL666">_xlfn.IFS(
AI666&lt;3,"Ligera",
AI666&lt;=6,"Moderada",
AI666&gt;6,"Vigorosa"
)</f>
        <v>Moderada</v>
      </c>
      <c r="AM666" s="45" t="s">
        <v>49</v>
      </c>
      <c r="AN666" s="46" t="s">
        <v>49</v>
      </c>
      <c r="AO666" s="46" t="s">
        <v>61</v>
      </c>
      <c r="AP666" s="289" t="s">
        <v>155</v>
      </c>
      <c r="AQ666" s="139">
        <v>0</v>
      </c>
    </row>
    <row r="667" spans="1:43" ht="78.75" customHeight="1" thickBot="1">
      <c r="A667" s="138" t="s">
        <v>548</v>
      </c>
      <c r="B667" s="12">
        <v>66</v>
      </c>
      <c r="C667" s="12">
        <v>85.37</v>
      </c>
      <c r="D667" s="12" t="s">
        <v>47</v>
      </c>
      <c r="E667" s="12" t="s">
        <v>45</v>
      </c>
      <c r="F667" s="12" t="s">
        <v>45</v>
      </c>
      <c r="G667" s="12" t="s">
        <v>223</v>
      </c>
      <c r="H667" s="12"/>
      <c r="I667" s="12" t="s">
        <v>145</v>
      </c>
      <c r="J667" s="12" t="s">
        <v>47</v>
      </c>
      <c r="K667" s="12" t="s">
        <v>48</v>
      </c>
      <c r="L667" s="12" t="s">
        <v>49</v>
      </c>
      <c r="M667" s="11" t="s">
        <v>50</v>
      </c>
      <c r="N667" s="11" t="s">
        <v>50</v>
      </c>
      <c r="O667" s="11" t="s">
        <v>50</v>
      </c>
      <c r="P667" s="11" t="s">
        <v>51</v>
      </c>
      <c r="Q667" s="50" t="s">
        <v>460</v>
      </c>
      <c r="R667" s="47">
        <v>16</v>
      </c>
      <c r="S667" s="48">
        <v>141.75</v>
      </c>
      <c r="T667" s="52">
        <v>13.21</v>
      </c>
      <c r="U667" s="47">
        <v>16</v>
      </c>
      <c r="V667" s="47">
        <v>134.61000000000001</v>
      </c>
      <c r="W667" s="48">
        <v>19.43</v>
      </c>
      <c r="X667" s="130">
        <f t="shared" si="109"/>
        <v>-7.1399999999999864</v>
      </c>
      <c r="Y667" s="16">
        <f t="shared" si="110"/>
        <v>4.2965007564295856</v>
      </c>
      <c r="Z667" s="286" t="s">
        <v>53</v>
      </c>
      <c r="AA667" s="286" t="s">
        <v>53</v>
      </c>
      <c r="AB667" s="16">
        <v>4.2965007564295856</v>
      </c>
      <c r="AC667" s="66" t="s">
        <v>49</v>
      </c>
      <c r="AD667" s="51" t="s">
        <v>549</v>
      </c>
      <c r="AE667" s="13">
        <v>8</v>
      </c>
      <c r="AF667" s="13">
        <v>0</v>
      </c>
      <c r="AG667" s="13">
        <v>0</v>
      </c>
      <c r="AH667" s="134">
        <v>0</v>
      </c>
      <c r="AI667" s="134">
        <v>0</v>
      </c>
      <c r="AJ667" s="135">
        <f t="shared" si="111"/>
        <v>0</v>
      </c>
      <c r="AK667" s="45">
        <f t="shared" si="115"/>
        <v>0</v>
      </c>
      <c r="AL667" s="136" t="str" cm="1">
        <f t="array" ref="AL667">_xlfn.IFS(
AI667&lt;3,"Ligera",
AI667&lt;=6,"Moderada",
AI667&gt;6,"Vigorosa"
)</f>
        <v>Ligera</v>
      </c>
      <c r="AM667" s="45" t="s">
        <v>49</v>
      </c>
      <c r="AN667" s="46" t="s">
        <v>49</v>
      </c>
      <c r="AO667" s="46" t="s">
        <v>49</v>
      </c>
      <c r="AP667" s="46" t="s">
        <v>49</v>
      </c>
      <c r="AQ667" s="139">
        <v>0</v>
      </c>
    </row>
    <row r="668" spans="1:43" ht="78.75" customHeight="1" thickBot="1">
      <c r="A668" s="138" t="s">
        <v>548</v>
      </c>
      <c r="B668" s="12">
        <v>66</v>
      </c>
      <c r="C668" s="12">
        <v>84.5</v>
      </c>
      <c r="D668" s="12" t="s">
        <v>47</v>
      </c>
      <c r="E668" s="12" t="s">
        <v>45</v>
      </c>
      <c r="F668" s="12" t="s">
        <v>45</v>
      </c>
      <c r="G668" s="12" t="s">
        <v>223</v>
      </c>
      <c r="H668" s="12"/>
      <c r="I668" s="12" t="s">
        <v>145</v>
      </c>
      <c r="J668" s="12" t="s">
        <v>47</v>
      </c>
      <c r="K668" s="12" t="s">
        <v>48</v>
      </c>
      <c r="L668" s="12" t="s">
        <v>49</v>
      </c>
      <c r="M668" s="11" t="s">
        <v>56</v>
      </c>
      <c r="N668" s="11" t="s">
        <v>57</v>
      </c>
      <c r="O668" s="11" t="s">
        <v>126</v>
      </c>
      <c r="P668" s="11" t="s">
        <v>51</v>
      </c>
      <c r="Q668" s="50" t="s">
        <v>460</v>
      </c>
      <c r="R668" s="47">
        <v>16</v>
      </c>
      <c r="S668" s="48">
        <v>123.03</v>
      </c>
      <c r="T668" s="52">
        <v>26.24</v>
      </c>
      <c r="U668" s="47">
        <v>16</v>
      </c>
      <c r="V668" s="47">
        <v>171.3</v>
      </c>
      <c r="W668" s="48">
        <v>36.950000000000003</v>
      </c>
      <c r="X668" s="130">
        <f t="shared" si="109"/>
        <v>48.27000000000001</v>
      </c>
      <c r="Y668" s="16">
        <f t="shared" si="110"/>
        <v>8.2320718078743713</v>
      </c>
      <c r="Z668" s="15">
        <f t="shared" si="112"/>
        <v>55.41</v>
      </c>
      <c r="AA668" s="16">
        <f t="shared" si="113"/>
        <v>871.41369999999995</v>
      </c>
      <c r="AB668" s="16">
        <f t="shared" si="114"/>
        <v>10.436796084048016</v>
      </c>
      <c r="AC668" s="66" t="s">
        <v>49</v>
      </c>
      <c r="AD668" s="51" t="s">
        <v>550</v>
      </c>
      <c r="AE668" s="13">
        <v>8</v>
      </c>
      <c r="AF668" s="13">
        <v>3</v>
      </c>
      <c r="AG668" s="13">
        <v>40</v>
      </c>
      <c r="AH668" s="134" t="s">
        <v>551</v>
      </c>
      <c r="AI668" s="134">
        <v>3.4</v>
      </c>
      <c r="AJ668" s="135">
        <f t="shared" si="111"/>
        <v>136</v>
      </c>
      <c r="AK668" s="45">
        <f t="shared" si="115"/>
        <v>408</v>
      </c>
      <c r="AL668" s="136" t="str" cm="1">
        <f t="array" ref="AL668">_xlfn.IFS(
AI668&lt;3,"Ligera",
AI668&lt;=6,"Moderada",
AI668&gt;6,"Vigorosa"
)</f>
        <v>Moderada</v>
      </c>
      <c r="AM668" s="45" t="s">
        <v>49</v>
      </c>
      <c r="AN668" s="46" t="s">
        <v>49</v>
      </c>
      <c r="AO668" s="46" t="s">
        <v>61</v>
      </c>
      <c r="AP668" s="289" t="s">
        <v>155</v>
      </c>
      <c r="AQ668" s="139">
        <v>0</v>
      </c>
    </row>
    <row r="669" spans="1:43" ht="78.75" customHeight="1" thickBot="1">
      <c r="A669" s="138" t="s">
        <v>548</v>
      </c>
      <c r="B669" s="12">
        <v>66</v>
      </c>
      <c r="C669" s="12">
        <v>84.18</v>
      </c>
      <c r="D669" s="12" t="s">
        <v>47</v>
      </c>
      <c r="E669" s="12" t="s">
        <v>45</v>
      </c>
      <c r="F669" s="12" t="s">
        <v>45</v>
      </c>
      <c r="G669" s="12" t="s">
        <v>223</v>
      </c>
      <c r="H669" s="12"/>
      <c r="I669" s="12" t="s">
        <v>145</v>
      </c>
      <c r="J669" s="12" t="s">
        <v>47</v>
      </c>
      <c r="K669" s="12" t="s">
        <v>48</v>
      </c>
      <c r="L669" s="12" t="s">
        <v>49</v>
      </c>
      <c r="M669" s="11" t="s">
        <v>56</v>
      </c>
      <c r="N669" s="11" t="s">
        <v>57</v>
      </c>
      <c r="O669" s="11" t="s">
        <v>126</v>
      </c>
      <c r="P669" s="11" t="s">
        <v>51</v>
      </c>
      <c r="Q669" s="50" t="s">
        <v>460</v>
      </c>
      <c r="R669" s="47">
        <v>16</v>
      </c>
      <c r="S669" s="48">
        <v>129.93</v>
      </c>
      <c r="T669" s="52">
        <v>28.54</v>
      </c>
      <c r="U669" s="47">
        <v>16</v>
      </c>
      <c r="V669" s="47">
        <v>178.76</v>
      </c>
      <c r="W669" s="48">
        <v>27.1</v>
      </c>
      <c r="X669" s="130">
        <f t="shared" si="109"/>
        <v>48.829999999999984</v>
      </c>
      <c r="Y669" s="16">
        <f t="shared" si="110"/>
        <v>6.9619842717432228</v>
      </c>
      <c r="Z669" s="15">
        <f>X669-X667</f>
        <v>55.96999999999997</v>
      </c>
      <c r="AA669" s="16">
        <f>((U669-1)*W669^2+(U667-1)*W667^2)/((U669-1)+(U667-1))</f>
        <v>555.9674500000001</v>
      </c>
      <c r="AB669" s="16">
        <f>SQRT(AA669*((1/U669)+(1/U667)))</f>
        <v>8.336421969286345</v>
      </c>
      <c r="AC669" s="66" t="s">
        <v>49</v>
      </c>
      <c r="AD669" s="51" t="s">
        <v>553</v>
      </c>
      <c r="AE669" s="13">
        <v>8</v>
      </c>
      <c r="AF669" s="13">
        <v>3</v>
      </c>
      <c r="AG669" s="13">
        <v>40</v>
      </c>
      <c r="AH669" s="134" t="s">
        <v>551</v>
      </c>
      <c r="AI669" s="134">
        <v>3.4</v>
      </c>
      <c r="AJ669" s="135">
        <f t="shared" si="111"/>
        <v>136</v>
      </c>
      <c r="AK669" s="45">
        <f t="shared" si="115"/>
        <v>408</v>
      </c>
      <c r="AL669" s="136" t="str" cm="1">
        <f t="array" ref="AL669">_xlfn.IFS(
AI669&lt;3,"Ligera",
AI669&lt;=6,"Moderada",
AI669&gt;6,"Vigorosa"
)</f>
        <v>Moderada</v>
      </c>
      <c r="AM669" s="45" t="s">
        <v>49</v>
      </c>
      <c r="AN669" s="46" t="s">
        <v>49</v>
      </c>
      <c r="AO669" s="46" t="s">
        <v>61</v>
      </c>
      <c r="AP669" s="289" t="s">
        <v>155</v>
      </c>
      <c r="AQ669" s="139">
        <v>0</v>
      </c>
    </row>
    <row r="670" spans="1:43" ht="78.75" customHeight="1" thickBot="1">
      <c r="A670" s="138" t="s">
        <v>548</v>
      </c>
      <c r="B670" s="12">
        <v>66</v>
      </c>
      <c r="C670" s="12">
        <v>85.37</v>
      </c>
      <c r="D670" s="12" t="s">
        <v>47</v>
      </c>
      <c r="E670" s="12" t="s">
        <v>45</v>
      </c>
      <c r="F670" s="12" t="s">
        <v>45</v>
      </c>
      <c r="G670" s="12" t="s">
        <v>223</v>
      </c>
      <c r="H670" s="12"/>
      <c r="I670" s="12" t="s">
        <v>145</v>
      </c>
      <c r="J670" s="12" t="s">
        <v>47</v>
      </c>
      <c r="K670" s="12" t="s">
        <v>48</v>
      </c>
      <c r="L670" s="12" t="s">
        <v>49</v>
      </c>
      <c r="M670" s="11" t="s">
        <v>50</v>
      </c>
      <c r="N670" s="11" t="s">
        <v>50</v>
      </c>
      <c r="O670" s="11" t="s">
        <v>50</v>
      </c>
      <c r="P670" s="11" t="s">
        <v>51</v>
      </c>
      <c r="Q670" s="50" t="s">
        <v>461</v>
      </c>
      <c r="R670" s="47">
        <v>16</v>
      </c>
      <c r="S670" s="48">
        <v>134.75</v>
      </c>
      <c r="T670" s="52">
        <v>19.510000000000002</v>
      </c>
      <c r="U670" s="47">
        <v>16</v>
      </c>
      <c r="V670" s="47">
        <v>128.32</v>
      </c>
      <c r="W670" s="48">
        <v>20.91</v>
      </c>
      <c r="X670" s="130">
        <f t="shared" ref="X670:X720" si="116">V670-S670</f>
        <v>-6.4300000000000068</v>
      </c>
      <c r="Y670" s="16">
        <f t="shared" si="110"/>
        <v>5.0615838677236207</v>
      </c>
      <c r="Z670" s="286" t="s">
        <v>53</v>
      </c>
      <c r="AA670" s="286" t="s">
        <v>53</v>
      </c>
      <c r="AB670" s="16">
        <v>5.0615838677236207</v>
      </c>
      <c r="AC670" s="66" t="s">
        <v>49</v>
      </c>
      <c r="AD670" s="51" t="s">
        <v>549</v>
      </c>
      <c r="AE670" s="13">
        <v>8</v>
      </c>
      <c r="AF670" s="13">
        <v>0</v>
      </c>
      <c r="AG670" s="13">
        <v>0</v>
      </c>
      <c r="AH670" s="134">
        <v>0</v>
      </c>
      <c r="AI670" s="134">
        <v>0</v>
      </c>
      <c r="AJ670" s="135">
        <f t="shared" ref="AJ670:AJ720" si="117">AI670*AG670</f>
        <v>0</v>
      </c>
      <c r="AK670" s="45">
        <f t="shared" si="115"/>
        <v>0</v>
      </c>
      <c r="AL670" s="136" t="str" cm="1">
        <f t="array" ref="AL670">_xlfn.IFS(
AI670&lt;3,"Ligera",
AI670&lt;=6,"Moderada",
AI670&gt;6,"Vigorosa"
)</f>
        <v>Ligera</v>
      </c>
      <c r="AM670" s="45" t="s">
        <v>49</v>
      </c>
      <c r="AN670" s="46" t="s">
        <v>49</v>
      </c>
      <c r="AO670" s="46" t="s">
        <v>49</v>
      </c>
      <c r="AP670" s="46" t="s">
        <v>49</v>
      </c>
      <c r="AQ670" s="139">
        <v>0</v>
      </c>
    </row>
    <row r="671" spans="1:43" ht="78.75" customHeight="1" thickBot="1">
      <c r="A671" s="138" t="s">
        <v>548</v>
      </c>
      <c r="B671" s="12">
        <v>66</v>
      </c>
      <c r="C671" s="12">
        <v>84.5</v>
      </c>
      <c r="D671" s="12" t="s">
        <v>47</v>
      </c>
      <c r="E671" s="12" t="s">
        <v>45</v>
      </c>
      <c r="F671" s="12" t="s">
        <v>45</v>
      </c>
      <c r="G671" s="12" t="s">
        <v>223</v>
      </c>
      <c r="H671" s="12"/>
      <c r="I671" s="12" t="s">
        <v>145</v>
      </c>
      <c r="J671" s="12" t="s">
        <v>47</v>
      </c>
      <c r="K671" s="12" t="s">
        <v>48</v>
      </c>
      <c r="L671" s="12" t="s">
        <v>49</v>
      </c>
      <c r="M671" s="11" t="s">
        <v>56</v>
      </c>
      <c r="N671" s="11" t="s">
        <v>57</v>
      </c>
      <c r="O671" s="11" t="s">
        <v>126</v>
      </c>
      <c r="P671" s="11" t="s">
        <v>51</v>
      </c>
      <c r="Q671" s="50" t="s">
        <v>461</v>
      </c>
      <c r="R671" s="47">
        <v>16</v>
      </c>
      <c r="S671" s="48">
        <v>123.43</v>
      </c>
      <c r="T671" s="52">
        <v>37.020000000000003</v>
      </c>
      <c r="U671" s="47">
        <v>16</v>
      </c>
      <c r="V671" s="47">
        <v>154.5</v>
      </c>
      <c r="W671" s="48">
        <v>46.17</v>
      </c>
      <c r="X671" s="130">
        <f t="shared" si="116"/>
        <v>31.069999999999993</v>
      </c>
      <c r="Y671" s="16">
        <f t="shared" ref="Y671:Y721" si="118">SQRT((T671^2+W671^2-(2*0.5*T671*W671)))/SQRT(U671)</f>
        <v>10.585768453447297</v>
      </c>
      <c r="Z671" s="15">
        <f t="shared" si="112"/>
        <v>37.5</v>
      </c>
      <c r="AA671" s="16">
        <f t="shared" si="113"/>
        <v>1284.4485</v>
      </c>
      <c r="AB671" s="16">
        <f t="shared" si="114"/>
        <v>12.671071876522522</v>
      </c>
      <c r="AC671" s="66" t="s">
        <v>49</v>
      </c>
      <c r="AD671" s="51" t="s">
        <v>550</v>
      </c>
      <c r="AE671" s="13">
        <v>8</v>
      </c>
      <c r="AF671" s="13">
        <v>3</v>
      </c>
      <c r="AG671" s="13">
        <v>40</v>
      </c>
      <c r="AH671" s="134" t="s">
        <v>551</v>
      </c>
      <c r="AI671" s="134">
        <v>3.4</v>
      </c>
      <c r="AJ671" s="135">
        <f t="shared" si="117"/>
        <v>136</v>
      </c>
      <c r="AK671" s="45">
        <f t="shared" si="115"/>
        <v>408</v>
      </c>
      <c r="AL671" s="136" t="str" cm="1">
        <f t="array" ref="AL671">_xlfn.IFS(
AI671&lt;3,"Ligera",
AI671&lt;=6,"Moderada",
AI671&gt;6,"Vigorosa"
)</f>
        <v>Moderada</v>
      </c>
      <c r="AM671" s="45" t="s">
        <v>49</v>
      </c>
      <c r="AN671" s="46" t="s">
        <v>49</v>
      </c>
      <c r="AO671" s="46" t="s">
        <v>61</v>
      </c>
      <c r="AP671" s="289" t="s">
        <v>155</v>
      </c>
      <c r="AQ671" s="139">
        <v>0</v>
      </c>
    </row>
    <row r="672" spans="1:43" ht="78.75" customHeight="1" thickBot="1">
      <c r="A672" s="138" t="s">
        <v>548</v>
      </c>
      <c r="B672" s="12">
        <v>66</v>
      </c>
      <c r="C672" s="12">
        <v>84.18</v>
      </c>
      <c r="D672" s="12" t="s">
        <v>47</v>
      </c>
      <c r="E672" s="12" t="s">
        <v>45</v>
      </c>
      <c r="F672" s="12" t="s">
        <v>45</v>
      </c>
      <c r="G672" s="12" t="s">
        <v>223</v>
      </c>
      <c r="H672" s="12"/>
      <c r="I672" s="12" t="s">
        <v>145</v>
      </c>
      <c r="J672" s="12" t="s">
        <v>47</v>
      </c>
      <c r="K672" s="12" t="s">
        <v>48</v>
      </c>
      <c r="L672" s="12" t="s">
        <v>49</v>
      </c>
      <c r="M672" s="11" t="s">
        <v>56</v>
      </c>
      <c r="N672" s="11" t="s">
        <v>57</v>
      </c>
      <c r="O672" s="11" t="s">
        <v>126</v>
      </c>
      <c r="P672" s="11" t="s">
        <v>51</v>
      </c>
      <c r="Q672" s="50" t="s">
        <v>461</v>
      </c>
      <c r="R672" s="47">
        <v>16</v>
      </c>
      <c r="S672" s="48">
        <v>127.28</v>
      </c>
      <c r="T672" s="52">
        <v>26.39</v>
      </c>
      <c r="U672" s="47">
        <v>16</v>
      </c>
      <c r="V672" s="47">
        <v>167.68</v>
      </c>
      <c r="W672" s="48">
        <v>29.62</v>
      </c>
      <c r="X672" s="130">
        <f t="shared" si="116"/>
        <v>40.400000000000006</v>
      </c>
      <c r="Y672" s="16">
        <f t="shared" si="118"/>
        <v>7.0360886684293567</v>
      </c>
      <c r="Z672" s="15">
        <f>X672-X670</f>
        <v>46.830000000000013</v>
      </c>
      <c r="AA672" s="16" t="e">
        <f>((U672-1)*W672^2+(#REF!-1)*W670^2)/((U672-1)+(U670-1))</f>
        <v>#REF!</v>
      </c>
      <c r="AB672" s="16" t="e">
        <f>SQRT(AA672*((1/U672)+(1/U670)))</f>
        <v>#REF!</v>
      </c>
      <c r="AC672" s="66" t="s">
        <v>49</v>
      </c>
      <c r="AD672" s="51" t="s">
        <v>553</v>
      </c>
      <c r="AE672" s="13">
        <v>8</v>
      </c>
      <c r="AF672" s="13">
        <v>3</v>
      </c>
      <c r="AG672" s="13">
        <v>40</v>
      </c>
      <c r="AH672" s="134" t="s">
        <v>551</v>
      </c>
      <c r="AI672" s="134">
        <v>3.4</v>
      </c>
      <c r="AJ672" s="135">
        <f t="shared" si="117"/>
        <v>136</v>
      </c>
      <c r="AK672" s="45">
        <f t="shared" si="115"/>
        <v>408</v>
      </c>
      <c r="AL672" s="136" t="str" cm="1">
        <f t="array" ref="AL672">_xlfn.IFS(
AI672&lt;3,"Ligera",
AI672&lt;=6,"Moderada",
AI672&gt;6,"Vigorosa"
)</f>
        <v>Moderada</v>
      </c>
      <c r="AM672" s="45" t="s">
        <v>49</v>
      </c>
      <c r="AN672" s="46" t="s">
        <v>49</v>
      </c>
      <c r="AO672" s="46" t="s">
        <v>61</v>
      </c>
      <c r="AP672" s="289" t="s">
        <v>155</v>
      </c>
      <c r="AQ672" s="139">
        <v>0</v>
      </c>
    </row>
    <row r="673" spans="1:64" ht="78.75" customHeight="1" thickBot="1">
      <c r="A673" s="138" t="s">
        <v>548</v>
      </c>
      <c r="B673" s="12">
        <v>66</v>
      </c>
      <c r="C673" s="12">
        <v>85.37</v>
      </c>
      <c r="D673" s="12" t="s">
        <v>47</v>
      </c>
      <c r="E673" s="12" t="s">
        <v>45</v>
      </c>
      <c r="F673" s="12" t="s">
        <v>45</v>
      </c>
      <c r="G673" s="12" t="s">
        <v>223</v>
      </c>
      <c r="H673" s="12"/>
      <c r="I673" s="12" t="s">
        <v>145</v>
      </c>
      <c r="J673" s="12" t="s">
        <v>47</v>
      </c>
      <c r="K673" s="12" t="s">
        <v>48</v>
      </c>
      <c r="L673" s="12" t="s">
        <v>49</v>
      </c>
      <c r="M673" s="11" t="s">
        <v>50</v>
      </c>
      <c r="N673" s="11" t="s">
        <v>50</v>
      </c>
      <c r="O673" s="11" t="s">
        <v>50</v>
      </c>
      <c r="P673" s="11" t="s">
        <v>51</v>
      </c>
      <c r="Q673" s="50" t="s">
        <v>91</v>
      </c>
      <c r="R673" s="47">
        <v>16</v>
      </c>
      <c r="S673" s="86">
        <v>4.5</v>
      </c>
      <c r="T673" s="87">
        <v>1.5</v>
      </c>
      <c r="U673" s="47">
        <v>16</v>
      </c>
      <c r="V673" s="88">
        <v>4</v>
      </c>
      <c r="W673" s="86">
        <v>1.5</v>
      </c>
      <c r="X673" s="130">
        <f t="shared" si="116"/>
        <v>-0.5</v>
      </c>
      <c r="Y673" s="16">
        <f t="shared" si="118"/>
        <v>0.375</v>
      </c>
      <c r="Z673" s="286" t="s">
        <v>53</v>
      </c>
      <c r="AA673" s="286" t="s">
        <v>53</v>
      </c>
      <c r="AB673" s="16">
        <v>0.375</v>
      </c>
      <c r="AC673" s="66" t="s">
        <v>49</v>
      </c>
      <c r="AD673" s="51" t="s">
        <v>549</v>
      </c>
      <c r="AE673" s="13">
        <v>8</v>
      </c>
      <c r="AF673" s="13">
        <v>0</v>
      </c>
      <c r="AG673" s="13">
        <v>0</v>
      </c>
      <c r="AH673" s="134">
        <v>0</v>
      </c>
      <c r="AI673" s="134">
        <v>0</v>
      </c>
      <c r="AJ673" s="135">
        <f t="shared" si="117"/>
        <v>0</v>
      </c>
      <c r="AK673" s="45">
        <f t="shared" si="115"/>
        <v>0</v>
      </c>
      <c r="AL673" s="136" t="str" cm="1">
        <f t="array" ref="AL673">_xlfn.IFS(
AI673&lt;3,"Ligera",
AI673&lt;=6,"Moderada",
AI673&gt;6,"Vigorosa"
)</f>
        <v>Ligera</v>
      </c>
      <c r="AM673" s="45" t="s">
        <v>49</v>
      </c>
      <c r="AN673" s="46" t="s">
        <v>49</v>
      </c>
      <c r="AO673" s="46" t="s">
        <v>49</v>
      </c>
      <c r="AP673" s="46" t="s">
        <v>49</v>
      </c>
      <c r="AQ673" s="139">
        <v>0</v>
      </c>
      <c r="AS673" s="89" t="s">
        <v>554</v>
      </c>
    </row>
    <row r="674" spans="1:64" ht="78.75" customHeight="1" thickBot="1">
      <c r="A674" s="138" t="s">
        <v>548</v>
      </c>
      <c r="B674" s="12">
        <v>66</v>
      </c>
      <c r="C674" s="12">
        <v>84.5</v>
      </c>
      <c r="D674" s="12" t="s">
        <v>47</v>
      </c>
      <c r="E674" s="12" t="s">
        <v>45</v>
      </c>
      <c r="F674" s="12" t="s">
        <v>45</v>
      </c>
      <c r="G674" s="12" t="s">
        <v>223</v>
      </c>
      <c r="H674" s="12"/>
      <c r="I674" s="12" t="s">
        <v>145</v>
      </c>
      <c r="J674" s="12" t="s">
        <v>47</v>
      </c>
      <c r="K674" s="12" t="s">
        <v>48</v>
      </c>
      <c r="L674" s="12" t="s">
        <v>49</v>
      </c>
      <c r="M674" s="11" t="s">
        <v>56</v>
      </c>
      <c r="N674" s="11" t="s">
        <v>57</v>
      </c>
      <c r="O674" s="11" t="s">
        <v>126</v>
      </c>
      <c r="P674" s="11" t="s">
        <v>51</v>
      </c>
      <c r="Q674" s="50" t="s">
        <v>91</v>
      </c>
      <c r="R674" s="47">
        <v>16</v>
      </c>
      <c r="S674" s="86">
        <v>3.5</v>
      </c>
      <c r="T674" s="87">
        <v>1</v>
      </c>
      <c r="U674" s="47">
        <v>16</v>
      </c>
      <c r="V674" s="88">
        <v>7</v>
      </c>
      <c r="W674" s="86">
        <v>2</v>
      </c>
      <c r="X674" s="130">
        <f t="shared" si="116"/>
        <v>3.5</v>
      </c>
      <c r="Y674" s="16">
        <f t="shared" si="118"/>
        <v>0.4330127018922193</v>
      </c>
      <c r="Z674" s="15">
        <f t="shared" ref="Z674:Z722" si="119">X674-X673</f>
        <v>4</v>
      </c>
      <c r="AA674" s="16">
        <f t="shared" ref="AA674:AA722" si="120">((U674-1)*W674^2+(U673-1)*W673^2)/((U674-1)+(U673-1))</f>
        <v>3.125</v>
      </c>
      <c r="AB674" s="16">
        <f t="shared" ref="AB674:AB722" si="121">SQRT(AA674*((1/U674)+(1/U673)))</f>
        <v>0.625</v>
      </c>
      <c r="AC674" s="66" t="s">
        <v>49</v>
      </c>
      <c r="AD674" s="51" t="s">
        <v>550</v>
      </c>
      <c r="AE674" s="13">
        <v>8</v>
      </c>
      <c r="AF674" s="13">
        <v>3</v>
      </c>
      <c r="AG674" s="13">
        <v>40</v>
      </c>
      <c r="AH674" s="134" t="s">
        <v>551</v>
      </c>
      <c r="AI674" s="134">
        <v>3.4</v>
      </c>
      <c r="AJ674" s="135">
        <f t="shared" si="117"/>
        <v>136</v>
      </c>
      <c r="AK674" s="45">
        <f t="shared" si="115"/>
        <v>408</v>
      </c>
      <c r="AL674" s="136" t="str" cm="1">
        <f t="array" ref="AL674">_xlfn.IFS(
AI674&lt;3,"Ligera",
AI674&lt;=6,"Moderada",
AI674&gt;6,"Vigorosa"
)</f>
        <v>Moderada</v>
      </c>
      <c r="AM674" s="45" t="s">
        <v>49</v>
      </c>
      <c r="AN674" s="46" t="s">
        <v>49</v>
      </c>
      <c r="AO674" s="46" t="s">
        <v>61</v>
      </c>
      <c r="AP674" s="289" t="s">
        <v>155</v>
      </c>
      <c r="AQ674" s="139">
        <v>0</v>
      </c>
      <c r="AS674" s="89" t="s">
        <v>554</v>
      </c>
    </row>
    <row r="675" spans="1:64" ht="78.75" customHeight="1" thickBot="1">
      <c r="A675" s="138" t="s">
        <v>548</v>
      </c>
      <c r="B675" s="12">
        <v>66</v>
      </c>
      <c r="C675" s="12">
        <v>84.18</v>
      </c>
      <c r="D675" s="12" t="s">
        <v>47</v>
      </c>
      <c r="E675" s="12" t="s">
        <v>45</v>
      </c>
      <c r="F675" s="12" t="s">
        <v>45</v>
      </c>
      <c r="G675" s="12" t="s">
        <v>223</v>
      </c>
      <c r="H675" s="12"/>
      <c r="I675" s="12" t="s">
        <v>145</v>
      </c>
      <c r="J675" s="12" t="s">
        <v>47</v>
      </c>
      <c r="K675" s="12" t="s">
        <v>48</v>
      </c>
      <c r="L675" s="12" t="s">
        <v>49</v>
      </c>
      <c r="M675" s="11" t="s">
        <v>56</v>
      </c>
      <c r="N675" s="11" t="s">
        <v>57</v>
      </c>
      <c r="O675" s="11" t="s">
        <v>126</v>
      </c>
      <c r="P675" s="11" t="s">
        <v>51</v>
      </c>
      <c r="Q675" s="50" t="s">
        <v>91</v>
      </c>
      <c r="R675" s="47">
        <v>16</v>
      </c>
      <c r="S675" s="86">
        <v>4</v>
      </c>
      <c r="T675" s="87">
        <v>1.25</v>
      </c>
      <c r="U675" s="47">
        <v>16</v>
      </c>
      <c r="V675" s="88">
        <v>8</v>
      </c>
      <c r="W675" s="86">
        <v>2</v>
      </c>
      <c r="X675" s="130">
        <f t="shared" si="116"/>
        <v>4</v>
      </c>
      <c r="Y675" s="16">
        <f t="shared" si="118"/>
        <v>0.4375</v>
      </c>
      <c r="Z675" s="15">
        <f>X675-X673</f>
        <v>4.5</v>
      </c>
      <c r="AA675" s="16">
        <f>((U675-1)*W675^2+(U673-1)*W673^2)/((U675-1)+(U673-1))</f>
        <v>3.125</v>
      </c>
      <c r="AB675" s="16">
        <f>SQRT(AA675*((1/U675)+(1/U673)))</f>
        <v>0.625</v>
      </c>
      <c r="AC675" s="66" t="s">
        <v>49</v>
      </c>
      <c r="AD675" s="51" t="s">
        <v>553</v>
      </c>
      <c r="AE675" s="13">
        <v>8</v>
      </c>
      <c r="AF675" s="13">
        <v>3</v>
      </c>
      <c r="AG675" s="13">
        <v>40</v>
      </c>
      <c r="AH675" s="134" t="s">
        <v>551</v>
      </c>
      <c r="AI675" s="134">
        <v>3.4</v>
      </c>
      <c r="AJ675" s="135">
        <f t="shared" si="117"/>
        <v>136</v>
      </c>
      <c r="AK675" s="45">
        <f t="shared" si="115"/>
        <v>408</v>
      </c>
      <c r="AL675" s="136" t="str" cm="1">
        <f t="array" ref="AL675">_xlfn.IFS(
AI675&lt;3,"Ligera",
AI675&lt;=6,"Moderada",
AI675&gt;6,"Vigorosa"
)</f>
        <v>Moderada</v>
      </c>
      <c r="AM675" s="45" t="s">
        <v>49</v>
      </c>
      <c r="AN675" s="46" t="s">
        <v>49</v>
      </c>
      <c r="AO675" s="46" t="s">
        <v>61</v>
      </c>
      <c r="AP675" s="289" t="s">
        <v>155</v>
      </c>
      <c r="AQ675" s="139">
        <v>0</v>
      </c>
      <c r="AS675" s="89" t="s">
        <v>554</v>
      </c>
    </row>
    <row r="676" spans="1:64" ht="78.75" customHeight="1" thickBot="1">
      <c r="A676" s="203" t="s">
        <v>555</v>
      </c>
      <c r="B676" s="204">
        <v>33</v>
      </c>
      <c r="C676" s="204">
        <v>85.4</v>
      </c>
      <c r="D676" s="204">
        <v>45.5</v>
      </c>
      <c r="E676" s="204" t="s">
        <v>45</v>
      </c>
      <c r="F676" s="204" t="s">
        <v>45</v>
      </c>
      <c r="G676" s="204" t="s">
        <v>236</v>
      </c>
      <c r="H676" s="204"/>
      <c r="I676" s="204" t="s">
        <v>145</v>
      </c>
      <c r="J676" s="204">
        <v>8.8000000000000007</v>
      </c>
      <c r="K676" s="204" t="s">
        <v>48</v>
      </c>
      <c r="L676" s="204" t="s">
        <v>48</v>
      </c>
      <c r="M676" s="205" t="s">
        <v>50</v>
      </c>
      <c r="N676" s="205" t="s">
        <v>50</v>
      </c>
      <c r="O676" s="205" t="s">
        <v>50</v>
      </c>
      <c r="P676" s="205" t="s">
        <v>94</v>
      </c>
      <c r="Q676" s="159" t="s">
        <v>119</v>
      </c>
      <c r="R676" s="206">
        <v>11</v>
      </c>
      <c r="S676" s="168">
        <v>25.2</v>
      </c>
      <c r="T676" s="179">
        <v>2.7</v>
      </c>
      <c r="U676" s="206">
        <v>11</v>
      </c>
      <c r="V676" s="206" t="s">
        <v>47</v>
      </c>
      <c r="W676" s="168" t="s">
        <v>47</v>
      </c>
      <c r="X676" s="130"/>
      <c r="Y676" s="16"/>
      <c r="Z676" s="286"/>
      <c r="AA676" s="286"/>
      <c r="AB676" s="16"/>
      <c r="AC676" s="66" t="s">
        <v>49</v>
      </c>
      <c r="AD676" s="133" t="s">
        <v>556</v>
      </c>
      <c r="AE676" s="207">
        <v>14</v>
      </c>
      <c r="AF676" s="207">
        <v>0</v>
      </c>
      <c r="AG676" s="207">
        <v>0</v>
      </c>
      <c r="AH676" s="134">
        <v>0</v>
      </c>
      <c r="AI676" s="134">
        <v>0</v>
      </c>
      <c r="AJ676" s="135">
        <f t="shared" si="117"/>
        <v>0</v>
      </c>
      <c r="AK676" s="45">
        <f t="shared" si="115"/>
        <v>0</v>
      </c>
      <c r="AL676" s="136" t="str" cm="1">
        <f t="array" ref="AL676">_xlfn.IFS(
AI676&lt;3,"Ligera",
AI676&lt;=6,"Moderada",
AI676&gt;6,"Vigorosa"
)</f>
        <v>Ligera</v>
      </c>
      <c r="AM676" s="136" t="s">
        <v>49</v>
      </c>
      <c r="AN676" s="135" t="s">
        <v>49</v>
      </c>
      <c r="AO676" s="136" t="s">
        <v>49</v>
      </c>
      <c r="AP676" s="136" t="s">
        <v>49</v>
      </c>
      <c r="AQ676" s="208">
        <v>0</v>
      </c>
      <c r="AR676" s="76"/>
      <c r="AS676" s="76"/>
      <c r="AT676" s="76"/>
      <c r="AU676" s="76"/>
      <c r="AV676" s="76"/>
      <c r="AW676" s="76"/>
      <c r="AX676" s="76"/>
      <c r="AY676" s="76"/>
      <c r="AZ676" s="76"/>
      <c r="BA676" s="76"/>
      <c r="BB676" s="76"/>
      <c r="BC676" s="76"/>
      <c r="BD676" s="76"/>
      <c r="BE676" s="76"/>
      <c r="BF676" s="76"/>
      <c r="BG676" s="76"/>
      <c r="BH676" s="76"/>
      <c r="BI676" s="76"/>
      <c r="BJ676" s="76"/>
      <c r="BK676" s="76"/>
      <c r="BL676" s="76"/>
    </row>
    <row r="677" spans="1:64" ht="78.75" customHeight="1" thickBot="1">
      <c r="A677" s="209" t="s">
        <v>555</v>
      </c>
      <c r="B677" s="90">
        <v>33</v>
      </c>
      <c r="C677" s="90">
        <v>81.099999999999994</v>
      </c>
      <c r="D677" s="90">
        <v>27.3</v>
      </c>
      <c r="E677" s="90" t="s">
        <v>45</v>
      </c>
      <c r="F677" s="90" t="s">
        <v>45</v>
      </c>
      <c r="G677" s="90" t="s">
        <v>236</v>
      </c>
      <c r="H677" s="90"/>
      <c r="I677" s="90" t="s">
        <v>145</v>
      </c>
      <c r="J677" s="90">
        <v>10.9</v>
      </c>
      <c r="K677" s="90" t="s">
        <v>48</v>
      </c>
      <c r="L677" s="90" t="s">
        <v>48</v>
      </c>
      <c r="M677" s="91" t="s">
        <v>56</v>
      </c>
      <c r="N677" s="91" t="s">
        <v>410</v>
      </c>
      <c r="O677" s="50" t="s">
        <v>411</v>
      </c>
      <c r="P677" s="91" t="s">
        <v>94</v>
      </c>
      <c r="Q677" s="50" t="s">
        <v>119</v>
      </c>
      <c r="R677" s="92">
        <v>11</v>
      </c>
      <c r="S677" s="48">
        <v>25.7</v>
      </c>
      <c r="T677" s="52">
        <v>2.5</v>
      </c>
      <c r="U677" s="92">
        <v>11</v>
      </c>
      <c r="V677" s="92" t="s">
        <v>47</v>
      </c>
      <c r="W677" s="48" t="s">
        <v>47</v>
      </c>
      <c r="X677" s="130"/>
      <c r="Y677" s="16"/>
      <c r="Z677" s="15"/>
      <c r="AA677" s="16"/>
      <c r="AB677" s="16"/>
      <c r="AC677" s="66" t="s">
        <v>49</v>
      </c>
      <c r="AD677" s="51" t="s">
        <v>557</v>
      </c>
      <c r="AE677" s="93">
        <v>14</v>
      </c>
      <c r="AF677" s="93">
        <v>2</v>
      </c>
      <c r="AG677" s="93">
        <v>30</v>
      </c>
      <c r="AH677" s="134">
        <v>221060</v>
      </c>
      <c r="AI677" s="134">
        <v>3.8</v>
      </c>
      <c r="AJ677" s="135">
        <f t="shared" si="117"/>
        <v>114</v>
      </c>
      <c r="AK677" s="45">
        <f t="shared" ref="AK677:AK729" si="122">AJ677*AF677</f>
        <v>228</v>
      </c>
      <c r="AL677" s="136" t="str" cm="1">
        <f t="array" ref="AL677">_xlfn.IFS(
AI677&lt;3,"Ligera",
AI677&lt;=6,"Moderada",
AI677&gt;6,"Vigorosa"
)</f>
        <v>Moderada</v>
      </c>
      <c r="AM677" s="45" t="s">
        <v>48</v>
      </c>
      <c r="AN677" s="46" t="s">
        <v>60</v>
      </c>
      <c r="AO677" s="46" t="s">
        <v>61</v>
      </c>
      <c r="AP677" s="289" t="s">
        <v>173</v>
      </c>
      <c r="AQ677" s="210">
        <v>0</v>
      </c>
      <c r="AR677" s="76"/>
      <c r="AS677" s="76"/>
      <c r="AT677" s="76"/>
      <c r="AU677" s="76"/>
      <c r="AV677" s="76"/>
      <c r="AW677" s="76"/>
      <c r="AX677" s="76"/>
      <c r="AY677" s="76"/>
      <c r="AZ677" s="76"/>
      <c r="BA677" s="76"/>
      <c r="BB677" s="76"/>
      <c r="BC677" s="76"/>
      <c r="BD677" s="76"/>
      <c r="BE677" s="76"/>
      <c r="BF677" s="76"/>
      <c r="BG677" s="76"/>
      <c r="BH677" s="76"/>
      <c r="BI677" s="76"/>
      <c r="BJ677" s="76"/>
      <c r="BK677" s="76"/>
      <c r="BL677" s="76"/>
    </row>
    <row r="678" spans="1:64" ht="78.75" customHeight="1" thickBot="1">
      <c r="A678" s="209" t="s">
        <v>555</v>
      </c>
      <c r="B678" s="90">
        <v>33</v>
      </c>
      <c r="C678" s="90">
        <v>84.9</v>
      </c>
      <c r="D678" s="90">
        <v>9.1</v>
      </c>
      <c r="E678" s="90" t="s">
        <v>45</v>
      </c>
      <c r="F678" s="90" t="s">
        <v>45</v>
      </c>
      <c r="G678" s="90" t="s">
        <v>236</v>
      </c>
      <c r="H678" s="90"/>
      <c r="I678" s="90" t="s">
        <v>145</v>
      </c>
      <c r="J678" s="90">
        <v>11.2</v>
      </c>
      <c r="K678" s="90" t="s">
        <v>48</v>
      </c>
      <c r="L678" s="90" t="s">
        <v>48</v>
      </c>
      <c r="M678" s="91" t="s">
        <v>56</v>
      </c>
      <c r="N678" s="91" t="s">
        <v>410</v>
      </c>
      <c r="O678" s="50" t="s">
        <v>468</v>
      </c>
      <c r="P678" s="91" t="s">
        <v>94</v>
      </c>
      <c r="Q678" s="50" t="s">
        <v>119</v>
      </c>
      <c r="R678" s="92">
        <v>11</v>
      </c>
      <c r="S678" s="48">
        <v>27</v>
      </c>
      <c r="T678" s="52">
        <v>2.4</v>
      </c>
      <c r="U678" s="92">
        <v>11</v>
      </c>
      <c r="V678" s="92" t="s">
        <v>47</v>
      </c>
      <c r="W678" s="48" t="s">
        <v>47</v>
      </c>
      <c r="X678" s="130"/>
      <c r="Y678" s="16"/>
      <c r="Z678" s="15"/>
      <c r="AA678" s="16"/>
      <c r="AB678" s="16"/>
      <c r="AC678" s="66" t="s">
        <v>49</v>
      </c>
      <c r="AD678" s="51" t="s">
        <v>558</v>
      </c>
      <c r="AE678" s="93">
        <v>14</v>
      </c>
      <c r="AF678" s="93">
        <v>2</v>
      </c>
      <c r="AG678" s="93">
        <v>30</v>
      </c>
      <c r="AH678" s="134">
        <v>219060</v>
      </c>
      <c r="AI678" s="134">
        <v>2.5</v>
      </c>
      <c r="AJ678" s="135">
        <f t="shared" si="117"/>
        <v>75</v>
      </c>
      <c r="AK678" s="45">
        <f t="shared" si="122"/>
        <v>150</v>
      </c>
      <c r="AL678" s="136" t="str" cm="1">
        <f t="array" ref="AL678">_xlfn.IFS(
AI678&lt;3,"Ligera",
AI678&lt;=6,"Moderada",
AI678&gt;6,"Vigorosa"
)</f>
        <v>Ligera</v>
      </c>
      <c r="AM678" s="45" t="s">
        <v>48</v>
      </c>
      <c r="AN678" s="46" t="s">
        <v>60</v>
      </c>
      <c r="AO678" s="46" t="s">
        <v>61</v>
      </c>
      <c r="AP678" s="289" t="s">
        <v>173</v>
      </c>
      <c r="AQ678" s="210">
        <v>0</v>
      </c>
      <c r="AR678" s="76"/>
      <c r="AS678" s="76"/>
      <c r="AT678" s="76"/>
      <c r="AU678" s="76"/>
      <c r="AV678" s="76"/>
      <c r="AW678" s="76"/>
      <c r="AX678" s="76"/>
      <c r="AY678" s="76"/>
      <c r="AZ678" s="76"/>
      <c r="BA678" s="76"/>
      <c r="BB678" s="76"/>
      <c r="BC678" s="76"/>
      <c r="BD678" s="76"/>
      <c r="BE678" s="76"/>
      <c r="BF678" s="76"/>
      <c r="BG678" s="76"/>
      <c r="BH678" s="76"/>
      <c r="BI678" s="76"/>
      <c r="BJ678" s="76"/>
      <c r="BK678" s="76"/>
      <c r="BL678" s="76"/>
    </row>
    <row r="679" spans="1:64" ht="78.75" customHeight="1" thickBot="1">
      <c r="A679" s="209" t="s">
        <v>555</v>
      </c>
      <c r="B679" s="90">
        <v>33</v>
      </c>
      <c r="C679" s="90">
        <v>85.4</v>
      </c>
      <c r="D679" s="90">
        <v>45.5</v>
      </c>
      <c r="E679" s="90" t="s">
        <v>45</v>
      </c>
      <c r="F679" s="90" t="s">
        <v>45</v>
      </c>
      <c r="G679" s="90" t="s">
        <v>236</v>
      </c>
      <c r="H679" s="90"/>
      <c r="I679" s="90" t="s">
        <v>145</v>
      </c>
      <c r="J679" s="90">
        <v>8.8000000000000007</v>
      </c>
      <c r="K679" s="90" t="s">
        <v>48</v>
      </c>
      <c r="L679" s="90" t="s">
        <v>48</v>
      </c>
      <c r="M679" s="91" t="s">
        <v>50</v>
      </c>
      <c r="N679" s="91" t="s">
        <v>50</v>
      </c>
      <c r="O679" s="91" t="s">
        <v>50</v>
      </c>
      <c r="P679" s="11" t="s">
        <v>86</v>
      </c>
      <c r="Q679" s="50" t="s">
        <v>87</v>
      </c>
      <c r="R679" s="92">
        <v>11</v>
      </c>
      <c r="S679" s="48">
        <v>31.7</v>
      </c>
      <c r="T679" s="52">
        <v>9</v>
      </c>
      <c r="U679" s="92">
        <v>10</v>
      </c>
      <c r="V679" s="92">
        <v>29.6</v>
      </c>
      <c r="W679" s="48">
        <v>14.3</v>
      </c>
      <c r="X679" s="130">
        <f t="shared" si="116"/>
        <v>-2.0999999999999979</v>
      </c>
      <c r="Y679" s="16">
        <f t="shared" si="118"/>
        <v>3.959671703563314</v>
      </c>
      <c r="Z679" s="286" t="s">
        <v>53</v>
      </c>
      <c r="AA679" s="286" t="s">
        <v>53</v>
      </c>
      <c r="AB679" s="16">
        <v>3.959671703563314</v>
      </c>
      <c r="AC679" s="66" t="s">
        <v>49</v>
      </c>
      <c r="AD679" s="51" t="s">
        <v>556</v>
      </c>
      <c r="AE679" s="93">
        <v>14</v>
      </c>
      <c r="AF679" s="93">
        <v>0</v>
      </c>
      <c r="AG679" s="93">
        <v>0</v>
      </c>
      <c r="AH679" s="134">
        <v>0</v>
      </c>
      <c r="AI679" s="134">
        <v>0</v>
      </c>
      <c r="AJ679" s="135">
        <f t="shared" si="117"/>
        <v>0</v>
      </c>
      <c r="AK679" s="45">
        <f t="shared" si="122"/>
        <v>0</v>
      </c>
      <c r="AL679" s="136" t="str" cm="1">
        <f t="array" ref="AL679">_xlfn.IFS(
AI679&lt;3,"Ligera",
AI679&lt;=6,"Moderada",
AI679&gt;6,"Vigorosa"
)</f>
        <v>Ligera</v>
      </c>
      <c r="AM679" s="45" t="s">
        <v>49</v>
      </c>
      <c r="AN679" s="46" t="s">
        <v>49</v>
      </c>
      <c r="AO679" s="45" t="s">
        <v>49</v>
      </c>
      <c r="AP679" s="45" t="s">
        <v>49</v>
      </c>
      <c r="AQ679" s="210">
        <v>0</v>
      </c>
      <c r="AR679" s="76"/>
      <c r="AS679" s="76"/>
      <c r="AT679" s="76"/>
      <c r="AU679" s="76"/>
      <c r="AV679" s="76"/>
      <c r="AW679" s="76"/>
      <c r="AX679" s="76"/>
      <c r="AY679" s="76"/>
      <c r="AZ679" s="76"/>
      <c r="BA679" s="76"/>
      <c r="BB679" s="76"/>
      <c r="BC679" s="76"/>
      <c r="BD679" s="76"/>
      <c r="BE679" s="76"/>
      <c r="BF679" s="76"/>
      <c r="BG679" s="76"/>
      <c r="BH679" s="76"/>
      <c r="BI679" s="76"/>
      <c r="BJ679" s="76"/>
      <c r="BK679" s="76"/>
      <c r="BL679" s="76"/>
    </row>
    <row r="680" spans="1:64" ht="78.75" customHeight="1" thickBot="1">
      <c r="A680" s="209" t="s">
        <v>555</v>
      </c>
      <c r="B680" s="90">
        <v>33</v>
      </c>
      <c r="C680" s="90">
        <v>81.099999999999994</v>
      </c>
      <c r="D680" s="90">
        <v>27.3</v>
      </c>
      <c r="E680" s="90" t="s">
        <v>45</v>
      </c>
      <c r="F680" s="90" t="s">
        <v>45</v>
      </c>
      <c r="G680" s="90" t="s">
        <v>236</v>
      </c>
      <c r="H680" s="90"/>
      <c r="I680" s="90" t="s">
        <v>145</v>
      </c>
      <c r="J680" s="90">
        <v>10.9</v>
      </c>
      <c r="K680" s="90" t="s">
        <v>48</v>
      </c>
      <c r="L680" s="90" t="s">
        <v>48</v>
      </c>
      <c r="M680" s="91" t="s">
        <v>56</v>
      </c>
      <c r="N680" s="91" t="s">
        <v>410</v>
      </c>
      <c r="O680" s="50" t="s">
        <v>411</v>
      </c>
      <c r="P680" s="11" t="s">
        <v>86</v>
      </c>
      <c r="Q680" s="50" t="s">
        <v>87</v>
      </c>
      <c r="R680" s="92">
        <v>10</v>
      </c>
      <c r="S680" s="48">
        <v>32.700000000000003</v>
      </c>
      <c r="T680" s="52">
        <v>17.399999999999999</v>
      </c>
      <c r="U680" s="92">
        <v>8</v>
      </c>
      <c r="V680" s="92">
        <v>27.8</v>
      </c>
      <c r="W680" s="48">
        <v>22</v>
      </c>
      <c r="X680" s="130">
        <f t="shared" si="116"/>
        <v>-4.9000000000000021</v>
      </c>
      <c r="Y680" s="16">
        <f t="shared" si="118"/>
        <v>7.1059833942952606</v>
      </c>
      <c r="Z680" s="15">
        <f t="shared" si="119"/>
        <v>-2.8000000000000043</v>
      </c>
      <c r="AA680" s="16">
        <f t="shared" si="120"/>
        <v>326.77562499999999</v>
      </c>
      <c r="AB680" s="16">
        <f t="shared" si="121"/>
        <v>8.5746437608217878</v>
      </c>
      <c r="AC680" s="66" t="s">
        <v>49</v>
      </c>
      <c r="AD680" s="51" t="s">
        <v>559</v>
      </c>
      <c r="AE680" s="93">
        <v>14</v>
      </c>
      <c r="AF680" s="93">
        <v>2</v>
      </c>
      <c r="AG680" s="93">
        <v>30</v>
      </c>
      <c r="AH680" s="134">
        <v>221060</v>
      </c>
      <c r="AI680" s="134">
        <v>3.8</v>
      </c>
      <c r="AJ680" s="135">
        <f t="shared" si="117"/>
        <v>114</v>
      </c>
      <c r="AK680" s="45">
        <f t="shared" si="122"/>
        <v>228</v>
      </c>
      <c r="AL680" s="136" t="str" cm="1">
        <f t="array" ref="AL680">_xlfn.IFS(
AI680&lt;3,"Ligera",
AI680&lt;=6,"Moderada",
AI680&gt;6,"Vigorosa"
)</f>
        <v>Moderada</v>
      </c>
      <c r="AM680" s="45" t="s">
        <v>48</v>
      </c>
      <c r="AN680" s="46" t="s">
        <v>60</v>
      </c>
      <c r="AO680" s="46" t="s">
        <v>61</v>
      </c>
      <c r="AP680" s="289" t="s">
        <v>173</v>
      </c>
      <c r="AQ680" s="210">
        <v>0</v>
      </c>
      <c r="AR680" s="76"/>
      <c r="AS680" s="76"/>
      <c r="AT680" s="76"/>
      <c r="AU680" s="76"/>
      <c r="AV680" s="76"/>
      <c r="AW680" s="76"/>
      <c r="AX680" s="76"/>
      <c r="AY680" s="76"/>
      <c r="AZ680" s="76"/>
      <c r="BA680" s="76"/>
      <c r="BB680" s="76"/>
      <c r="BC680" s="76"/>
      <c r="BD680" s="76"/>
      <c r="BE680" s="76"/>
      <c r="BF680" s="76"/>
      <c r="BG680" s="76"/>
      <c r="BH680" s="76"/>
      <c r="BI680" s="76"/>
      <c r="BJ680" s="76"/>
      <c r="BK680" s="76"/>
      <c r="BL680" s="76"/>
    </row>
    <row r="681" spans="1:64" ht="78.75" customHeight="1" thickBot="1">
      <c r="A681" s="209" t="s">
        <v>555</v>
      </c>
      <c r="B681" s="90">
        <v>33</v>
      </c>
      <c r="C681" s="90">
        <v>84.9</v>
      </c>
      <c r="D681" s="90">
        <v>9.1</v>
      </c>
      <c r="E681" s="90" t="s">
        <v>45</v>
      </c>
      <c r="F681" s="90" t="s">
        <v>45</v>
      </c>
      <c r="G681" s="90" t="s">
        <v>236</v>
      </c>
      <c r="H681" s="90"/>
      <c r="I681" s="90" t="s">
        <v>145</v>
      </c>
      <c r="J681" s="90">
        <v>11.2</v>
      </c>
      <c r="K681" s="90" t="s">
        <v>48</v>
      </c>
      <c r="L681" s="90" t="s">
        <v>48</v>
      </c>
      <c r="M681" s="91" t="s">
        <v>56</v>
      </c>
      <c r="N681" s="91" t="s">
        <v>410</v>
      </c>
      <c r="O681" s="50" t="s">
        <v>468</v>
      </c>
      <c r="P681" s="11" t="s">
        <v>86</v>
      </c>
      <c r="Q681" s="50" t="s">
        <v>87</v>
      </c>
      <c r="R681" s="92">
        <v>8</v>
      </c>
      <c r="S681" s="48">
        <v>34</v>
      </c>
      <c r="T681" s="52">
        <v>16.3</v>
      </c>
      <c r="U681" s="92">
        <v>5</v>
      </c>
      <c r="V681" s="92">
        <v>42.8</v>
      </c>
      <c r="W681" s="48">
        <v>6.7</v>
      </c>
      <c r="X681" s="130">
        <f t="shared" si="116"/>
        <v>8.7999999999999972</v>
      </c>
      <c r="Y681" s="16">
        <f t="shared" si="118"/>
        <v>6.346179953326252</v>
      </c>
      <c r="Z681" s="15">
        <f>X681-X679</f>
        <v>10.899999999999995</v>
      </c>
      <c r="AA681" s="16">
        <f>((U681-1)*W681^2+(U679-1)*W679^2)/((U681-1)+(U679-1))</f>
        <v>155.38230769230771</v>
      </c>
      <c r="AB681" s="16">
        <f>SQRT(AA681*((1/U681)+(1/U679)))</f>
        <v>6.8274953172955248</v>
      </c>
      <c r="AC681" s="66" t="s">
        <v>49</v>
      </c>
      <c r="AD681" s="51" t="s">
        <v>558</v>
      </c>
      <c r="AE681" s="93">
        <v>14</v>
      </c>
      <c r="AF681" s="93">
        <v>2</v>
      </c>
      <c r="AG681" s="93">
        <v>30</v>
      </c>
      <c r="AH681" s="134">
        <v>219060</v>
      </c>
      <c r="AI681" s="134">
        <v>2.5</v>
      </c>
      <c r="AJ681" s="135">
        <f t="shared" si="117"/>
        <v>75</v>
      </c>
      <c r="AK681" s="45">
        <f t="shared" si="122"/>
        <v>150</v>
      </c>
      <c r="AL681" s="136" t="str" cm="1">
        <f t="array" ref="AL681">_xlfn.IFS(
AI681&lt;3,"Ligera",
AI681&lt;=6,"Moderada",
AI681&gt;6,"Vigorosa"
)</f>
        <v>Ligera</v>
      </c>
      <c r="AM681" s="45" t="s">
        <v>48</v>
      </c>
      <c r="AN681" s="46" t="s">
        <v>60</v>
      </c>
      <c r="AO681" s="46" t="s">
        <v>61</v>
      </c>
      <c r="AP681" s="289" t="s">
        <v>173</v>
      </c>
      <c r="AQ681" s="210">
        <v>0</v>
      </c>
      <c r="AR681" s="76"/>
      <c r="AS681" s="76"/>
      <c r="AT681" s="76"/>
      <c r="AU681" s="76"/>
      <c r="AV681" s="76"/>
      <c r="AW681" s="76"/>
      <c r="AX681" s="76"/>
      <c r="AY681" s="76"/>
      <c r="AZ681" s="76"/>
      <c r="BA681" s="76"/>
      <c r="BB681" s="76"/>
      <c r="BC681" s="76"/>
      <c r="BD681" s="76"/>
      <c r="BE681" s="76"/>
      <c r="BF681" s="76"/>
      <c r="BG681" s="76"/>
      <c r="BH681" s="76"/>
      <c r="BI681" s="76"/>
      <c r="BJ681" s="76"/>
      <c r="BK681" s="76"/>
      <c r="BL681" s="76"/>
    </row>
    <row r="682" spans="1:64" ht="78.75" customHeight="1" thickBot="1">
      <c r="A682" s="209" t="s">
        <v>555</v>
      </c>
      <c r="B682" s="90">
        <v>33</v>
      </c>
      <c r="C682" s="90">
        <v>85.4</v>
      </c>
      <c r="D682" s="90">
        <v>45.5</v>
      </c>
      <c r="E682" s="90" t="s">
        <v>45</v>
      </c>
      <c r="F682" s="90" t="s">
        <v>45</v>
      </c>
      <c r="G682" s="90" t="s">
        <v>236</v>
      </c>
      <c r="H682" s="90"/>
      <c r="I682" s="90" t="s">
        <v>145</v>
      </c>
      <c r="J682" s="90">
        <v>8.8000000000000007</v>
      </c>
      <c r="K682" s="90" t="s">
        <v>48</v>
      </c>
      <c r="L682" s="90" t="s">
        <v>48</v>
      </c>
      <c r="M682" s="91" t="s">
        <v>50</v>
      </c>
      <c r="N682" s="91" t="s">
        <v>50</v>
      </c>
      <c r="O682" s="91" t="s">
        <v>50</v>
      </c>
      <c r="P682" s="91" t="s">
        <v>86</v>
      </c>
      <c r="Q682" s="50" t="s">
        <v>86</v>
      </c>
      <c r="R682" s="92">
        <v>11</v>
      </c>
      <c r="S682" s="48">
        <v>0.8</v>
      </c>
      <c r="T682" s="52">
        <v>1.3</v>
      </c>
      <c r="U682" s="92">
        <v>11</v>
      </c>
      <c r="V682" s="92">
        <v>0.4</v>
      </c>
      <c r="W682" s="48">
        <v>0.5</v>
      </c>
      <c r="X682" s="130">
        <f t="shared" si="116"/>
        <v>-0.4</v>
      </c>
      <c r="Y682" s="16">
        <f t="shared" si="118"/>
        <v>0.34245105821522476</v>
      </c>
      <c r="Z682" s="286" t="s">
        <v>53</v>
      </c>
      <c r="AA682" s="286" t="s">
        <v>53</v>
      </c>
      <c r="AB682" s="16">
        <v>0.34245105821522476</v>
      </c>
      <c r="AC682" s="66" t="s">
        <v>48</v>
      </c>
      <c r="AD682" s="51" t="s">
        <v>556</v>
      </c>
      <c r="AE682" s="93">
        <v>14</v>
      </c>
      <c r="AF682" s="93">
        <v>0</v>
      </c>
      <c r="AG682" s="93">
        <v>0</v>
      </c>
      <c r="AH682" s="134">
        <v>0</v>
      </c>
      <c r="AI682" s="134">
        <v>0</v>
      </c>
      <c r="AJ682" s="135">
        <f t="shared" si="117"/>
        <v>0</v>
      </c>
      <c r="AK682" s="45">
        <f t="shared" si="122"/>
        <v>0</v>
      </c>
      <c r="AL682" s="136" t="str" cm="1">
        <f t="array" ref="AL682">_xlfn.IFS(
AI682&lt;3,"Ligera",
AI682&lt;=6,"Moderada",
AI682&gt;6,"Vigorosa"
)</f>
        <v>Ligera</v>
      </c>
      <c r="AM682" s="45" t="s">
        <v>49</v>
      </c>
      <c r="AN682" s="46" t="s">
        <v>49</v>
      </c>
      <c r="AO682" s="45" t="s">
        <v>49</v>
      </c>
      <c r="AP682" s="45" t="s">
        <v>49</v>
      </c>
      <c r="AQ682" s="210">
        <v>0</v>
      </c>
      <c r="AR682" s="76"/>
      <c r="AS682" s="76"/>
      <c r="AT682" s="76"/>
      <c r="AU682" s="76"/>
      <c r="AV682" s="76"/>
      <c r="AW682" s="76"/>
      <c r="AX682" s="76"/>
      <c r="AY682" s="76"/>
      <c r="AZ682" s="76"/>
      <c r="BA682" s="76"/>
      <c r="BB682" s="76"/>
      <c r="BC682" s="76"/>
      <c r="BD682" s="76"/>
      <c r="BE682" s="76"/>
      <c r="BF682" s="76"/>
      <c r="BG682" s="76"/>
      <c r="BH682" s="76"/>
      <c r="BI682" s="76"/>
      <c r="BJ682" s="76"/>
      <c r="BK682" s="76"/>
      <c r="BL682" s="76"/>
    </row>
    <row r="683" spans="1:64" ht="78.75" customHeight="1" thickBot="1">
      <c r="A683" s="209" t="s">
        <v>555</v>
      </c>
      <c r="B683" s="90">
        <v>33</v>
      </c>
      <c r="C683" s="90">
        <v>81.099999999999994</v>
      </c>
      <c r="D683" s="90">
        <v>27.3</v>
      </c>
      <c r="E683" s="90" t="s">
        <v>45</v>
      </c>
      <c r="F683" s="90" t="s">
        <v>45</v>
      </c>
      <c r="G683" s="90" t="s">
        <v>236</v>
      </c>
      <c r="H683" s="90"/>
      <c r="I683" s="90" t="s">
        <v>145</v>
      </c>
      <c r="J683" s="90">
        <v>10.9</v>
      </c>
      <c r="K683" s="90" t="s">
        <v>48</v>
      </c>
      <c r="L683" s="90" t="s">
        <v>48</v>
      </c>
      <c r="M683" s="91" t="s">
        <v>56</v>
      </c>
      <c r="N683" s="91" t="s">
        <v>410</v>
      </c>
      <c r="O683" s="50" t="s">
        <v>411</v>
      </c>
      <c r="P683" s="91" t="s">
        <v>86</v>
      </c>
      <c r="Q683" s="50" t="s">
        <v>86</v>
      </c>
      <c r="R683" s="92">
        <v>11</v>
      </c>
      <c r="S683" s="48">
        <v>1.4</v>
      </c>
      <c r="T683" s="52">
        <v>2.5</v>
      </c>
      <c r="U683" s="92">
        <v>9</v>
      </c>
      <c r="V683" s="92">
        <v>0</v>
      </c>
      <c r="W683" s="48">
        <v>0</v>
      </c>
      <c r="X683" s="130">
        <f t="shared" si="116"/>
        <v>-1.4</v>
      </c>
      <c r="Y683" s="16">
        <f t="shared" si="118"/>
        <v>0.83333333333333337</v>
      </c>
      <c r="Z683" s="15">
        <f t="shared" si="119"/>
        <v>-0.99999999999999989</v>
      </c>
      <c r="AA683" s="16">
        <f t="shared" si="120"/>
        <v>0.1388888888888889</v>
      </c>
      <c r="AB683" s="16">
        <f t="shared" si="121"/>
        <v>0.16750630254320201</v>
      </c>
      <c r="AC683" s="66" t="s">
        <v>48</v>
      </c>
      <c r="AD683" s="51" t="s">
        <v>559</v>
      </c>
      <c r="AE683" s="93">
        <v>14</v>
      </c>
      <c r="AF683" s="93">
        <v>2</v>
      </c>
      <c r="AG683" s="93">
        <v>30</v>
      </c>
      <c r="AH683" s="134">
        <v>221060</v>
      </c>
      <c r="AI683" s="134">
        <v>3.8</v>
      </c>
      <c r="AJ683" s="135">
        <f t="shared" si="117"/>
        <v>114</v>
      </c>
      <c r="AK683" s="45">
        <f t="shared" si="122"/>
        <v>228</v>
      </c>
      <c r="AL683" s="136" t="str" cm="1">
        <f t="array" ref="AL683">_xlfn.IFS(
AI683&lt;3,"Ligera",
AI683&lt;=6,"Moderada",
AI683&gt;6,"Vigorosa"
)</f>
        <v>Moderada</v>
      </c>
      <c r="AM683" s="45" t="s">
        <v>48</v>
      </c>
      <c r="AN683" s="46" t="s">
        <v>60</v>
      </c>
      <c r="AO683" s="46" t="s">
        <v>61</v>
      </c>
      <c r="AP683" s="289" t="s">
        <v>173</v>
      </c>
      <c r="AQ683" s="210">
        <v>0</v>
      </c>
      <c r="AR683" s="76"/>
      <c r="AS683" s="76"/>
      <c r="AT683" s="76"/>
      <c r="AU683" s="76"/>
      <c r="AV683" s="76"/>
      <c r="AW683" s="76"/>
      <c r="AX683" s="76"/>
      <c r="AY683" s="76"/>
      <c r="AZ683" s="76"/>
      <c r="BA683" s="76"/>
      <c r="BB683" s="76"/>
      <c r="BC683" s="76"/>
      <c r="BD683" s="76"/>
      <c r="BE683" s="76"/>
      <c r="BF683" s="76"/>
      <c r="BG683" s="76"/>
      <c r="BH683" s="76"/>
      <c r="BI683" s="76"/>
      <c r="BJ683" s="76"/>
      <c r="BK683" s="76"/>
      <c r="BL683" s="76"/>
    </row>
    <row r="684" spans="1:64" ht="78.75" customHeight="1" thickBot="1">
      <c r="A684" s="211" t="s">
        <v>555</v>
      </c>
      <c r="B684" s="212">
        <v>33</v>
      </c>
      <c r="C684" s="212">
        <v>84.9</v>
      </c>
      <c r="D684" s="212">
        <v>9.1</v>
      </c>
      <c r="E684" s="212" t="s">
        <v>45</v>
      </c>
      <c r="F684" s="212" t="s">
        <v>45</v>
      </c>
      <c r="G684" s="212" t="s">
        <v>236</v>
      </c>
      <c r="H684" s="212"/>
      <c r="I684" s="212" t="s">
        <v>145</v>
      </c>
      <c r="J684" s="212">
        <v>11.2</v>
      </c>
      <c r="K684" s="212" t="s">
        <v>48</v>
      </c>
      <c r="L684" s="212" t="s">
        <v>48</v>
      </c>
      <c r="M684" s="213" t="s">
        <v>56</v>
      </c>
      <c r="N684" s="213" t="s">
        <v>410</v>
      </c>
      <c r="O684" s="158" t="s">
        <v>468</v>
      </c>
      <c r="P684" s="213" t="s">
        <v>86</v>
      </c>
      <c r="Q684" s="158" t="s">
        <v>86</v>
      </c>
      <c r="R684" s="214">
        <v>11</v>
      </c>
      <c r="S684" s="170">
        <v>1.5</v>
      </c>
      <c r="T684" s="171">
        <v>3.6</v>
      </c>
      <c r="U684" s="214">
        <v>9</v>
      </c>
      <c r="V684" s="214">
        <v>0.7</v>
      </c>
      <c r="W684" s="170">
        <v>0.9</v>
      </c>
      <c r="X684" s="130">
        <f t="shared" si="116"/>
        <v>-0.8</v>
      </c>
      <c r="Y684" s="16">
        <f t="shared" si="118"/>
        <v>1.0816653826391969</v>
      </c>
      <c r="Z684" s="15">
        <f>X684-X682</f>
        <v>-0.4</v>
      </c>
      <c r="AA684" s="16">
        <f>((U684-1)*W684^2+(U682-1)*W682^2)/((U684-1)+(U682-1))</f>
        <v>0.49888888888888894</v>
      </c>
      <c r="AB684" s="16">
        <f>SQRT(AA684*((1/U684)+(1/U682)))</f>
        <v>0.31746753238554565</v>
      </c>
      <c r="AC684" s="66" t="s">
        <v>48</v>
      </c>
      <c r="AD684" s="151" t="s">
        <v>558</v>
      </c>
      <c r="AE684" s="215">
        <v>14</v>
      </c>
      <c r="AF684" s="215">
        <v>2</v>
      </c>
      <c r="AG684" s="215">
        <v>30</v>
      </c>
      <c r="AH684" s="134">
        <v>219060</v>
      </c>
      <c r="AI684" s="134">
        <v>2.5</v>
      </c>
      <c r="AJ684" s="135">
        <f t="shared" si="117"/>
        <v>75</v>
      </c>
      <c r="AK684" s="45">
        <f t="shared" si="122"/>
        <v>150</v>
      </c>
      <c r="AL684" s="136" t="str" cm="1">
        <f t="array" ref="AL684">_xlfn.IFS(
AI684&lt;3,"Ligera",
AI684&lt;=6,"Moderada",
AI684&gt;6,"Vigorosa"
)</f>
        <v>Ligera</v>
      </c>
      <c r="AM684" s="147" t="s">
        <v>48</v>
      </c>
      <c r="AN684" s="148" t="s">
        <v>60</v>
      </c>
      <c r="AO684" s="148" t="s">
        <v>61</v>
      </c>
      <c r="AP684" s="290" t="s">
        <v>173</v>
      </c>
      <c r="AQ684" s="216">
        <v>0</v>
      </c>
      <c r="AR684" s="76"/>
      <c r="AS684" s="76"/>
      <c r="AT684" s="76"/>
      <c r="AU684" s="76"/>
      <c r="AV684" s="76"/>
      <c r="AW684" s="76"/>
      <c r="AX684" s="76"/>
      <c r="AY684" s="76"/>
      <c r="AZ684" s="76"/>
      <c r="BA684" s="76"/>
      <c r="BB684" s="76"/>
      <c r="BC684" s="76"/>
      <c r="BD684" s="76"/>
      <c r="BE684" s="76"/>
      <c r="BF684" s="76"/>
      <c r="BG684" s="76"/>
      <c r="BH684" s="76"/>
      <c r="BI684" s="76"/>
      <c r="BJ684" s="76"/>
      <c r="BK684" s="76"/>
      <c r="BL684" s="76"/>
    </row>
    <row r="685" spans="1:64" ht="78.75" customHeight="1" thickBot="1">
      <c r="A685" s="203" t="s">
        <v>561</v>
      </c>
      <c r="B685" s="204">
        <v>53</v>
      </c>
      <c r="C685" s="204">
        <v>86.17</v>
      </c>
      <c r="D685" s="204">
        <v>11.42</v>
      </c>
      <c r="E685" s="204" t="s">
        <v>45</v>
      </c>
      <c r="F685" s="204" t="s">
        <v>45</v>
      </c>
      <c r="G685" s="204" t="s">
        <v>370</v>
      </c>
      <c r="H685" s="204"/>
      <c r="I685" s="204" t="s">
        <v>45</v>
      </c>
      <c r="J685" s="204" t="s">
        <v>47</v>
      </c>
      <c r="K685" s="204" t="s">
        <v>48</v>
      </c>
      <c r="L685" s="204" t="s">
        <v>49</v>
      </c>
      <c r="M685" s="205" t="s">
        <v>56</v>
      </c>
      <c r="N685" s="205" t="s">
        <v>233</v>
      </c>
      <c r="O685" s="205" t="s">
        <v>233</v>
      </c>
      <c r="P685" s="11" t="s">
        <v>86</v>
      </c>
      <c r="Q685" s="159" t="s">
        <v>87</v>
      </c>
      <c r="R685" s="206">
        <v>18</v>
      </c>
      <c r="S685" s="168">
        <v>34.11</v>
      </c>
      <c r="T685" s="179">
        <v>8.89</v>
      </c>
      <c r="U685" s="206">
        <v>18</v>
      </c>
      <c r="V685" s="206">
        <v>39.33</v>
      </c>
      <c r="W685" s="168">
        <v>8.4700000000000006</v>
      </c>
      <c r="X685" s="130">
        <f t="shared" si="116"/>
        <v>5.2199999999999989</v>
      </c>
      <c r="Y685" s="16">
        <f t="shared" si="118"/>
        <v>2.0476911116886964</v>
      </c>
      <c r="Z685" s="286" t="s">
        <v>53</v>
      </c>
      <c r="AA685" s="286" t="s">
        <v>53</v>
      </c>
      <c r="AB685" s="16">
        <v>2.0476911116886964</v>
      </c>
      <c r="AC685" s="66" t="s">
        <v>49</v>
      </c>
      <c r="AD685" s="133" t="s">
        <v>562</v>
      </c>
      <c r="AE685" s="207">
        <v>4</v>
      </c>
      <c r="AF685" s="207">
        <v>2</v>
      </c>
      <c r="AG685" s="207">
        <v>20</v>
      </c>
      <c r="AH685" s="207">
        <v>202260</v>
      </c>
      <c r="AI685" s="207">
        <v>3.5</v>
      </c>
      <c r="AJ685" s="135">
        <f t="shared" si="117"/>
        <v>70</v>
      </c>
      <c r="AK685" s="45">
        <f t="shared" si="122"/>
        <v>140</v>
      </c>
      <c r="AL685" s="136" t="str" cm="1">
        <f t="array" ref="AL685">_xlfn.IFS(
AI685&lt;3,"Ligera",
AI685&lt;=6,"Moderada",
AI685&gt;6,"Vigorosa"
)</f>
        <v>Moderada</v>
      </c>
      <c r="AM685" s="136" t="s">
        <v>49</v>
      </c>
      <c r="AN685" s="288" t="s">
        <v>49</v>
      </c>
      <c r="AO685" s="136" t="s">
        <v>61</v>
      </c>
      <c r="AP685" s="136" t="s">
        <v>62</v>
      </c>
      <c r="AQ685" s="208">
        <v>0</v>
      </c>
      <c r="AR685" s="76"/>
      <c r="AS685" s="76"/>
      <c r="AT685" s="76"/>
      <c r="AU685" s="76"/>
      <c r="AV685" s="76"/>
      <c r="AW685" s="76"/>
      <c r="AX685" s="76"/>
      <c r="AY685" s="76"/>
      <c r="AZ685" s="76"/>
      <c r="BA685" s="76"/>
      <c r="BB685" s="76"/>
      <c r="BC685" s="76"/>
      <c r="BD685" s="76"/>
      <c r="BE685" s="76"/>
      <c r="BF685" s="76"/>
      <c r="BG685" s="76"/>
      <c r="BH685" s="76"/>
      <c r="BI685" s="76"/>
      <c r="BJ685" s="76"/>
      <c r="BK685" s="76"/>
      <c r="BL685" s="76"/>
    </row>
    <row r="686" spans="1:64" ht="78.75" customHeight="1" thickBot="1">
      <c r="A686" s="211" t="s">
        <v>561</v>
      </c>
      <c r="B686" s="212">
        <v>53</v>
      </c>
      <c r="C686" s="212">
        <v>87.53</v>
      </c>
      <c r="D686" s="212">
        <v>11.42</v>
      </c>
      <c r="E686" s="212" t="s">
        <v>45</v>
      </c>
      <c r="F686" s="212" t="s">
        <v>45</v>
      </c>
      <c r="G686" s="212" t="s">
        <v>370</v>
      </c>
      <c r="H686" s="212"/>
      <c r="I686" s="212" t="s">
        <v>45</v>
      </c>
      <c r="J686" s="212" t="s">
        <v>47</v>
      </c>
      <c r="K686" s="212" t="s">
        <v>48</v>
      </c>
      <c r="L686" s="212" t="s">
        <v>49</v>
      </c>
      <c r="M686" s="213" t="s">
        <v>56</v>
      </c>
      <c r="N686" s="213" t="s">
        <v>233</v>
      </c>
      <c r="O686" s="158" t="s">
        <v>233</v>
      </c>
      <c r="P686" s="11" t="s">
        <v>86</v>
      </c>
      <c r="Q686" s="158" t="s">
        <v>87</v>
      </c>
      <c r="R686" s="214">
        <v>17</v>
      </c>
      <c r="S686" s="170">
        <v>40</v>
      </c>
      <c r="T686" s="171">
        <v>5.58</v>
      </c>
      <c r="U686" s="214">
        <v>17</v>
      </c>
      <c r="V686" s="214">
        <v>47.29</v>
      </c>
      <c r="W686" s="170">
        <v>4.9800000000000004</v>
      </c>
      <c r="X686" s="130">
        <f t="shared" si="116"/>
        <v>7.2899999999999991</v>
      </c>
      <c r="Y686" s="16">
        <f t="shared" si="118"/>
        <v>1.286774352905014</v>
      </c>
      <c r="Z686" s="15">
        <f t="shared" si="119"/>
        <v>2.0700000000000003</v>
      </c>
      <c r="AA686" s="16">
        <f t="shared" si="120"/>
        <v>48.98186969696971</v>
      </c>
      <c r="AB686" s="16">
        <f t="shared" si="121"/>
        <v>2.3669603790363514</v>
      </c>
      <c r="AC686" s="66" t="s">
        <v>49</v>
      </c>
      <c r="AD686" s="151" t="s">
        <v>563</v>
      </c>
      <c r="AE686" s="215">
        <v>4</v>
      </c>
      <c r="AF686" s="215">
        <v>2</v>
      </c>
      <c r="AG686" s="215">
        <v>35</v>
      </c>
      <c r="AH686" s="207">
        <v>202260</v>
      </c>
      <c r="AI686" s="207">
        <v>3.5</v>
      </c>
      <c r="AJ686" s="135">
        <f t="shared" si="117"/>
        <v>122.5</v>
      </c>
      <c r="AK686" s="45">
        <f t="shared" si="122"/>
        <v>245</v>
      </c>
      <c r="AL686" s="136" t="str" cm="1">
        <f t="array" ref="AL686">_xlfn.IFS(
AI686&lt;3,"Ligera",
AI686&lt;=6,"Moderada",
AI686&gt;6,"Vigorosa"
)</f>
        <v>Moderada</v>
      </c>
      <c r="AM686" s="147" t="s">
        <v>49</v>
      </c>
      <c r="AN686" s="290" t="s">
        <v>49</v>
      </c>
      <c r="AO686" s="148" t="s">
        <v>61</v>
      </c>
      <c r="AP686" s="290" t="s">
        <v>62</v>
      </c>
      <c r="AQ686" s="216">
        <v>0</v>
      </c>
      <c r="AR686" s="76"/>
      <c r="AS686" s="44"/>
      <c r="AT686" s="76"/>
      <c r="AU686" s="76"/>
      <c r="AV686" s="76"/>
      <c r="AW686" s="76"/>
      <c r="AX686" s="76"/>
      <c r="AY686" s="76"/>
      <c r="AZ686" s="76"/>
      <c r="BA686" s="76"/>
      <c r="BB686" s="76"/>
      <c r="BC686" s="76"/>
      <c r="BD686" s="76"/>
      <c r="BE686" s="76"/>
      <c r="BF686" s="76"/>
      <c r="BG686" s="76"/>
      <c r="BH686" s="76"/>
      <c r="BI686" s="76"/>
      <c r="BJ686" s="76"/>
      <c r="BK686" s="76"/>
      <c r="BL686" s="76"/>
    </row>
    <row r="687" spans="1:64" ht="78.75" customHeight="1" thickBot="1">
      <c r="A687" s="217" t="s">
        <v>564</v>
      </c>
      <c r="B687" s="218">
        <v>102</v>
      </c>
      <c r="C687" s="218">
        <v>74.37</v>
      </c>
      <c r="D687" s="218">
        <v>37.25</v>
      </c>
      <c r="E687" s="218" t="s">
        <v>97</v>
      </c>
      <c r="F687" s="218" t="s">
        <v>565</v>
      </c>
      <c r="G687" s="218" t="s">
        <v>292</v>
      </c>
      <c r="H687" s="218"/>
      <c r="I687" s="218" t="s">
        <v>45</v>
      </c>
      <c r="J687" s="218" t="s">
        <v>47</v>
      </c>
      <c r="K687" s="218" t="s">
        <v>48</v>
      </c>
      <c r="L687" s="218" t="s">
        <v>48</v>
      </c>
      <c r="M687" s="219" t="s">
        <v>56</v>
      </c>
      <c r="N687" s="219" t="s">
        <v>76</v>
      </c>
      <c r="O687" s="219" t="s">
        <v>185</v>
      </c>
      <c r="P687" s="219" t="s">
        <v>86</v>
      </c>
      <c r="Q687" s="220" t="s">
        <v>86</v>
      </c>
      <c r="R687" s="221">
        <v>51</v>
      </c>
      <c r="S687" s="222">
        <v>0.71</v>
      </c>
      <c r="T687" s="223">
        <v>1.27</v>
      </c>
      <c r="U687" s="221">
        <v>51</v>
      </c>
      <c r="V687" s="221" t="s">
        <v>47</v>
      </c>
      <c r="W687" s="222" t="s">
        <v>47</v>
      </c>
      <c r="X687" s="130"/>
      <c r="Y687" s="16"/>
      <c r="Z687" s="286"/>
      <c r="AA687" s="286"/>
      <c r="AB687" s="16"/>
      <c r="AC687" s="66" t="s">
        <v>48</v>
      </c>
      <c r="AD687" s="224" t="s">
        <v>566</v>
      </c>
      <c r="AE687" s="225">
        <v>12</v>
      </c>
      <c r="AF687" s="225">
        <v>2</v>
      </c>
      <c r="AG687" s="225">
        <v>30</v>
      </c>
      <c r="AH687" s="225">
        <v>206360</v>
      </c>
      <c r="AI687" s="225">
        <v>3.8</v>
      </c>
      <c r="AJ687" s="135">
        <f t="shared" si="117"/>
        <v>114</v>
      </c>
      <c r="AK687" s="45">
        <f t="shared" si="122"/>
        <v>228</v>
      </c>
      <c r="AL687" s="136" t="str" cm="1">
        <f t="array" ref="AL687">_xlfn.IFS(
AI687&lt;3,"Ligera",
AI687&lt;=6,"Moderada",
AI687&gt;6,"Vigorosa"
)</f>
        <v>Moderada</v>
      </c>
      <c r="AM687" s="226" t="s">
        <v>49</v>
      </c>
      <c r="AN687" s="227" t="s">
        <v>49</v>
      </c>
      <c r="AO687" s="227" t="s">
        <v>61</v>
      </c>
      <c r="AP687" s="227" t="s">
        <v>155</v>
      </c>
      <c r="AQ687" s="228">
        <v>0</v>
      </c>
      <c r="AR687" s="98"/>
      <c r="AS687" s="98"/>
      <c r="AT687" s="76"/>
      <c r="AU687" s="76"/>
      <c r="AV687" s="76"/>
      <c r="AW687" s="76"/>
      <c r="AX687" s="76"/>
      <c r="AY687" s="76"/>
      <c r="AZ687" s="76"/>
      <c r="BA687" s="76"/>
      <c r="BB687" s="76"/>
      <c r="BC687" s="76"/>
      <c r="BD687" s="76"/>
      <c r="BE687" s="76"/>
      <c r="BF687" s="76"/>
      <c r="BG687" s="76"/>
      <c r="BH687" s="76"/>
      <c r="BI687" s="76"/>
      <c r="BJ687" s="76"/>
      <c r="BK687" s="76"/>
      <c r="BL687" s="76"/>
    </row>
    <row r="688" spans="1:64" ht="78.75" customHeight="1" thickBot="1">
      <c r="A688" s="229" t="s">
        <v>564</v>
      </c>
      <c r="B688" s="54">
        <v>102</v>
      </c>
      <c r="C688" s="54">
        <v>74.88</v>
      </c>
      <c r="D688" s="54">
        <v>43.14</v>
      </c>
      <c r="E688" s="54" t="s">
        <v>97</v>
      </c>
      <c r="F688" s="54" t="s">
        <v>565</v>
      </c>
      <c r="G688" s="54" t="s">
        <v>292</v>
      </c>
      <c r="H688" s="54"/>
      <c r="I688" s="54" t="s">
        <v>45</v>
      </c>
      <c r="J688" s="54" t="s">
        <v>47</v>
      </c>
      <c r="K688" s="54" t="s">
        <v>48</v>
      </c>
      <c r="L688" s="54" t="s">
        <v>48</v>
      </c>
      <c r="M688" s="55" t="s">
        <v>56</v>
      </c>
      <c r="N688" s="55" t="s">
        <v>76</v>
      </c>
      <c r="O688" s="55" t="s">
        <v>77</v>
      </c>
      <c r="P688" s="55" t="s">
        <v>86</v>
      </c>
      <c r="Q688" s="94" t="s">
        <v>86</v>
      </c>
      <c r="R688" s="56">
        <v>51</v>
      </c>
      <c r="S688" s="57">
        <v>0.88</v>
      </c>
      <c r="T688" s="58">
        <v>1.42</v>
      </c>
      <c r="U688" s="56">
        <v>51</v>
      </c>
      <c r="V688" s="56" t="s">
        <v>47</v>
      </c>
      <c r="W688" s="57" t="s">
        <v>47</v>
      </c>
      <c r="X688" s="130"/>
      <c r="Y688" s="16"/>
      <c r="Z688" s="15"/>
      <c r="AA688" s="16"/>
      <c r="AB688" s="16"/>
      <c r="AC688" s="66" t="s">
        <v>48</v>
      </c>
      <c r="AD688" s="96" t="s">
        <v>567</v>
      </c>
      <c r="AE688" s="60">
        <v>12</v>
      </c>
      <c r="AF688" s="60">
        <v>2</v>
      </c>
      <c r="AG688" s="60">
        <v>30</v>
      </c>
      <c r="AH688" s="60" t="s">
        <v>568</v>
      </c>
      <c r="AI688" s="60">
        <v>3.25</v>
      </c>
      <c r="AJ688" s="135">
        <f t="shared" si="117"/>
        <v>97.5</v>
      </c>
      <c r="AK688" s="45">
        <f t="shared" si="122"/>
        <v>195</v>
      </c>
      <c r="AL688" s="136" t="str" cm="1">
        <f t="array" ref="AL688">_xlfn.IFS(
AI688&lt;3,"Ligera",
AI688&lt;=6,"Moderada",
AI688&gt;6,"Vigorosa"
)</f>
        <v>Moderada</v>
      </c>
      <c r="AM688" s="61" t="s">
        <v>48</v>
      </c>
      <c r="AN688" s="61" t="s">
        <v>60</v>
      </c>
      <c r="AO688" s="61" t="s">
        <v>61</v>
      </c>
      <c r="AP688" s="97" t="s">
        <v>155</v>
      </c>
      <c r="AQ688" s="230">
        <v>0</v>
      </c>
      <c r="AR688" s="98"/>
      <c r="AS688" s="98"/>
      <c r="AT688" s="76"/>
      <c r="AU688" s="76"/>
      <c r="AV688" s="76"/>
      <c r="AW688" s="76"/>
      <c r="AX688" s="76"/>
      <c r="AY688" s="76"/>
      <c r="AZ688" s="76"/>
      <c r="BA688" s="76"/>
      <c r="BB688" s="76"/>
      <c r="BC688" s="76"/>
      <c r="BD688" s="76"/>
      <c r="BE688" s="76"/>
      <c r="BF688" s="76"/>
      <c r="BG688" s="76"/>
      <c r="BH688" s="76"/>
      <c r="BI688" s="76"/>
      <c r="BJ688" s="76"/>
      <c r="BK688" s="76"/>
      <c r="BL688" s="76"/>
    </row>
    <row r="689" spans="1:64" ht="78.75" customHeight="1" thickBot="1">
      <c r="A689" s="229" t="s">
        <v>564</v>
      </c>
      <c r="B689" s="54">
        <v>102</v>
      </c>
      <c r="C689" s="54">
        <v>74.37</v>
      </c>
      <c r="D689" s="54">
        <v>37.25</v>
      </c>
      <c r="E689" s="54" t="s">
        <v>97</v>
      </c>
      <c r="F689" s="54" t="s">
        <v>565</v>
      </c>
      <c r="G689" s="54" t="s">
        <v>292</v>
      </c>
      <c r="H689" s="54"/>
      <c r="I689" s="54" t="s">
        <v>45</v>
      </c>
      <c r="J689" s="54" t="s">
        <v>47</v>
      </c>
      <c r="K689" s="54" t="s">
        <v>48</v>
      </c>
      <c r="L689" s="54" t="s">
        <v>48</v>
      </c>
      <c r="M689" s="55" t="s">
        <v>56</v>
      </c>
      <c r="N689" s="55" t="s">
        <v>76</v>
      </c>
      <c r="O689" s="55" t="s">
        <v>185</v>
      </c>
      <c r="P689" s="55" t="s">
        <v>51</v>
      </c>
      <c r="Q689" s="94" t="s">
        <v>91</v>
      </c>
      <c r="R689" s="56">
        <v>51</v>
      </c>
      <c r="S689" s="57">
        <v>9</v>
      </c>
      <c r="T689" s="58">
        <v>2.2000000000000002</v>
      </c>
      <c r="U689" s="56">
        <v>51</v>
      </c>
      <c r="V689" s="56">
        <v>9.25</v>
      </c>
      <c r="W689" s="99">
        <v>2.06</v>
      </c>
      <c r="X689" s="130">
        <f t="shared" si="116"/>
        <v>0.25</v>
      </c>
      <c r="Y689" s="16">
        <f t="shared" si="118"/>
        <v>0.29874246237106872</v>
      </c>
      <c r="Z689" s="286" t="s">
        <v>53</v>
      </c>
      <c r="AA689" s="286" t="s">
        <v>53</v>
      </c>
      <c r="AB689" s="16">
        <v>0.29874246237106872</v>
      </c>
      <c r="AC689" s="66" t="s">
        <v>49</v>
      </c>
      <c r="AD689" s="96" t="s">
        <v>566</v>
      </c>
      <c r="AE689" s="60">
        <v>12</v>
      </c>
      <c r="AF689" s="60">
        <v>2</v>
      </c>
      <c r="AG689" s="60">
        <v>30</v>
      </c>
      <c r="AH689" s="225">
        <v>206360</v>
      </c>
      <c r="AI689" s="225">
        <v>3.8</v>
      </c>
      <c r="AJ689" s="135">
        <f t="shared" si="117"/>
        <v>114</v>
      </c>
      <c r="AK689" s="45">
        <f t="shared" si="122"/>
        <v>228</v>
      </c>
      <c r="AL689" s="136" t="str" cm="1">
        <f t="array" ref="AL689">_xlfn.IFS(
AI689&lt;3,"Ligera",
AI689&lt;=6,"Moderada",
AI689&gt;6,"Vigorosa"
)</f>
        <v>Moderada</v>
      </c>
      <c r="AM689" s="61" t="s">
        <v>49</v>
      </c>
      <c r="AN689" s="97" t="s">
        <v>49</v>
      </c>
      <c r="AO689" s="97" t="s">
        <v>61</v>
      </c>
      <c r="AP689" s="97" t="s">
        <v>155</v>
      </c>
      <c r="AQ689" s="230">
        <v>0</v>
      </c>
      <c r="AR689" s="98"/>
      <c r="AS689" s="89" t="s">
        <v>451</v>
      </c>
      <c r="AT689" s="76"/>
      <c r="AU689" s="76"/>
      <c r="AV689" s="76"/>
      <c r="AW689" s="76"/>
      <c r="AX689" s="76"/>
      <c r="AY689" s="76"/>
      <c r="AZ689" s="76"/>
      <c r="BA689" s="76"/>
      <c r="BB689" s="76"/>
      <c r="BC689" s="76"/>
      <c r="BD689" s="76"/>
      <c r="BE689" s="76"/>
      <c r="BF689" s="76"/>
      <c r="BG689" s="76"/>
      <c r="BH689" s="76"/>
      <c r="BI689" s="76"/>
      <c r="BJ689" s="76"/>
      <c r="BK689" s="76"/>
      <c r="BL689" s="76"/>
    </row>
    <row r="690" spans="1:64" ht="78.75" customHeight="1" thickBot="1">
      <c r="A690" s="229" t="s">
        <v>564</v>
      </c>
      <c r="B690" s="54">
        <v>102</v>
      </c>
      <c r="C690" s="54">
        <v>74.88</v>
      </c>
      <c r="D690" s="54">
        <v>43.14</v>
      </c>
      <c r="E690" s="54" t="s">
        <v>97</v>
      </c>
      <c r="F690" s="54" t="s">
        <v>565</v>
      </c>
      <c r="G690" s="54" t="s">
        <v>292</v>
      </c>
      <c r="H690" s="54"/>
      <c r="I690" s="54" t="s">
        <v>45</v>
      </c>
      <c r="J690" s="54" t="s">
        <v>47</v>
      </c>
      <c r="K690" s="54" t="s">
        <v>48</v>
      </c>
      <c r="L690" s="54" t="s">
        <v>48</v>
      </c>
      <c r="M690" s="55" t="s">
        <v>56</v>
      </c>
      <c r="N690" s="55" t="s">
        <v>76</v>
      </c>
      <c r="O690" s="55" t="s">
        <v>77</v>
      </c>
      <c r="P690" s="55" t="s">
        <v>51</v>
      </c>
      <c r="Q690" s="94" t="s">
        <v>91</v>
      </c>
      <c r="R690" s="56">
        <v>51</v>
      </c>
      <c r="S690" s="57">
        <v>9.2200000000000006</v>
      </c>
      <c r="T690" s="58">
        <v>2.09</v>
      </c>
      <c r="U690" s="56">
        <v>51</v>
      </c>
      <c r="V690" s="56">
        <v>9.9499999999999993</v>
      </c>
      <c r="W690" s="99">
        <v>1.96</v>
      </c>
      <c r="X690" s="130">
        <f t="shared" si="116"/>
        <v>0.72999999999999865</v>
      </c>
      <c r="Y690" s="16">
        <f t="shared" si="118"/>
        <v>0.28399461469624832</v>
      </c>
      <c r="Z690" s="15">
        <f t="shared" si="119"/>
        <v>0.47999999999999865</v>
      </c>
      <c r="AA690" s="16">
        <f t="shared" si="120"/>
        <v>4.0426000000000002</v>
      </c>
      <c r="AB690" s="16">
        <f t="shared" si="121"/>
        <v>0.39816244591037631</v>
      </c>
      <c r="AC690" s="66" t="s">
        <v>49</v>
      </c>
      <c r="AD690" s="96" t="s">
        <v>567</v>
      </c>
      <c r="AE690" s="60">
        <v>12</v>
      </c>
      <c r="AF690" s="60">
        <v>2</v>
      </c>
      <c r="AG690" s="60">
        <v>30</v>
      </c>
      <c r="AH690" s="60" t="s">
        <v>568</v>
      </c>
      <c r="AI690" s="60">
        <v>3.25</v>
      </c>
      <c r="AJ690" s="135">
        <f t="shared" si="117"/>
        <v>97.5</v>
      </c>
      <c r="AK690" s="45">
        <f t="shared" si="122"/>
        <v>195</v>
      </c>
      <c r="AL690" s="136" t="str" cm="1">
        <f t="array" ref="AL690">_xlfn.IFS(
AI690&lt;3,"Ligera",
AI690&lt;=6,"Moderada",
AI690&gt;6,"Vigorosa"
)</f>
        <v>Moderada</v>
      </c>
      <c r="AM690" s="61" t="s">
        <v>48</v>
      </c>
      <c r="AN690" s="61" t="s">
        <v>60</v>
      </c>
      <c r="AO690" s="61" t="s">
        <v>61</v>
      </c>
      <c r="AP690" s="97" t="s">
        <v>155</v>
      </c>
      <c r="AQ690" s="230">
        <v>0</v>
      </c>
      <c r="AR690" s="98"/>
      <c r="AS690" s="89" t="s">
        <v>451</v>
      </c>
      <c r="AT690" s="76"/>
      <c r="AU690" s="76"/>
      <c r="AV690" s="76"/>
      <c r="AW690" s="76"/>
      <c r="AX690" s="76"/>
      <c r="AY690" s="76"/>
      <c r="AZ690" s="76"/>
      <c r="BA690" s="76"/>
      <c r="BB690" s="76"/>
      <c r="BC690" s="76"/>
      <c r="BD690" s="76"/>
      <c r="BE690" s="76"/>
      <c r="BF690" s="76"/>
      <c r="BG690" s="76"/>
      <c r="BH690" s="76"/>
      <c r="BI690" s="76"/>
      <c r="BJ690" s="76"/>
      <c r="BK690" s="76"/>
      <c r="BL690" s="76"/>
    </row>
    <row r="691" spans="1:64" ht="78.75" customHeight="1" thickBot="1">
      <c r="A691" s="229" t="s">
        <v>564</v>
      </c>
      <c r="B691" s="54">
        <v>102</v>
      </c>
      <c r="C691" s="54">
        <v>74.37</v>
      </c>
      <c r="D691" s="54">
        <v>37.25</v>
      </c>
      <c r="E691" s="54" t="s">
        <v>97</v>
      </c>
      <c r="F691" s="54" t="s">
        <v>565</v>
      </c>
      <c r="G691" s="54" t="s">
        <v>292</v>
      </c>
      <c r="H691" s="54"/>
      <c r="I691" s="54" t="s">
        <v>45</v>
      </c>
      <c r="J691" s="54" t="s">
        <v>47</v>
      </c>
      <c r="K691" s="54" t="s">
        <v>48</v>
      </c>
      <c r="L691" s="54" t="s">
        <v>48</v>
      </c>
      <c r="M691" s="55" t="s">
        <v>56</v>
      </c>
      <c r="N691" s="55" t="s">
        <v>76</v>
      </c>
      <c r="O691" s="55" t="s">
        <v>185</v>
      </c>
      <c r="P691" s="55" t="s">
        <v>51</v>
      </c>
      <c r="Q691" s="94" t="s">
        <v>293</v>
      </c>
      <c r="R691" s="56">
        <v>51</v>
      </c>
      <c r="S691" s="57">
        <v>18</v>
      </c>
      <c r="T691" s="58">
        <v>8.77</v>
      </c>
      <c r="U691" s="56">
        <v>51</v>
      </c>
      <c r="V691" s="56">
        <v>18.649999999999999</v>
      </c>
      <c r="W691" s="99">
        <v>8.51</v>
      </c>
      <c r="X691" s="130">
        <f t="shared" si="116"/>
        <v>0.64999999999999858</v>
      </c>
      <c r="Y691" s="16">
        <f t="shared" si="118"/>
        <v>1.2102527689313012</v>
      </c>
      <c r="Z691" s="286" t="s">
        <v>53</v>
      </c>
      <c r="AA691" s="286" t="s">
        <v>53</v>
      </c>
      <c r="AB691" s="16">
        <v>1.2102527689313012</v>
      </c>
      <c r="AC691" s="66" t="s">
        <v>49</v>
      </c>
      <c r="AD691" s="96" t="s">
        <v>566</v>
      </c>
      <c r="AE691" s="60">
        <v>12</v>
      </c>
      <c r="AF691" s="60">
        <v>2</v>
      </c>
      <c r="AG691" s="60">
        <v>30</v>
      </c>
      <c r="AH691" s="225">
        <v>206360</v>
      </c>
      <c r="AI691" s="225">
        <v>3.8</v>
      </c>
      <c r="AJ691" s="135">
        <f t="shared" si="117"/>
        <v>114</v>
      </c>
      <c r="AK691" s="45">
        <f t="shared" si="122"/>
        <v>228</v>
      </c>
      <c r="AL691" s="136" t="str" cm="1">
        <f t="array" ref="AL691">_xlfn.IFS(
AI691&lt;3,"Ligera",
AI691&lt;=6,"Moderada",
AI691&gt;6,"Vigorosa"
)</f>
        <v>Moderada</v>
      </c>
      <c r="AM691" s="61" t="s">
        <v>49</v>
      </c>
      <c r="AN691" s="97" t="s">
        <v>49</v>
      </c>
      <c r="AO691" s="97" t="s">
        <v>61</v>
      </c>
      <c r="AP691" s="97" t="s">
        <v>155</v>
      </c>
      <c r="AQ691" s="230">
        <v>0</v>
      </c>
      <c r="AR691" s="98"/>
      <c r="AS691" s="89" t="s">
        <v>451</v>
      </c>
      <c r="AT691" s="76"/>
      <c r="AU691" s="76"/>
      <c r="AV691" s="76"/>
      <c r="AW691" s="76"/>
      <c r="AX691" s="76"/>
      <c r="AY691" s="76"/>
      <c r="AZ691" s="76"/>
      <c r="BA691" s="76"/>
      <c r="BB691" s="76"/>
      <c r="BC691" s="76"/>
      <c r="BD691" s="76"/>
      <c r="BE691" s="76"/>
      <c r="BF691" s="76"/>
      <c r="BG691" s="76"/>
      <c r="BH691" s="76"/>
      <c r="BI691" s="76"/>
      <c r="BJ691" s="76"/>
      <c r="BK691" s="76"/>
      <c r="BL691" s="76"/>
    </row>
    <row r="692" spans="1:64" ht="78.75" customHeight="1" thickBot="1">
      <c r="A692" s="229" t="s">
        <v>564</v>
      </c>
      <c r="B692" s="54">
        <v>102</v>
      </c>
      <c r="C692" s="54">
        <v>74.88</v>
      </c>
      <c r="D692" s="54">
        <v>43.14</v>
      </c>
      <c r="E692" s="54" t="s">
        <v>97</v>
      </c>
      <c r="F692" s="54" t="s">
        <v>565</v>
      </c>
      <c r="G692" s="54" t="s">
        <v>292</v>
      </c>
      <c r="H692" s="54"/>
      <c r="I692" s="54" t="s">
        <v>45</v>
      </c>
      <c r="J692" s="54" t="s">
        <v>47</v>
      </c>
      <c r="K692" s="54" t="s">
        <v>48</v>
      </c>
      <c r="L692" s="54" t="s">
        <v>48</v>
      </c>
      <c r="M692" s="55" t="s">
        <v>56</v>
      </c>
      <c r="N692" s="55" t="s">
        <v>76</v>
      </c>
      <c r="O692" s="55" t="s">
        <v>77</v>
      </c>
      <c r="P692" s="55" t="s">
        <v>51</v>
      </c>
      <c r="Q692" s="94" t="s">
        <v>293</v>
      </c>
      <c r="R692" s="56">
        <v>51</v>
      </c>
      <c r="S692" s="57">
        <v>19.96</v>
      </c>
      <c r="T692" s="58">
        <v>10.88</v>
      </c>
      <c r="U692" s="56">
        <v>51</v>
      </c>
      <c r="V692" s="56">
        <v>23.04</v>
      </c>
      <c r="W692" s="99">
        <v>10.34</v>
      </c>
      <c r="X692" s="130">
        <f t="shared" si="116"/>
        <v>3.0799999999999983</v>
      </c>
      <c r="Y692" s="16">
        <f t="shared" si="118"/>
        <v>1.4871396416360805</v>
      </c>
      <c r="Z692" s="15">
        <f t="shared" si="119"/>
        <v>2.4299999999999997</v>
      </c>
      <c r="AA692" s="16">
        <f t="shared" si="120"/>
        <v>89.667850000000001</v>
      </c>
      <c r="AB692" s="16">
        <f t="shared" si="121"/>
        <v>1.875202995547363</v>
      </c>
      <c r="AC692" s="66" t="s">
        <v>49</v>
      </c>
      <c r="AD692" s="96" t="s">
        <v>567</v>
      </c>
      <c r="AE692" s="60">
        <v>12</v>
      </c>
      <c r="AF692" s="60">
        <v>2</v>
      </c>
      <c r="AG692" s="60">
        <v>30</v>
      </c>
      <c r="AH692" s="60" t="s">
        <v>568</v>
      </c>
      <c r="AI692" s="60">
        <v>3.25</v>
      </c>
      <c r="AJ692" s="135">
        <f t="shared" si="117"/>
        <v>97.5</v>
      </c>
      <c r="AK692" s="45">
        <f t="shared" si="122"/>
        <v>195</v>
      </c>
      <c r="AL692" s="136" t="str" cm="1">
        <f t="array" ref="AL692">_xlfn.IFS(
AI692&lt;3,"Ligera",
AI692&lt;=6,"Moderada",
AI692&gt;6,"Vigorosa"
)</f>
        <v>Moderada</v>
      </c>
      <c r="AM692" s="61" t="s">
        <v>48</v>
      </c>
      <c r="AN692" s="61" t="s">
        <v>60</v>
      </c>
      <c r="AO692" s="61" t="s">
        <v>61</v>
      </c>
      <c r="AP692" s="97" t="s">
        <v>155</v>
      </c>
      <c r="AQ692" s="230">
        <v>0</v>
      </c>
      <c r="AR692" s="98"/>
      <c r="AS692" s="89" t="s">
        <v>451</v>
      </c>
      <c r="AT692" s="76"/>
      <c r="AU692" s="76"/>
      <c r="AV692" s="76"/>
      <c r="AW692" s="76"/>
      <c r="AX692" s="76"/>
      <c r="AY692" s="76"/>
      <c r="AZ692" s="76"/>
      <c r="BA692" s="76"/>
      <c r="BB692" s="76"/>
      <c r="BC692" s="76"/>
      <c r="BD692" s="76"/>
      <c r="BE692" s="76"/>
      <c r="BF692" s="76"/>
      <c r="BG692" s="76"/>
      <c r="BH692" s="76"/>
      <c r="BI692" s="76"/>
      <c r="BJ692" s="76"/>
      <c r="BK692" s="76"/>
      <c r="BL692" s="76"/>
    </row>
    <row r="693" spans="1:64" ht="78.75" customHeight="1" thickBot="1">
      <c r="A693" s="229" t="s">
        <v>564</v>
      </c>
      <c r="B693" s="54">
        <v>102</v>
      </c>
      <c r="C693" s="54">
        <v>74.37</v>
      </c>
      <c r="D693" s="54">
        <v>37.25</v>
      </c>
      <c r="E693" s="54" t="s">
        <v>97</v>
      </c>
      <c r="F693" s="54" t="s">
        <v>565</v>
      </c>
      <c r="G693" s="54" t="s">
        <v>292</v>
      </c>
      <c r="H693" s="54"/>
      <c r="I693" s="54" t="s">
        <v>45</v>
      </c>
      <c r="J693" s="54" t="s">
        <v>47</v>
      </c>
      <c r="K693" s="54" t="s">
        <v>48</v>
      </c>
      <c r="L693" s="54" t="s">
        <v>48</v>
      </c>
      <c r="M693" s="55" t="s">
        <v>56</v>
      </c>
      <c r="N693" s="55" t="s">
        <v>76</v>
      </c>
      <c r="O693" s="55" t="s">
        <v>185</v>
      </c>
      <c r="P693" s="55" t="s">
        <v>51</v>
      </c>
      <c r="Q693" s="94" t="s">
        <v>299</v>
      </c>
      <c r="R693" s="56">
        <v>51</v>
      </c>
      <c r="S693" s="57">
        <v>15.82</v>
      </c>
      <c r="T693" s="58">
        <v>9.25</v>
      </c>
      <c r="U693" s="56">
        <v>51</v>
      </c>
      <c r="V693" s="56">
        <v>16.53</v>
      </c>
      <c r="W693" s="99">
        <v>8.91</v>
      </c>
      <c r="X693" s="130">
        <f t="shared" si="116"/>
        <v>0.71000000000000085</v>
      </c>
      <c r="Y693" s="16">
        <f t="shared" si="118"/>
        <v>1.2721226664246543</v>
      </c>
      <c r="Z693" s="286" t="s">
        <v>53</v>
      </c>
      <c r="AA693" s="286" t="s">
        <v>53</v>
      </c>
      <c r="AB693" s="16">
        <v>1.2721226664246543</v>
      </c>
      <c r="AC693" s="66" t="s">
        <v>49</v>
      </c>
      <c r="AD693" s="96" t="s">
        <v>566</v>
      </c>
      <c r="AE693" s="60">
        <v>12</v>
      </c>
      <c r="AF693" s="60">
        <v>2</v>
      </c>
      <c r="AG693" s="60">
        <v>30</v>
      </c>
      <c r="AH693" s="225">
        <v>206360</v>
      </c>
      <c r="AI693" s="225">
        <v>3.8</v>
      </c>
      <c r="AJ693" s="135">
        <f t="shared" si="117"/>
        <v>114</v>
      </c>
      <c r="AK693" s="45">
        <f t="shared" si="122"/>
        <v>228</v>
      </c>
      <c r="AL693" s="136" t="str" cm="1">
        <f t="array" ref="AL693">_xlfn.IFS(
AI693&lt;3,"Ligera",
AI693&lt;=6,"Moderada",
AI693&gt;6,"Vigorosa"
)</f>
        <v>Moderada</v>
      </c>
      <c r="AM693" s="61" t="s">
        <v>49</v>
      </c>
      <c r="AN693" s="97" t="s">
        <v>49</v>
      </c>
      <c r="AO693" s="97" t="s">
        <v>61</v>
      </c>
      <c r="AP693" s="97" t="s">
        <v>155</v>
      </c>
      <c r="AQ693" s="230">
        <v>0</v>
      </c>
      <c r="AR693" s="98"/>
      <c r="AS693" s="89" t="s">
        <v>451</v>
      </c>
      <c r="AT693" s="76"/>
      <c r="AU693" s="76"/>
      <c r="AV693" s="76"/>
      <c r="AW693" s="76"/>
      <c r="AX693" s="76"/>
      <c r="AY693" s="76"/>
      <c r="AZ693" s="76"/>
      <c r="BA693" s="76"/>
      <c r="BB693" s="76"/>
      <c r="BC693" s="76"/>
      <c r="BD693" s="76"/>
      <c r="BE693" s="76"/>
      <c r="BF693" s="76"/>
      <c r="BG693" s="76"/>
      <c r="BH693" s="76"/>
      <c r="BI693" s="76"/>
      <c r="BJ693" s="76"/>
      <c r="BK693" s="76"/>
      <c r="BL693" s="76"/>
    </row>
    <row r="694" spans="1:64" ht="78.75" customHeight="1" thickBot="1">
      <c r="A694" s="229" t="s">
        <v>564</v>
      </c>
      <c r="B694" s="54">
        <v>102</v>
      </c>
      <c r="C694" s="54">
        <v>74.88</v>
      </c>
      <c r="D694" s="54">
        <v>43.14</v>
      </c>
      <c r="E694" s="54" t="s">
        <v>97</v>
      </c>
      <c r="F694" s="54" t="s">
        <v>565</v>
      </c>
      <c r="G694" s="54" t="s">
        <v>292</v>
      </c>
      <c r="H694" s="54"/>
      <c r="I694" s="54" t="s">
        <v>45</v>
      </c>
      <c r="J694" s="54" t="s">
        <v>47</v>
      </c>
      <c r="K694" s="54" t="s">
        <v>48</v>
      </c>
      <c r="L694" s="54" t="s">
        <v>48</v>
      </c>
      <c r="M694" s="55" t="s">
        <v>56</v>
      </c>
      <c r="N694" s="55" t="s">
        <v>76</v>
      </c>
      <c r="O694" s="55" t="s">
        <v>77</v>
      </c>
      <c r="P694" s="55" t="s">
        <v>51</v>
      </c>
      <c r="Q694" s="94" t="s">
        <v>299</v>
      </c>
      <c r="R694" s="56">
        <v>51</v>
      </c>
      <c r="S694" s="57">
        <v>17.03</v>
      </c>
      <c r="T694" s="58">
        <v>9.0299999999999994</v>
      </c>
      <c r="U694" s="56">
        <v>51</v>
      </c>
      <c r="V694" s="56">
        <v>19.88</v>
      </c>
      <c r="W694" s="99">
        <v>8.59</v>
      </c>
      <c r="X694" s="130">
        <f t="shared" si="116"/>
        <v>2.8499999999999979</v>
      </c>
      <c r="Y694" s="16">
        <f t="shared" si="118"/>
        <v>1.2348001346570301</v>
      </c>
      <c r="Z694" s="15">
        <f t="shared" si="119"/>
        <v>2.139999999999997</v>
      </c>
      <c r="AA694" s="16">
        <f t="shared" si="120"/>
        <v>76.588100000000011</v>
      </c>
      <c r="AB694" s="16">
        <f t="shared" si="121"/>
        <v>1.7330478648787473</v>
      </c>
      <c r="AC694" s="66" t="s">
        <v>49</v>
      </c>
      <c r="AD694" s="96" t="s">
        <v>567</v>
      </c>
      <c r="AE694" s="60">
        <v>12</v>
      </c>
      <c r="AF694" s="60">
        <v>2</v>
      </c>
      <c r="AG694" s="60">
        <v>30</v>
      </c>
      <c r="AH694" s="60" t="s">
        <v>568</v>
      </c>
      <c r="AI694" s="60">
        <v>3.25</v>
      </c>
      <c r="AJ694" s="135">
        <f t="shared" si="117"/>
        <v>97.5</v>
      </c>
      <c r="AK694" s="45">
        <f t="shared" si="122"/>
        <v>195</v>
      </c>
      <c r="AL694" s="136" t="str" cm="1">
        <f t="array" ref="AL694">_xlfn.IFS(
AI694&lt;3,"Ligera",
AI694&lt;=6,"Moderada",
AI694&gt;6,"Vigorosa"
)</f>
        <v>Moderada</v>
      </c>
      <c r="AM694" s="61" t="s">
        <v>48</v>
      </c>
      <c r="AN694" s="61" t="s">
        <v>60</v>
      </c>
      <c r="AO694" s="61" t="s">
        <v>61</v>
      </c>
      <c r="AP694" s="97" t="s">
        <v>155</v>
      </c>
      <c r="AQ694" s="230">
        <v>0</v>
      </c>
      <c r="AR694" s="98"/>
      <c r="AS694" s="89" t="s">
        <v>451</v>
      </c>
      <c r="AT694" s="76"/>
      <c r="AU694" s="76"/>
      <c r="AV694" s="76"/>
      <c r="AW694" s="76"/>
      <c r="AX694" s="76"/>
      <c r="AY694" s="76"/>
      <c r="AZ694" s="76"/>
      <c r="BA694" s="76"/>
      <c r="BB694" s="76"/>
      <c r="BC694" s="76"/>
      <c r="BD694" s="76"/>
      <c r="BE694" s="76"/>
      <c r="BF694" s="76"/>
      <c r="BG694" s="76"/>
      <c r="BH694" s="76"/>
      <c r="BI694" s="76"/>
      <c r="BJ694" s="76"/>
      <c r="BK694" s="76"/>
      <c r="BL694" s="76"/>
    </row>
    <row r="695" spans="1:64" ht="78.75" customHeight="1" thickBot="1">
      <c r="A695" s="229" t="s">
        <v>564</v>
      </c>
      <c r="B695" s="54">
        <v>102</v>
      </c>
      <c r="C695" s="54">
        <v>74.37</v>
      </c>
      <c r="D695" s="54">
        <v>37.25</v>
      </c>
      <c r="E695" s="54" t="s">
        <v>97</v>
      </c>
      <c r="F695" s="54" t="s">
        <v>565</v>
      </c>
      <c r="G695" s="54" t="s">
        <v>292</v>
      </c>
      <c r="H695" s="54"/>
      <c r="I695" s="54" t="s">
        <v>45</v>
      </c>
      <c r="J695" s="54" t="s">
        <v>47</v>
      </c>
      <c r="K695" s="54" t="s">
        <v>48</v>
      </c>
      <c r="L695" s="54" t="s">
        <v>48</v>
      </c>
      <c r="M695" s="55" t="s">
        <v>56</v>
      </c>
      <c r="N695" s="55" t="s">
        <v>76</v>
      </c>
      <c r="O695" s="55" t="s">
        <v>185</v>
      </c>
      <c r="P695" s="55" t="s">
        <v>51</v>
      </c>
      <c r="Q695" s="94" t="s">
        <v>149</v>
      </c>
      <c r="R695" s="56">
        <v>51</v>
      </c>
      <c r="S695" s="57">
        <v>22.83</v>
      </c>
      <c r="T695" s="58">
        <v>10.54</v>
      </c>
      <c r="U695" s="56">
        <v>51</v>
      </c>
      <c r="V695" s="56">
        <v>20.28</v>
      </c>
      <c r="W695" s="99">
        <v>9.83</v>
      </c>
      <c r="X695" s="130">
        <f t="shared" si="116"/>
        <v>-2.5499999999999972</v>
      </c>
      <c r="Y695" s="16">
        <f t="shared" si="118"/>
        <v>1.4287818752555699</v>
      </c>
      <c r="Z695" s="286" t="s">
        <v>53</v>
      </c>
      <c r="AA695" s="286" t="s">
        <v>53</v>
      </c>
      <c r="AB695" s="16">
        <v>1.4287818752555699</v>
      </c>
      <c r="AC695" s="66" t="s">
        <v>48</v>
      </c>
      <c r="AD695" s="96" t="s">
        <v>566</v>
      </c>
      <c r="AE695" s="60">
        <v>12</v>
      </c>
      <c r="AF695" s="60">
        <v>2</v>
      </c>
      <c r="AG695" s="60">
        <v>30</v>
      </c>
      <c r="AH695" s="225">
        <v>206360</v>
      </c>
      <c r="AI695" s="225">
        <v>3.8</v>
      </c>
      <c r="AJ695" s="135">
        <f t="shared" si="117"/>
        <v>114</v>
      </c>
      <c r="AK695" s="45">
        <f t="shared" si="122"/>
        <v>228</v>
      </c>
      <c r="AL695" s="136" t="str" cm="1">
        <f t="array" ref="AL695">_xlfn.IFS(
AI695&lt;3,"Ligera",
AI695&lt;=6,"Moderada",
AI695&gt;6,"Vigorosa"
)</f>
        <v>Moderada</v>
      </c>
      <c r="AM695" s="61" t="s">
        <v>49</v>
      </c>
      <c r="AN695" s="97" t="s">
        <v>49</v>
      </c>
      <c r="AO695" s="97" t="s">
        <v>61</v>
      </c>
      <c r="AP695" s="97" t="s">
        <v>155</v>
      </c>
      <c r="AQ695" s="230">
        <v>0</v>
      </c>
      <c r="AR695" s="98"/>
      <c r="AS695" s="89" t="s">
        <v>451</v>
      </c>
      <c r="AT695" s="76"/>
      <c r="AU695" s="76"/>
      <c r="AV695" s="76"/>
      <c r="AW695" s="76"/>
      <c r="AX695" s="76"/>
      <c r="AY695" s="76"/>
      <c r="AZ695" s="76"/>
      <c r="BA695" s="76"/>
      <c r="BB695" s="76"/>
      <c r="BC695" s="76"/>
      <c r="BD695" s="76"/>
      <c r="BE695" s="76"/>
      <c r="BF695" s="76"/>
      <c r="BG695" s="76"/>
      <c r="BH695" s="76"/>
      <c r="BI695" s="76"/>
      <c r="BJ695" s="76"/>
      <c r="BK695" s="76"/>
      <c r="BL695" s="76"/>
    </row>
    <row r="696" spans="1:64" ht="78.75" customHeight="1" thickBot="1">
      <c r="A696" s="229" t="s">
        <v>564</v>
      </c>
      <c r="B696" s="54">
        <v>102</v>
      </c>
      <c r="C696" s="54">
        <v>74.88</v>
      </c>
      <c r="D696" s="54">
        <v>43.14</v>
      </c>
      <c r="E696" s="54" t="s">
        <v>97</v>
      </c>
      <c r="F696" s="54" t="s">
        <v>565</v>
      </c>
      <c r="G696" s="54" t="s">
        <v>292</v>
      </c>
      <c r="H696" s="54"/>
      <c r="I696" s="54" t="s">
        <v>45</v>
      </c>
      <c r="J696" s="54" t="s">
        <v>47</v>
      </c>
      <c r="K696" s="54" t="s">
        <v>48</v>
      </c>
      <c r="L696" s="54" t="s">
        <v>48</v>
      </c>
      <c r="M696" s="55" t="s">
        <v>56</v>
      </c>
      <c r="N696" s="55" t="s">
        <v>76</v>
      </c>
      <c r="O696" s="55" t="s">
        <v>77</v>
      </c>
      <c r="P696" s="55" t="s">
        <v>51</v>
      </c>
      <c r="Q696" s="94" t="s">
        <v>149</v>
      </c>
      <c r="R696" s="56">
        <v>51</v>
      </c>
      <c r="S696" s="57">
        <v>23.8</v>
      </c>
      <c r="T696" s="58">
        <v>10.9</v>
      </c>
      <c r="U696" s="56">
        <v>51</v>
      </c>
      <c r="V696" s="56">
        <v>19.34</v>
      </c>
      <c r="W696" s="99">
        <v>10.119999999999999</v>
      </c>
      <c r="X696" s="130">
        <f t="shared" si="116"/>
        <v>-4.4600000000000009</v>
      </c>
      <c r="Y696" s="16">
        <f t="shared" si="118"/>
        <v>1.4747309492070138</v>
      </c>
      <c r="Z696" s="15">
        <f t="shared" si="119"/>
        <v>-1.9100000000000037</v>
      </c>
      <c r="AA696" s="16">
        <f t="shared" si="120"/>
        <v>99.521649999999994</v>
      </c>
      <c r="AB696" s="16">
        <f t="shared" si="121"/>
        <v>1.9755530374863561</v>
      </c>
      <c r="AC696" s="66" t="s">
        <v>48</v>
      </c>
      <c r="AD696" s="96" t="s">
        <v>567</v>
      </c>
      <c r="AE696" s="60">
        <v>12</v>
      </c>
      <c r="AF696" s="60">
        <v>2</v>
      </c>
      <c r="AG696" s="60">
        <v>30</v>
      </c>
      <c r="AH696" s="60" t="s">
        <v>568</v>
      </c>
      <c r="AI696" s="60">
        <v>3.25</v>
      </c>
      <c r="AJ696" s="135">
        <f t="shared" si="117"/>
        <v>97.5</v>
      </c>
      <c r="AK696" s="45">
        <f t="shared" si="122"/>
        <v>195</v>
      </c>
      <c r="AL696" s="136" t="str" cm="1">
        <f t="array" ref="AL696">_xlfn.IFS(
AI696&lt;3,"Ligera",
AI696&lt;=6,"Moderada",
AI696&gt;6,"Vigorosa"
)</f>
        <v>Moderada</v>
      </c>
      <c r="AM696" s="61" t="s">
        <v>48</v>
      </c>
      <c r="AN696" s="61" t="s">
        <v>60</v>
      </c>
      <c r="AO696" s="61" t="s">
        <v>61</v>
      </c>
      <c r="AP696" s="97" t="s">
        <v>155</v>
      </c>
      <c r="AQ696" s="230">
        <v>0</v>
      </c>
      <c r="AR696" s="98"/>
      <c r="AS696" s="89" t="s">
        <v>451</v>
      </c>
      <c r="AT696" s="76"/>
      <c r="AU696" s="76"/>
      <c r="AV696" s="76"/>
      <c r="AW696" s="76"/>
      <c r="AX696" s="76"/>
      <c r="AY696" s="76"/>
      <c r="AZ696" s="76"/>
      <c r="BA696" s="76"/>
      <c r="BB696" s="76"/>
      <c r="BC696" s="76"/>
      <c r="BD696" s="76"/>
      <c r="BE696" s="76"/>
      <c r="BF696" s="76"/>
      <c r="BG696" s="76"/>
      <c r="BH696" s="76"/>
      <c r="BI696" s="76"/>
      <c r="BJ696" s="76"/>
      <c r="BK696" s="76"/>
      <c r="BL696" s="76"/>
    </row>
    <row r="697" spans="1:64" ht="78.75" customHeight="1" thickBot="1">
      <c r="A697" s="229" t="s">
        <v>564</v>
      </c>
      <c r="B697" s="54">
        <v>102</v>
      </c>
      <c r="C697" s="54">
        <v>74.37</v>
      </c>
      <c r="D697" s="54">
        <v>37.25</v>
      </c>
      <c r="E697" s="54" t="s">
        <v>97</v>
      </c>
      <c r="F697" s="54" t="s">
        <v>565</v>
      </c>
      <c r="G697" s="54" t="s">
        <v>292</v>
      </c>
      <c r="H697" s="54"/>
      <c r="I697" s="54" t="s">
        <v>45</v>
      </c>
      <c r="J697" s="54" t="s">
        <v>47</v>
      </c>
      <c r="K697" s="54" t="s">
        <v>48</v>
      </c>
      <c r="L697" s="54" t="s">
        <v>48</v>
      </c>
      <c r="M697" s="55" t="s">
        <v>56</v>
      </c>
      <c r="N697" s="55" t="s">
        <v>76</v>
      </c>
      <c r="O697" s="55" t="s">
        <v>185</v>
      </c>
      <c r="P697" s="55" t="s">
        <v>51</v>
      </c>
      <c r="Q697" s="94" t="s">
        <v>124</v>
      </c>
      <c r="R697" s="56">
        <v>51</v>
      </c>
      <c r="S697" s="57">
        <v>21.07</v>
      </c>
      <c r="T697" s="58">
        <v>9.8800000000000008</v>
      </c>
      <c r="U697" s="56">
        <v>51</v>
      </c>
      <c r="V697" s="56">
        <v>20.16</v>
      </c>
      <c r="W697" s="99">
        <v>9.3699999999999992</v>
      </c>
      <c r="X697" s="130">
        <f t="shared" si="116"/>
        <v>-0.91000000000000014</v>
      </c>
      <c r="Y697" s="16">
        <f t="shared" si="118"/>
        <v>1.34918784575657</v>
      </c>
      <c r="Z697" s="286" t="s">
        <v>53</v>
      </c>
      <c r="AA697" s="286" t="s">
        <v>53</v>
      </c>
      <c r="AB697" s="16">
        <v>1.34918784575657</v>
      </c>
      <c r="AC697" s="66" t="s">
        <v>48</v>
      </c>
      <c r="AD697" s="96" t="s">
        <v>566</v>
      </c>
      <c r="AE697" s="60">
        <v>12</v>
      </c>
      <c r="AF697" s="60">
        <v>2</v>
      </c>
      <c r="AG697" s="60">
        <v>30</v>
      </c>
      <c r="AH697" s="225">
        <v>206360</v>
      </c>
      <c r="AI697" s="225">
        <v>3.8</v>
      </c>
      <c r="AJ697" s="135">
        <f t="shared" si="117"/>
        <v>114</v>
      </c>
      <c r="AK697" s="45">
        <f t="shared" si="122"/>
        <v>228</v>
      </c>
      <c r="AL697" s="136" t="str" cm="1">
        <f t="array" ref="AL697">_xlfn.IFS(
AI697&lt;3,"Ligera",
AI697&lt;=6,"Moderada",
AI697&gt;6,"Vigorosa"
)</f>
        <v>Moderada</v>
      </c>
      <c r="AM697" s="61" t="s">
        <v>49</v>
      </c>
      <c r="AN697" s="97" t="s">
        <v>49</v>
      </c>
      <c r="AO697" s="97" t="s">
        <v>61</v>
      </c>
      <c r="AP697" s="97" t="s">
        <v>155</v>
      </c>
      <c r="AQ697" s="230">
        <v>0</v>
      </c>
      <c r="AR697" s="98"/>
      <c r="AS697" s="89" t="s">
        <v>451</v>
      </c>
      <c r="AT697" s="76"/>
      <c r="AU697" s="76"/>
      <c r="AV697" s="76"/>
      <c r="AW697" s="76"/>
      <c r="AX697" s="76"/>
      <c r="AY697" s="76"/>
      <c r="AZ697" s="76"/>
      <c r="BA697" s="76"/>
      <c r="BB697" s="76"/>
      <c r="BC697" s="76"/>
      <c r="BD697" s="76"/>
      <c r="BE697" s="76"/>
      <c r="BF697" s="76"/>
      <c r="BG697" s="76"/>
      <c r="BH697" s="76"/>
      <c r="BI697" s="76"/>
      <c r="BJ697" s="76"/>
      <c r="BK697" s="76"/>
      <c r="BL697" s="76"/>
    </row>
    <row r="698" spans="1:64" ht="78.75" customHeight="1" thickBot="1">
      <c r="A698" s="229" t="s">
        <v>564</v>
      </c>
      <c r="B698" s="54">
        <v>102</v>
      </c>
      <c r="C698" s="54">
        <v>74.88</v>
      </c>
      <c r="D698" s="54">
        <v>43.14</v>
      </c>
      <c r="E698" s="54" t="s">
        <v>97</v>
      </c>
      <c r="F698" s="54" t="s">
        <v>565</v>
      </c>
      <c r="G698" s="54" t="s">
        <v>292</v>
      </c>
      <c r="H698" s="54"/>
      <c r="I698" s="54" t="s">
        <v>45</v>
      </c>
      <c r="J698" s="54" t="s">
        <v>47</v>
      </c>
      <c r="K698" s="54" t="s">
        <v>48</v>
      </c>
      <c r="L698" s="54" t="s">
        <v>48</v>
      </c>
      <c r="M698" s="55" t="s">
        <v>56</v>
      </c>
      <c r="N698" s="55" t="s">
        <v>76</v>
      </c>
      <c r="O698" s="55" t="s">
        <v>77</v>
      </c>
      <c r="P698" s="55" t="s">
        <v>51</v>
      </c>
      <c r="Q698" s="94" t="s">
        <v>124</v>
      </c>
      <c r="R698" s="56">
        <v>51</v>
      </c>
      <c r="S698" s="57">
        <v>21.32</v>
      </c>
      <c r="T698" s="58">
        <v>10.72</v>
      </c>
      <c r="U698" s="56">
        <v>51</v>
      </c>
      <c r="V698" s="56">
        <v>18</v>
      </c>
      <c r="W698" s="99">
        <v>9.98</v>
      </c>
      <c r="X698" s="130">
        <f t="shared" si="116"/>
        <v>-3.3200000000000003</v>
      </c>
      <c r="Y698" s="16">
        <f t="shared" si="118"/>
        <v>1.4520654660334908</v>
      </c>
      <c r="Z698" s="15">
        <f t="shared" si="119"/>
        <v>-2.41</v>
      </c>
      <c r="AA698" s="16">
        <f t="shared" si="120"/>
        <v>93.698650000000001</v>
      </c>
      <c r="AB698" s="16">
        <f t="shared" si="121"/>
        <v>1.9168872848305656</v>
      </c>
      <c r="AC698" s="66" t="s">
        <v>48</v>
      </c>
      <c r="AD698" s="96" t="s">
        <v>567</v>
      </c>
      <c r="AE698" s="60">
        <v>12</v>
      </c>
      <c r="AF698" s="60">
        <v>2</v>
      </c>
      <c r="AG698" s="60">
        <v>30</v>
      </c>
      <c r="AH698" s="60" t="s">
        <v>568</v>
      </c>
      <c r="AI698" s="60">
        <v>3.25</v>
      </c>
      <c r="AJ698" s="135">
        <f t="shared" si="117"/>
        <v>97.5</v>
      </c>
      <c r="AK698" s="45">
        <f t="shared" si="122"/>
        <v>195</v>
      </c>
      <c r="AL698" s="136" t="str" cm="1">
        <f t="array" ref="AL698">_xlfn.IFS(
AI698&lt;3,"Ligera",
AI698&lt;=6,"Moderada",
AI698&gt;6,"Vigorosa"
)</f>
        <v>Moderada</v>
      </c>
      <c r="AM698" s="61" t="s">
        <v>48</v>
      </c>
      <c r="AN698" s="61" t="s">
        <v>60</v>
      </c>
      <c r="AO698" s="61" t="s">
        <v>61</v>
      </c>
      <c r="AP698" s="97" t="s">
        <v>155</v>
      </c>
      <c r="AQ698" s="230">
        <v>0</v>
      </c>
      <c r="AR698" s="98"/>
      <c r="AS698" s="89" t="s">
        <v>451</v>
      </c>
      <c r="AT698" s="76"/>
      <c r="AU698" s="76"/>
      <c r="AV698" s="76"/>
      <c r="AW698" s="76"/>
      <c r="AX698" s="76"/>
      <c r="AY698" s="76"/>
      <c r="AZ698" s="76"/>
      <c r="BA698" s="76"/>
      <c r="BB698" s="76"/>
      <c r="BC698" s="76"/>
      <c r="BD698" s="76"/>
      <c r="BE698" s="76"/>
      <c r="BF698" s="76"/>
      <c r="BG698" s="76"/>
      <c r="BH698" s="76"/>
      <c r="BI698" s="76"/>
      <c r="BJ698" s="76"/>
      <c r="BK698" s="76"/>
      <c r="BL698" s="76"/>
    </row>
    <row r="699" spans="1:64" ht="78" customHeight="1" thickBot="1">
      <c r="A699" s="229" t="s">
        <v>564</v>
      </c>
      <c r="B699" s="54">
        <v>102</v>
      </c>
      <c r="C699" s="54">
        <v>74.37</v>
      </c>
      <c r="D699" s="54">
        <v>37.25</v>
      </c>
      <c r="E699" s="54" t="s">
        <v>97</v>
      </c>
      <c r="F699" s="54" t="s">
        <v>565</v>
      </c>
      <c r="G699" s="54" t="s">
        <v>292</v>
      </c>
      <c r="H699" s="54"/>
      <c r="I699" s="54" t="s">
        <v>45</v>
      </c>
      <c r="J699" s="54" t="s">
        <v>47</v>
      </c>
      <c r="K699" s="54" t="s">
        <v>48</v>
      </c>
      <c r="L699" s="54" t="s">
        <v>48</v>
      </c>
      <c r="M699" s="55" t="s">
        <v>56</v>
      </c>
      <c r="N699" s="55" t="s">
        <v>76</v>
      </c>
      <c r="O699" s="55" t="s">
        <v>185</v>
      </c>
      <c r="P699" s="55" t="s">
        <v>51</v>
      </c>
      <c r="Q699" s="94" t="s">
        <v>210</v>
      </c>
      <c r="R699" s="56">
        <v>51</v>
      </c>
      <c r="S699" s="57">
        <v>0.59</v>
      </c>
      <c r="T699" s="58">
        <v>0.27</v>
      </c>
      <c r="U699" s="56">
        <v>51</v>
      </c>
      <c r="V699" s="56">
        <v>0.66</v>
      </c>
      <c r="W699" s="99">
        <v>0.24</v>
      </c>
      <c r="X699" s="130">
        <f t="shared" si="116"/>
        <v>7.0000000000000062E-2</v>
      </c>
      <c r="Y699" s="16">
        <f t="shared" si="118"/>
        <v>3.5891994847286592E-2</v>
      </c>
      <c r="Z699" s="286" t="s">
        <v>53</v>
      </c>
      <c r="AA699" s="286" t="s">
        <v>53</v>
      </c>
      <c r="AB699" s="16">
        <v>3.5891994847286592E-2</v>
      </c>
      <c r="AC699" s="66" t="s">
        <v>49</v>
      </c>
      <c r="AD699" s="96" t="s">
        <v>566</v>
      </c>
      <c r="AE699" s="60">
        <v>12</v>
      </c>
      <c r="AF699" s="60">
        <v>2</v>
      </c>
      <c r="AG699" s="60">
        <v>30</v>
      </c>
      <c r="AH699" s="225">
        <v>206360</v>
      </c>
      <c r="AI699" s="225">
        <v>3.8</v>
      </c>
      <c r="AJ699" s="135">
        <f t="shared" si="117"/>
        <v>114</v>
      </c>
      <c r="AK699" s="45">
        <f t="shared" si="122"/>
        <v>228</v>
      </c>
      <c r="AL699" s="136" t="str" cm="1">
        <f t="array" ref="AL699">_xlfn.IFS(
AI699&lt;3,"Ligera",
AI699&lt;=6,"Moderada",
AI699&gt;6,"Vigorosa"
)</f>
        <v>Moderada</v>
      </c>
      <c r="AM699" s="61" t="s">
        <v>49</v>
      </c>
      <c r="AN699" s="97" t="s">
        <v>49</v>
      </c>
      <c r="AO699" s="97" t="s">
        <v>61</v>
      </c>
      <c r="AP699" s="97" t="s">
        <v>155</v>
      </c>
      <c r="AQ699" s="230">
        <v>0</v>
      </c>
      <c r="AR699" s="98"/>
      <c r="AS699" s="89" t="s">
        <v>451</v>
      </c>
      <c r="AT699" s="76"/>
      <c r="AU699" s="76"/>
      <c r="AV699" s="76"/>
      <c r="AW699" s="76"/>
      <c r="AX699" s="76"/>
      <c r="AY699" s="76"/>
      <c r="AZ699" s="76"/>
      <c r="BA699" s="76"/>
      <c r="BB699" s="76"/>
      <c r="BC699" s="76"/>
      <c r="BD699" s="76"/>
      <c r="BE699" s="76"/>
      <c r="BF699" s="76"/>
      <c r="BG699" s="76"/>
      <c r="BH699" s="76"/>
      <c r="BI699" s="76"/>
      <c r="BJ699" s="76"/>
      <c r="BK699" s="76"/>
      <c r="BL699" s="76"/>
    </row>
    <row r="700" spans="1:64" ht="78.75" customHeight="1" thickBot="1">
      <c r="A700" s="229" t="s">
        <v>564</v>
      </c>
      <c r="B700" s="54">
        <v>102</v>
      </c>
      <c r="C700" s="54">
        <v>74.88</v>
      </c>
      <c r="D700" s="54">
        <v>43.14</v>
      </c>
      <c r="E700" s="54" t="s">
        <v>97</v>
      </c>
      <c r="F700" s="54" t="s">
        <v>565</v>
      </c>
      <c r="G700" s="54" t="s">
        <v>292</v>
      </c>
      <c r="H700" s="54"/>
      <c r="I700" s="54" t="s">
        <v>45</v>
      </c>
      <c r="J700" s="54" t="s">
        <v>47</v>
      </c>
      <c r="K700" s="54" t="s">
        <v>48</v>
      </c>
      <c r="L700" s="54" t="s">
        <v>48</v>
      </c>
      <c r="M700" s="55" t="s">
        <v>56</v>
      </c>
      <c r="N700" s="55" t="s">
        <v>76</v>
      </c>
      <c r="O700" s="55" t="s">
        <v>77</v>
      </c>
      <c r="P700" s="55" t="s">
        <v>51</v>
      </c>
      <c r="Q700" s="94" t="s">
        <v>210</v>
      </c>
      <c r="R700" s="56">
        <v>51</v>
      </c>
      <c r="S700" s="57">
        <v>0.56999999999999995</v>
      </c>
      <c r="T700" s="58">
        <v>0.27</v>
      </c>
      <c r="U700" s="56">
        <v>51</v>
      </c>
      <c r="V700" s="63">
        <v>0.66</v>
      </c>
      <c r="W700" s="99">
        <v>0.24</v>
      </c>
      <c r="X700" s="130">
        <f t="shared" si="116"/>
        <v>9.000000000000008E-2</v>
      </c>
      <c r="Y700" s="16">
        <f t="shared" si="118"/>
        <v>3.5891994847286592E-2</v>
      </c>
      <c r="Z700" s="15">
        <f t="shared" si="119"/>
        <v>2.0000000000000018E-2</v>
      </c>
      <c r="AA700" s="16">
        <f t="shared" si="120"/>
        <v>5.7599999999999998E-2</v>
      </c>
      <c r="AB700" s="16">
        <f t="shared" si="121"/>
        <v>4.7527082062880366E-2</v>
      </c>
      <c r="AC700" s="66" t="s">
        <v>49</v>
      </c>
      <c r="AD700" s="96" t="s">
        <v>567</v>
      </c>
      <c r="AE700" s="60">
        <v>12</v>
      </c>
      <c r="AF700" s="60">
        <v>2</v>
      </c>
      <c r="AG700" s="60">
        <v>30</v>
      </c>
      <c r="AH700" s="60" t="s">
        <v>568</v>
      </c>
      <c r="AI700" s="60">
        <v>3.25</v>
      </c>
      <c r="AJ700" s="135">
        <f t="shared" si="117"/>
        <v>97.5</v>
      </c>
      <c r="AK700" s="45">
        <f t="shared" si="122"/>
        <v>195</v>
      </c>
      <c r="AL700" s="136" t="str" cm="1">
        <f t="array" ref="AL700">_xlfn.IFS(
AI700&lt;3,"Ligera",
AI700&lt;=6,"Moderada",
AI700&gt;6,"Vigorosa"
)</f>
        <v>Moderada</v>
      </c>
      <c r="AM700" s="61" t="s">
        <v>48</v>
      </c>
      <c r="AN700" s="61" t="s">
        <v>60</v>
      </c>
      <c r="AO700" s="61" t="s">
        <v>61</v>
      </c>
      <c r="AP700" s="97" t="s">
        <v>155</v>
      </c>
      <c r="AQ700" s="230">
        <v>0</v>
      </c>
      <c r="AR700" s="98"/>
      <c r="AS700" s="89" t="s">
        <v>451</v>
      </c>
      <c r="AT700" s="76"/>
      <c r="AU700" s="76"/>
      <c r="AV700" s="76"/>
      <c r="AW700" s="76"/>
      <c r="AX700" s="76"/>
      <c r="AY700" s="76"/>
      <c r="AZ700" s="76"/>
      <c r="BA700" s="76"/>
      <c r="BB700" s="76"/>
      <c r="BC700" s="76"/>
      <c r="BD700" s="76"/>
      <c r="BE700" s="76"/>
      <c r="BF700" s="76"/>
      <c r="BG700" s="76"/>
      <c r="BH700" s="76"/>
      <c r="BI700" s="76"/>
      <c r="BJ700" s="76"/>
      <c r="BK700" s="76"/>
      <c r="BL700" s="76"/>
    </row>
    <row r="701" spans="1:64" ht="78.75" customHeight="1" thickBot="1">
      <c r="A701" s="229" t="s">
        <v>564</v>
      </c>
      <c r="B701" s="54">
        <v>102</v>
      </c>
      <c r="C701" s="54">
        <v>74.37</v>
      </c>
      <c r="D701" s="54">
        <v>37.25</v>
      </c>
      <c r="E701" s="54" t="s">
        <v>97</v>
      </c>
      <c r="F701" s="54" t="s">
        <v>565</v>
      </c>
      <c r="G701" s="54" t="s">
        <v>292</v>
      </c>
      <c r="H701" s="54"/>
      <c r="I701" s="54" t="s">
        <v>45</v>
      </c>
      <c r="J701" s="54" t="s">
        <v>47</v>
      </c>
      <c r="K701" s="54" t="s">
        <v>48</v>
      </c>
      <c r="L701" s="54" t="s">
        <v>48</v>
      </c>
      <c r="M701" s="55" t="s">
        <v>56</v>
      </c>
      <c r="N701" s="55" t="s">
        <v>76</v>
      </c>
      <c r="O701" s="55" t="s">
        <v>185</v>
      </c>
      <c r="P701" s="55" t="s">
        <v>51</v>
      </c>
      <c r="Q701" s="94" t="s">
        <v>307</v>
      </c>
      <c r="R701" s="56">
        <v>51</v>
      </c>
      <c r="S701" s="57">
        <v>-14.06</v>
      </c>
      <c r="T701" s="58">
        <v>14.8</v>
      </c>
      <c r="U701" s="56">
        <v>51</v>
      </c>
      <c r="V701" s="56">
        <v>-9.9</v>
      </c>
      <c r="W701" s="99">
        <v>13.99</v>
      </c>
      <c r="X701" s="130">
        <f t="shared" si="116"/>
        <v>4.16</v>
      </c>
      <c r="Y701" s="16">
        <f t="shared" si="118"/>
        <v>2.0180951025997893</v>
      </c>
      <c r="Z701" s="286" t="s">
        <v>53</v>
      </c>
      <c r="AA701" s="286" t="s">
        <v>53</v>
      </c>
      <c r="AB701" s="16">
        <v>2.0180951025997893</v>
      </c>
      <c r="AC701" s="66" t="s">
        <v>49</v>
      </c>
      <c r="AD701" s="96" t="s">
        <v>566</v>
      </c>
      <c r="AE701" s="60">
        <v>12</v>
      </c>
      <c r="AF701" s="60">
        <v>2</v>
      </c>
      <c r="AG701" s="60">
        <v>30</v>
      </c>
      <c r="AH701" s="225">
        <v>206360</v>
      </c>
      <c r="AI701" s="225">
        <v>3.8</v>
      </c>
      <c r="AJ701" s="135">
        <f t="shared" si="117"/>
        <v>114</v>
      </c>
      <c r="AK701" s="45">
        <f t="shared" si="122"/>
        <v>228</v>
      </c>
      <c r="AL701" s="136" t="str" cm="1">
        <f t="array" ref="AL701">_xlfn.IFS(
AI701&lt;3,"Ligera",
AI701&lt;=6,"Moderada",
AI701&gt;6,"Vigorosa"
)</f>
        <v>Moderada</v>
      </c>
      <c r="AM701" s="61" t="s">
        <v>49</v>
      </c>
      <c r="AN701" s="97" t="s">
        <v>49</v>
      </c>
      <c r="AO701" s="97" t="s">
        <v>61</v>
      </c>
      <c r="AP701" s="97" t="s">
        <v>155</v>
      </c>
      <c r="AQ701" s="230">
        <v>0</v>
      </c>
      <c r="AR701" s="98"/>
      <c r="AS701" s="89" t="s">
        <v>451</v>
      </c>
      <c r="AT701" s="76"/>
      <c r="AU701" s="76"/>
      <c r="AV701" s="76"/>
      <c r="AW701" s="76"/>
      <c r="AX701" s="76"/>
      <c r="AY701" s="76"/>
      <c r="AZ701" s="76"/>
      <c r="BA701" s="76"/>
      <c r="BB701" s="76"/>
      <c r="BC701" s="76"/>
      <c r="BD701" s="76"/>
      <c r="BE701" s="76"/>
      <c r="BF701" s="76"/>
      <c r="BG701" s="76"/>
      <c r="BH701" s="76"/>
      <c r="BI701" s="76"/>
      <c r="BJ701" s="76"/>
      <c r="BK701" s="76"/>
      <c r="BL701" s="76"/>
    </row>
    <row r="702" spans="1:64" ht="78.75" customHeight="1" thickBot="1">
      <c r="A702" s="229" t="s">
        <v>564</v>
      </c>
      <c r="B702" s="54">
        <v>102</v>
      </c>
      <c r="C702" s="54">
        <v>74.88</v>
      </c>
      <c r="D702" s="54">
        <v>43.14</v>
      </c>
      <c r="E702" s="54" t="s">
        <v>97</v>
      </c>
      <c r="F702" s="54" t="s">
        <v>565</v>
      </c>
      <c r="G702" s="54" t="s">
        <v>292</v>
      </c>
      <c r="H702" s="54"/>
      <c r="I702" s="54" t="s">
        <v>45</v>
      </c>
      <c r="J702" s="54" t="s">
        <v>47</v>
      </c>
      <c r="K702" s="54" t="s">
        <v>48</v>
      </c>
      <c r="L702" s="54" t="s">
        <v>48</v>
      </c>
      <c r="M702" s="55" t="s">
        <v>56</v>
      </c>
      <c r="N702" s="55" t="s">
        <v>76</v>
      </c>
      <c r="O702" s="55" t="s">
        <v>77</v>
      </c>
      <c r="P702" s="55" t="s">
        <v>51</v>
      </c>
      <c r="Q702" s="94" t="s">
        <v>307</v>
      </c>
      <c r="R702" s="56">
        <v>51</v>
      </c>
      <c r="S702" s="57">
        <v>-11.29</v>
      </c>
      <c r="T702" s="58">
        <v>12.69</v>
      </c>
      <c r="U702" s="56">
        <v>51</v>
      </c>
      <c r="V702" s="56">
        <v>-1.27</v>
      </c>
      <c r="W702" s="99">
        <v>11.63</v>
      </c>
      <c r="X702" s="130">
        <f t="shared" si="116"/>
        <v>10.02</v>
      </c>
      <c r="Y702" s="16">
        <f t="shared" si="118"/>
        <v>1.7075857283333811</v>
      </c>
      <c r="Z702" s="15">
        <f t="shared" si="119"/>
        <v>5.8599999999999994</v>
      </c>
      <c r="AA702" s="16">
        <f t="shared" si="120"/>
        <v>165.48850000000002</v>
      </c>
      <c r="AB702" s="16">
        <f t="shared" si="121"/>
        <v>2.5474978111941953</v>
      </c>
      <c r="AC702" s="66" t="s">
        <v>49</v>
      </c>
      <c r="AD702" s="96" t="s">
        <v>567</v>
      </c>
      <c r="AE702" s="60">
        <v>12</v>
      </c>
      <c r="AF702" s="60">
        <v>2</v>
      </c>
      <c r="AG702" s="60">
        <v>30</v>
      </c>
      <c r="AH702" s="60" t="s">
        <v>568</v>
      </c>
      <c r="AI702" s="60">
        <v>3.25</v>
      </c>
      <c r="AJ702" s="135">
        <f t="shared" si="117"/>
        <v>97.5</v>
      </c>
      <c r="AK702" s="45">
        <f t="shared" si="122"/>
        <v>195</v>
      </c>
      <c r="AL702" s="136" t="str" cm="1">
        <f t="array" ref="AL702">_xlfn.IFS(
AI702&lt;3,"Ligera",
AI702&lt;=6,"Moderada",
AI702&gt;6,"Vigorosa"
)</f>
        <v>Moderada</v>
      </c>
      <c r="AM702" s="61" t="s">
        <v>48</v>
      </c>
      <c r="AN702" s="61" t="s">
        <v>60</v>
      </c>
      <c r="AO702" s="61" t="s">
        <v>61</v>
      </c>
      <c r="AP702" s="97" t="s">
        <v>155</v>
      </c>
      <c r="AQ702" s="230">
        <v>0</v>
      </c>
      <c r="AR702" s="98"/>
      <c r="AS702" s="89" t="s">
        <v>451</v>
      </c>
      <c r="AT702" s="76"/>
      <c r="AU702" s="76"/>
      <c r="AV702" s="76"/>
      <c r="AW702" s="76"/>
      <c r="AX702" s="76"/>
      <c r="AY702" s="76"/>
      <c r="AZ702" s="76"/>
      <c r="BA702" s="76"/>
      <c r="BB702" s="76"/>
      <c r="BC702" s="76"/>
      <c r="BD702" s="76"/>
      <c r="BE702" s="76"/>
      <c r="BF702" s="76"/>
      <c r="BG702" s="76"/>
      <c r="BH702" s="76"/>
      <c r="BI702" s="76"/>
      <c r="BJ702" s="76"/>
      <c r="BK702" s="76"/>
      <c r="BL702" s="76"/>
    </row>
    <row r="703" spans="1:64" ht="78.75" customHeight="1" thickBot="1">
      <c r="A703" s="229" t="s">
        <v>564</v>
      </c>
      <c r="B703" s="54">
        <v>102</v>
      </c>
      <c r="C703" s="54">
        <v>74.37</v>
      </c>
      <c r="D703" s="54">
        <v>37.25</v>
      </c>
      <c r="E703" s="54" t="s">
        <v>97</v>
      </c>
      <c r="F703" s="54" t="s">
        <v>565</v>
      </c>
      <c r="G703" s="54" t="s">
        <v>292</v>
      </c>
      <c r="H703" s="54"/>
      <c r="I703" s="54" t="s">
        <v>45</v>
      </c>
      <c r="J703" s="54" t="s">
        <v>47</v>
      </c>
      <c r="K703" s="54" t="s">
        <v>48</v>
      </c>
      <c r="L703" s="54" t="s">
        <v>48</v>
      </c>
      <c r="M703" s="55" t="s">
        <v>56</v>
      </c>
      <c r="N703" s="55" t="s">
        <v>76</v>
      </c>
      <c r="O703" s="55" t="s">
        <v>185</v>
      </c>
      <c r="P703" s="55" t="s">
        <v>51</v>
      </c>
      <c r="Q703" s="94" t="s">
        <v>368</v>
      </c>
      <c r="R703" s="56">
        <v>51</v>
      </c>
      <c r="S703" s="57">
        <v>-14.59</v>
      </c>
      <c r="T703" s="58">
        <v>15.2</v>
      </c>
      <c r="U703" s="56">
        <v>51</v>
      </c>
      <c r="V703" s="56">
        <v>-10.69</v>
      </c>
      <c r="W703" s="99">
        <v>14.33</v>
      </c>
      <c r="X703" s="130">
        <f t="shared" si="116"/>
        <v>3.9000000000000004</v>
      </c>
      <c r="Y703" s="16">
        <f t="shared" si="118"/>
        <v>2.0702036463244147</v>
      </c>
      <c r="Z703" s="286" t="s">
        <v>53</v>
      </c>
      <c r="AA703" s="286" t="s">
        <v>53</v>
      </c>
      <c r="AB703" s="16">
        <v>2.0702036463244147</v>
      </c>
      <c r="AC703" s="66" t="s">
        <v>49</v>
      </c>
      <c r="AD703" s="96" t="s">
        <v>566</v>
      </c>
      <c r="AE703" s="60">
        <v>12</v>
      </c>
      <c r="AF703" s="60">
        <v>2</v>
      </c>
      <c r="AG703" s="60">
        <v>30</v>
      </c>
      <c r="AH703" s="225">
        <v>206360</v>
      </c>
      <c r="AI703" s="225">
        <v>3.8</v>
      </c>
      <c r="AJ703" s="135">
        <f t="shared" si="117"/>
        <v>114</v>
      </c>
      <c r="AK703" s="45">
        <f t="shared" si="122"/>
        <v>228</v>
      </c>
      <c r="AL703" s="136" t="str" cm="1">
        <f t="array" ref="AL703">_xlfn.IFS(
AI703&lt;3,"Ligera",
AI703&lt;=6,"Moderada",
AI703&gt;6,"Vigorosa"
)</f>
        <v>Moderada</v>
      </c>
      <c r="AM703" s="61" t="s">
        <v>49</v>
      </c>
      <c r="AN703" s="97" t="s">
        <v>49</v>
      </c>
      <c r="AO703" s="97" t="s">
        <v>61</v>
      </c>
      <c r="AP703" s="97" t="s">
        <v>155</v>
      </c>
      <c r="AQ703" s="230">
        <v>0</v>
      </c>
      <c r="AR703" s="98"/>
      <c r="AS703" s="89" t="s">
        <v>451</v>
      </c>
      <c r="AT703" s="76"/>
      <c r="AU703" s="76"/>
      <c r="AV703" s="76"/>
      <c r="AW703" s="76"/>
      <c r="AX703" s="76"/>
      <c r="AY703" s="76"/>
      <c r="AZ703" s="76"/>
      <c r="BA703" s="76"/>
      <c r="BB703" s="76"/>
      <c r="BC703" s="76"/>
      <c r="BD703" s="76"/>
      <c r="BE703" s="76"/>
      <c r="BF703" s="76"/>
      <c r="BG703" s="76"/>
      <c r="BH703" s="76"/>
      <c r="BI703" s="76"/>
      <c r="BJ703" s="76"/>
      <c r="BK703" s="76"/>
      <c r="BL703" s="76"/>
    </row>
    <row r="704" spans="1:64" ht="78.75" customHeight="1" thickBot="1">
      <c r="A704" s="229" t="s">
        <v>564</v>
      </c>
      <c r="B704" s="54">
        <v>102</v>
      </c>
      <c r="C704" s="54">
        <v>74.88</v>
      </c>
      <c r="D704" s="54">
        <v>43.14</v>
      </c>
      <c r="E704" s="54" t="s">
        <v>97</v>
      </c>
      <c r="F704" s="54" t="s">
        <v>565</v>
      </c>
      <c r="G704" s="54" t="s">
        <v>292</v>
      </c>
      <c r="H704" s="54"/>
      <c r="I704" s="54" t="s">
        <v>45</v>
      </c>
      <c r="J704" s="54" t="s">
        <v>47</v>
      </c>
      <c r="K704" s="54" t="s">
        <v>48</v>
      </c>
      <c r="L704" s="54" t="s">
        <v>48</v>
      </c>
      <c r="M704" s="55" t="s">
        <v>56</v>
      </c>
      <c r="N704" s="55" t="s">
        <v>76</v>
      </c>
      <c r="O704" s="55" t="s">
        <v>77</v>
      </c>
      <c r="P704" s="55" t="s">
        <v>51</v>
      </c>
      <c r="Q704" s="94" t="s">
        <v>368</v>
      </c>
      <c r="R704" s="56">
        <v>51</v>
      </c>
      <c r="S704" s="57">
        <v>-11.59</v>
      </c>
      <c r="T704" s="58">
        <v>12.5</v>
      </c>
      <c r="U704" s="56">
        <v>51</v>
      </c>
      <c r="V704" s="56">
        <v>-0.86</v>
      </c>
      <c r="W704" s="99">
        <v>11.44</v>
      </c>
      <c r="X704" s="130">
        <f t="shared" si="116"/>
        <v>10.73</v>
      </c>
      <c r="Y704" s="16">
        <f t="shared" si="118"/>
        <v>1.6810570903977267</v>
      </c>
      <c r="Z704" s="15">
        <f t="shared" si="119"/>
        <v>6.83</v>
      </c>
      <c r="AA704" s="16">
        <f t="shared" si="120"/>
        <v>168.11125000000001</v>
      </c>
      <c r="AB704" s="16">
        <f t="shared" si="121"/>
        <v>2.5676055069296932</v>
      </c>
      <c r="AC704" s="66" t="s">
        <v>49</v>
      </c>
      <c r="AD704" s="96" t="s">
        <v>567</v>
      </c>
      <c r="AE704" s="60">
        <v>12</v>
      </c>
      <c r="AF704" s="60">
        <v>2</v>
      </c>
      <c r="AG704" s="60">
        <v>30</v>
      </c>
      <c r="AH704" s="60" t="s">
        <v>568</v>
      </c>
      <c r="AI704" s="60">
        <v>3.25</v>
      </c>
      <c r="AJ704" s="135">
        <f t="shared" si="117"/>
        <v>97.5</v>
      </c>
      <c r="AK704" s="45">
        <f t="shared" si="122"/>
        <v>195</v>
      </c>
      <c r="AL704" s="136" t="str" cm="1">
        <f t="array" ref="AL704">_xlfn.IFS(
AI704&lt;3,"Ligera",
AI704&lt;=6,"Moderada",
AI704&gt;6,"Vigorosa"
)</f>
        <v>Moderada</v>
      </c>
      <c r="AM704" s="61" t="s">
        <v>48</v>
      </c>
      <c r="AN704" s="61" t="s">
        <v>60</v>
      </c>
      <c r="AO704" s="61" t="s">
        <v>61</v>
      </c>
      <c r="AP704" s="97" t="s">
        <v>155</v>
      </c>
      <c r="AQ704" s="230">
        <v>0</v>
      </c>
      <c r="AR704" s="98"/>
      <c r="AS704" s="89" t="s">
        <v>451</v>
      </c>
      <c r="AT704" s="76"/>
      <c r="AU704" s="76"/>
      <c r="AV704" s="76"/>
      <c r="AW704" s="76"/>
      <c r="AX704" s="76"/>
      <c r="AY704" s="76"/>
      <c r="AZ704" s="76"/>
      <c r="BA704" s="76"/>
      <c r="BB704" s="76"/>
      <c r="BC704" s="76"/>
      <c r="BD704" s="76"/>
      <c r="BE704" s="76"/>
      <c r="BF704" s="76"/>
      <c r="BG704" s="76"/>
      <c r="BH704" s="76"/>
      <c r="BI704" s="76"/>
      <c r="BJ704" s="76"/>
      <c r="BK704" s="76"/>
      <c r="BL704" s="76"/>
    </row>
    <row r="705" spans="1:64" ht="78.75" customHeight="1" thickBot="1">
      <c r="A705" s="229" t="s">
        <v>564</v>
      </c>
      <c r="B705" s="54">
        <v>102</v>
      </c>
      <c r="C705" s="54">
        <v>74.37</v>
      </c>
      <c r="D705" s="54">
        <v>37.25</v>
      </c>
      <c r="E705" s="54" t="s">
        <v>97</v>
      </c>
      <c r="F705" s="54" t="s">
        <v>565</v>
      </c>
      <c r="G705" s="54" t="s">
        <v>292</v>
      </c>
      <c r="H705" s="54"/>
      <c r="I705" s="54" t="s">
        <v>45</v>
      </c>
      <c r="J705" s="54" t="s">
        <v>47</v>
      </c>
      <c r="K705" s="54" t="s">
        <v>48</v>
      </c>
      <c r="L705" s="54" t="s">
        <v>48</v>
      </c>
      <c r="M705" s="55" t="s">
        <v>56</v>
      </c>
      <c r="N705" s="55" t="s">
        <v>76</v>
      </c>
      <c r="O705" s="55" t="s">
        <v>185</v>
      </c>
      <c r="P705" s="11" t="s">
        <v>86</v>
      </c>
      <c r="Q705" s="94" t="s">
        <v>87</v>
      </c>
      <c r="R705" s="56">
        <v>51</v>
      </c>
      <c r="S705" s="57">
        <v>33.96</v>
      </c>
      <c r="T705" s="58">
        <v>13.15</v>
      </c>
      <c r="U705" s="56">
        <v>51</v>
      </c>
      <c r="V705" s="56">
        <v>35.14</v>
      </c>
      <c r="W705" s="99">
        <v>12.49</v>
      </c>
      <c r="X705" s="130">
        <f t="shared" si="116"/>
        <v>1.1799999999999997</v>
      </c>
      <c r="Y705" s="16">
        <f t="shared" si="118"/>
        <v>1.7969423921718561</v>
      </c>
      <c r="Z705" s="286" t="s">
        <v>53</v>
      </c>
      <c r="AA705" s="286" t="s">
        <v>53</v>
      </c>
      <c r="AB705" s="16">
        <v>1.7969423921718561</v>
      </c>
      <c r="AC705" s="66" t="s">
        <v>49</v>
      </c>
      <c r="AD705" s="96" t="s">
        <v>566</v>
      </c>
      <c r="AE705" s="60">
        <v>12</v>
      </c>
      <c r="AF705" s="60">
        <v>2</v>
      </c>
      <c r="AG705" s="60">
        <v>30</v>
      </c>
      <c r="AH705" s="225">
        <v>206360</v>
      </c>
      <c r="AI705" s="225">
        <v>3.8</v>
      </c>
      <c r="AJ705" s="135">
        <f t="shared" si="117"/>
        <v>114</v>
      </c>
      <c r="AK705" s="45">
        <f t="shared" si="122"/>
        <v>228</v>
      </c>
      <c r="AL705" s="136" t="str" cm="1">
        <f t="array" ref="AL705">_xlfn.IFS(
AI705&lt;3,"Ligera",
AI705&lt;=6,"Moderada",
AI705&gt;6,"Vigorosa"
)</f>
        <v>Moderada</v>
      </c>
      <c r="AM705" s="61" t="s">
        <v>49</v>
      </c>
      <c r="AN705" s="97" t="s">
        <v>49</v>
      </c>
      <c r="AO705" s="97" t="s">
        <v>61</v>
      </c>
      <c r="AP705" s="97" t="s">
        <v>155</v>
      </c>
      <c r="AQ705" s="230">
        <v>0</v>
      </c>
      <c r="AR705" s="98"/>
      <c r="AS705" s="89" t="s">
        <v>451</v>
      </c>
      <c r="AT705" s="76"/>
      <c r="AU705" s="76"/>
      <c r="AV705" s="76"/>
      <c r="AW705" s="76"/>
      <c r="AX705" s="76"/>
      <c r="AY705" s="76"/>
      <c r="AZ705" s="76"/>
      <c r="BA705" s="76"/>
      <c r="BB705" s="76"/>
      <c r="BC705" s="76"/>
      <c r="BD705" s="76"/>
      <c r="BE705" s="76"/>
      <c r="BF705" s="76"/>
      <c r="BG705" s="76"/>
      <c r="BH705" s="76"/>
      <c r="BI705" s="76"/>
      <c r="BJ705" s="76"/>
      <c r="BK705" s="76"/>
      <c r="BL705" s="76"/>
    </row>
    <row r="706" spans="1:64" ht="78.75" customHeight="1" thickBot="1">
      <c r="A706" s="229" t="s">
        <v>564</v>
      </c>
      <c r="B706" s="54">
        <v>102</v>
      </c>
      <c r="C706" s="54">
        <v>74.88</v>
      </c>
      <c r="D706" s="54">
        <v>43.14</v>
      </c>
      <c r="E706" s="54" t="s">
        <v>97</v>
      </c>
      <c r="F706" s="54" t="s">
        <v>565</v>
      </c>
      <c r="G706" s="54" t="s">
        <v>292</v>
      </c>
      <c r="H706" s="54"/>
      <c r="I706" s="54" t="s">
        <v>45</v>
      </c>
      <c r="J706" s="54" t="s">
        <v>47</v>
      </c>
      <c r="K706" s="54" t="s">
        <v>48</v>
      </c>
      <c r="L706" s="54" t="s">
        <v>48</v>
      </c>
      <c r="M706" s="55" t="s">
        <v>56</v>
      </c>
      <c r="N706" s="55" t="s">
        <v>76</v>
      </c>
      <c r="O706" s="55" t="s">
        <v>77</v>
      </c>
      <c r="P706" s="11" t="s">
        <v>86</v>
      </c>
      <c r="Q706" s="94" t="s">
        <v>87</v>
      </c>
      <c r="R706" s="56">
        <v>51</v>
      </c>
      <c r="S706" s="57">
        <v>32.67</v>
      </c>
      <c r="T706" s="58">
        <v>14.4</v>
      </c>
      <c r="U706" s="56">
        <v>51</v>
      </c>
      <c r="V706" s="56">
        <v>38.49</v>
      </c>
      <c r="W706" s="99">
        <v>13.47</v>
      </c>
      <c r="X706" s="130">
        <f t="shared" si="116"/>
        <v>5.82</v>
      </c>
      <c r="Y706" s="16">
        <f t="shared" si="118"/>
        <v>1.9545467354802419</v>
      </c>
      <c r="Z706" s="15">
        <f t="shared" si="119"/>
        <v>4.6400000000000006</v>
      </c>
      <c r="AA706" s="16">
        <f t="shared" si="120"/>
        <v>168.72050000000002</v>
      </c>
      <c r="AB706" s="16">
        <f t="shared" si="121"/>
        <v>2.5722539136093139</v>
      </c>
      <c r="AC706" s="66" t="s">
        <v>49</v>
      </c>
      <c r="AD706" s="96" t="s">
        <v>567</v>
      </c>
      <c r="AE706" s="60">
        <v>12</v>
      </c>
      <c r="AF706" s="60">
        <v>2</v>
      </c>
      <c r="AG706" s="60">
        <v>30</v>
      </c>
      <c r="AH706" s="60" t="s">
        <v>568</v>
      </c>
      <c r="AI706" s="60">
        <v>3.25</v>
      </c>
      <c r="AJ706" s="135">
        <f t="shared" si="117"/>
        <v>97.5</v>
      </c>
      <c r="AK706" s="45">
        <f t="shared" si="122"/>
        <v>195</v>
      </c>
      <c r="AL706" s="136" t="str" cm="1">
        <f t="array" ref="AL706">_xlfn.IFS(
AI706&lt;3,"Ligera",
AI706&lt;=6,"Moderada",
AI706&gt;6,"Vigorosa"
)</f>
        <v>Moderada</v>
      </c>
      <c r="AM706" s="61" t="s">
        <v>48</v>
      </c>
      <c r="AN706" s="61" t="s">
        <v>60</v>
      </c>
      <c r="AO706" s="61" t="s">
        <v>61</v>
      </c>
      <c r="AP706" s="97" t="s">
        <v>155</v>
      </c>
      <c r="AQ706" s="230">
        <v>0</v>
      </c>
      <c r="AR706" s="98"/>
      <c r="AS706" s="89" t="s">
        <v>451</v>
      </c>
      <c r="AT706" s="76"/>
      <c r="AU706" s="76"/>
      <c r="AV706" s="76"/>
      <c r="AW706" s="76"/>
      <c r="AX706" s="76"/>
      <c r="AY706" s="76"/>
      <c r="AZ706" s="76"/>
      <c r="BA706" s="76"/>
      <c r="BB706" s="76"/>
      <c r="BC706" s="76"/>
      <c r="BD706" s="76"/>
      <c r="BE706" s="76"/>
      <c r="BF706" s="76"/>
      <c r="BG706" s="76"/>
      <c r="BH706" s="76"/>
      <c r="BI706" s="76"/>
      <c r="BJ706" s="76"/>
      <c r="BK706" s="76"/>
      <c r="BL706" s="76"/>
    </row>
    <row r="707" spans="1:64" s="101" customFormat="1" ht="78.75" customHeight="1" thickBot="1">
      <c r="A707" s="217" t="s">
        <v>569</v>
      </c>
      <c r="B707" s="218">
        <v>105</v>
      </c>
      <c r="C707" s="218">
        <v>78.5</v>
      </c>
      <c r="D707" s="218">
        <v>44</v>
      </c>
      <c r="E707" s="218" t="s">
        <v>45</v>
      </c>
      <c r="F707" s="218" t="s">
        <v>45</v>
      </c>
      <c r="G707" s="218" t="s">
        <v>570</v>
      </c>
      <c r="H707" s="218"/>
      <c r="I707" s="218" t="s">
        <v>45</v>
      </c>
      <c r="J707" s="218" t="s">
        <v>47</v>
      </c>
      <c r="K707" s="218" t="s">
        <v>48</v>
      </c>
      <c r="L707" s="218" t="s">
        <v>48</v>
      </c>
      <c r="M707" s="219" t="s">
        <v>50</v>
      </c>
      <c r="N707" s="219" t="s">
        <v>50</v>
      </c>
      <c r="O707" s="219" t="s">
        <v>50</v>
      </c>
      <c r="P707" s="219" t="s">
        <v>51</v>
      </c>
      <c r="Q707" s="220" t="s">
        <v>293</v>
      </c>
      <c r="R707" s="221">
        <v>42</v>
      </c>
      <c r="S707" s="222">
        <v>19.100000000000001</v>
      </c>
      <c r="T707" s="223">
        <v>6.8</v>
      </c>
      <c r="U707" s="221">
        <v>42</v>
      </c>
      <c r="V707" s="221">
        <v>18.899999999999999</v>
      </c>
      <c r="W707" s="222">
        <v>7.2</v>
      </c>
      <c r="X707" s="130">
        <f t="shared" si="116"/>
        <v>-0.20000000000000284</v>
      </c>
      <c r="Y707" s="16">
        <f t="shared" si="118"/>
        <v>1.0814452411120081</v>
      </c>
      <c r="Z707" s="286" t="s">
        <v>53</v>
      </c>
      <c r="AA707" s="286" t="s">
        <v>53</v>
      </c>
      <c r="AB707" s="16">
        <v>1.0814452411120081</v>
      </c>
      <c r="AC707" s="66" t="s">
        <v>49</v>
      </c>
      <c r="AD707" s="224" t="s">
        <v>571</v>
      </c>
      <c r="AE707" s="225">
        <v>24</v>
      </c>
      <c r="AF707" s="225">
        <v>0</v>
      </c>
      <c r="AG707" s="225">
        <v>0</v>
      </c>
      <c r="AH707" s="134">
        <v>0</v>
      </c>
      <c r="AI707" s="134">
        <v>0</v>
      </c>
      <c r="AJ707" s="135">
        <f t="shared" si="117"/>
        <v>0</v>
      </c>
      <c r="AK707" s="45">
        <f t="shared" si="122"/>
        <v>0</v>
      </c>
      <c r="AL707" s="136" t="str" cm="1">
        <f t="array" ref="AL707">_xlfn.IFS(
AI707&lt;3,"Ligera",
AI707&lt;=6,"Moderada",
AI707&gt;6,"Vigorosa"
)</f>
        <v>Ligera</v>
      </c>
      <c r="AM707" s="226" t="s">
        <v>49</v>
      </c>
      <c r="AN707" s="227" t="s">
        <v>49</v>
      </c>
      <c r="AO707" s="227" t="s">
        <v>49</v>
      </c>
      <c r="AP707" s="227" t="s">
        <v>49</v>
      </c>
      <c r="AQ707" s="228">
        <v>0</v>
      </c>
      <c r="AR707" s="98"/>
      <c r="AS707" s="98"/>
      <c r="AT707" s="98"/>
      <c r="AU707" s="98"/>
      <c r="AV707" s="98"/>
      <c r="AW707" s="98"/>
      <c r="AX707" s="98"/>
      <c r="AY707" s="98"/>
      <c r="AZ707" s="98"/>
      <c r="BA707" s="98"/>
      <c r="BB707" s="98"/>
      <c r="BC707" s="98"/>
      <c r="BD707" s="98"/>
      <c r="BE707" s="98"/>
      <c r="BF707" s="98"/>
      <c r="BG707" s="98"/>
      <c r="BH707" s="98"/>
      <c r="BI707" s="98"/>
      <c r="BJ707" s="98"/>
      <c r="BK707" s="98"/>
      <c r="BL707" s="98"/>
    </row>
    <row r="708" spans="1:64" s="101" customFormat="1" ht="78.75" customHeight="1" thickBot="1">
      <c r="A708" s="229" t="s">
        <v>569</v>
      </c>
      <c r="B708" s="54">
        <v>105</v>
      </c>
      <c r="C708" s="54">
        <v>80.2</v>
      </c>
      <c r="D708" s="54">
        <v>35</v>
      </c>
      <c r="E708" s="54" t="s">
        <v>45</v>
      </c>
      <c r="F708" s="54" t="s">
        <v>45</v>
      </c>
      <c r="G708" s="54" t="s">
        <v>570</v>
      </c>
      <c r="H708" s="54"/>
      <c r="I708" s="54" t="s">
        <v>45</v>
      </c>
      <c r="J708" s="54" t="s">
        <v>47</v>
      </c>
      <c r="K708" s="54" t="s">
        <v>48</v>
      </c>
      <c r="L708" s="54" t="s">
        <v>48</v>
      </c>
      <c r="M708" s="55" t="s">
        <v>56</v>
      </c>
      <c r="N708" s="55" t="s">
        <v>233</v>
      </c>
      <c r="O708" s="55" t="s">
        <v>233</v>
      </c>
      <c r="P708" s="55" t="s">
        <v>51</v>
      </c>
      <c r="Q708" s="94" t="s">
        <v>293</v>
      </c>
      <c r="R708" s="56">
        <v>41</v>
      </c>
      <c r="S708" s="57">
        <v>18.899999999999999</v>
      </c>
      <c r="T708" s="58">
        <v>7.5</v>
      </c>
      <c r="U708" s="56">
        <v>41</v>
      </c>
      <c r="V708" s="56">
        <v>19</v>
      </c>
      <c r="W708" s="57">
        <v>8</v>
      </c>
      <c r="X708" s="130">
        <f t="shared" si="116"/>
        <v>0.10000000000000142</v>
      </c>
      <c r="Y708" s="16">
        <f t="shared" si="118"/>
        <v>1.2122343812654182</v>
      </c>
      <c r="Z708" s="15">
        <f t="shared" si="119"/>
        <v>0.30000000000000426</v>
      </c>
      <c r="AA708" s="16">
        <f t="shared" si="120"/>
        <v>57.844938271604946</v>
      </c>
      <c r="AB708" s="16">
        <f t="shared" si="121"/>
        <v>1.6697642312626615</v>
      </c>
      <c r="AC708" s="66" t="s">
        <v>49</v>
      </c>
      <c r="AD708" s="96" t="s">
        <v>572</v>
      </c>
      <c r="AE708" s="60">
        <v>24</v>
      </c>
      <c r="AF708" s="60">
        <v>2</v>
      </c>
      <c r="AG708" s="60">
        <v>25</v>
      </c>
      <c r="AH708" s="134">
        <v>2210060</v>
      </c>
      <c r="AI708" s="134">
        <v>1.8</v>
      </c>
      <c r="AJ708" s="135">
        <f t="shared" si="117"/>
        <v>45</v>
      </c>
      <c r="AK708" s="45">
        <f t="shared" si="122"/>
        <v>90</v>
      </c>
      <c r="AL708" s="136" t="str" cm="1">
        <f t="array" ref="AL708">_xlfn.IFS(
AI708&lt;3,"Ligera",
AI708&lt;=6,"Moderada",
AI708&gt;6,"Vigorosa"
)</f>
        <v>Ligera</v>
      </c>
      <c r="AM708" s="61" t="s">
        <v>49</v>
      </c>
      <c r="AN708" s="61" t="s">
        <v>49</v>
      </c>
      <c r="AO708" s="61" t="s">
        <v>61</v>
      </c>
      <c r="AP708" s="97" t="s">
        <v>155</v>
      </c>
      <c r="AQ708" s="230">
        <v>0</v>
      </c>
      <c r="AR708" s="98"/>
      <c r="AS708" s="98"/>
      <c r="AT708" s="98"/>
      <c r="AU708" s="98"/>
      <c r="AV708" s="98"/>
      <c r="AW708" s="98"/>
      <c r="AX708" s="98"/>
      <c r="AY708" s="98"/>
      <c r="AZ708" s="98"/>
      <c r="BA708" s="98"/>
      <c r="BB708" s="98"/>
      <c r="BC708" s="98"/>
      <c r="BD708" s="98"/>
      <c r="BE708" s="98"/>
      <c r="BF708" s="98"/>
      <c r="BG708" s="98"/>
      <c r="BH708" s="98"/>
      <c r="BI708" s="98"/>
      <c r="BJ708" s="98"/>
      <c r="BK708" s="98"/>
      <c r="BL708" s="98"/>
    </row>
    <row r="709" spans="1:64" s="101" customFormat="1" ht="78.75" customHeight="1" thickBot="1">
      <c r="A709" s="229" t="s">
        <v>569</v>
      </c>
      <c r="B709" s="54">
        <v>105</v>
      </c>
      <c r="C709" s="54">
        <v>78.5</v>
      </c>
      <c r="D709" s="54">
        <v>44</v>
      </c>
      <c r="E709" s="54" t="s">
        <v>45</v>
      </c>
      <c r="F709" s="54" t="s">
        <v>45</v>
      </c>
      <c r="G709" s="54" t="s">
        <v>570</v>
      </c>
      <c r="H709" s="54"/>
      <c r="I709" s="54" t="s">
        <v>45</v>
      </c>
      <c r="J709" s="54" t="s">
        <v>47</v>
      </c>
      <c r="K709" s="54" t="s">
        <v>48</v>
      </c>
      <c r="L709" s="54" t="s">
        <v>48</v>
      </c>
      <c r="M709" s="55" t="s">
        <v>50</v>
      </c>
      <c r="N709" s="55" t="s">
        <v>50</v>
      </c>
      <c r="O709" s="55" t="s">
        <v>50</v>
      </c>
      <c r="P709" s="55" t="s">
        <v>51</v>
      </c>
      <c r="Q709" s="94" t="s">
        <v>299</v>
      </c>
      <c r="R709" s="56">
        <v>42</v>
      </c>
      <c r="S709" s="57">
        <v>19.3</v>
      </c>
      <c r="T709" s="58">
        <v>6.2</v>
      </c>
      <c r="U709" s="56">
        <v>42</v>
      </c>
      <c r="V709" s="56">
        <v>17.600000000000001</v>
      </c>
      <c r="W709" s="57">
        <v>6.9</v>
      </c>
      <c r="X709" s="130">
        <f t="shared" si="116"/>
        <v>-1.6999999999999993</v>
      </c>
      <c r="Y709" s="16">
        <f t="shared" si="118"/>
        <v>1.0150064508357055</v>
      </c>
      <c r="Z709" s="286" t="s">
        <v>53</v>
      </c>
      <c r="AA709" s="286" t="s">
        <v>53</v>
      </c>
      <c r="AB709" s="16">
        <v>1.0150064508357055</v>
      </c>
      <c r="AC709" s="66" t="s">
        <v>49</v>
      </c>
      <c r="AD709" s="96" t="s">
        <v>571</v>
      </c>
      <c r="AE709" s="60">
        <v>24</v>
      </c>
      <c r="AF709" s="60">
        <v>0</v>
      </c>
      <c r="AG709" s="60">
        <v>0</v>
      </c>
      <c r="AH709" s="134">
        <v>0</v>
      </c>
      <c r="AI709" s="134">
        <v>0</v>
      </c>
      <c r="AJ709" s="135">
        <f t="shared" si="117"/>
        <v>0</v>
      </c>
      <c r="AK709" s="45">
        <f t="shared" si="122"/>
        <v>0</v>
      </c>
      <c r="AL709" s="136" t="str" cm="1">
        <f t="array" ref="AL709">_xlfn.IFS(
AI709&lt;3,"Ligera",
AI709&lt;=6,"Moderada",
AI709&gt;6,"Vigorosa"
)</f>
        <v>Ligera</v>
      </c>
      <c r="AM709" s="61" t="s">
        <v>49</v>
      </c>
      <c r="AN709" s="97" t="s">
        <v>49</v>
      </c>
      <c r="AO709" s="97" t="s">
        <v>49</v>
      </c>
      <c r="AP709" s="97" t="s">
        <v>49</v>
      </c>
      <c r="AQ709" s="230">
        <v>0</v>
      </c>
      <c r="AR709" s="98"/>
      <c r="AS709" s="98"/>
      <c r="AT709" s="98"/>
      <c r="AU709" s="98"/>
      <c r="AV709" s="98"/>
      <c r="AW709" s="98"/>
      <c r="AX709" s="98"/>
      <c r="AY709" s="98"/>
      <c r="AZ709" s="98"/>
      <c r="BA709" s="98"/>
      <c r="BB709" s="98"/>
      <c r="BC709" s="98"/>
      <c r="BD709" s="98"/>
      <c r="BE709" s="98"/>
      <c r="BF709" s="98"/>
      <c r="BG709" s="98"/>
      <c r="BH709" s="98"/>
      <c r="BI709" s="98"/>
      <c r="BJ709" s="98"/>
      <c r="BK709" s="98"/>
      <c r="BL709" s="98"/>
    </row>
    <row r="710" spans="1:64" s="101" customFormat="1" ht="78.75" customHeight="1" thickBot="1">
      <c r="A710" s="229" t="s">
        <v>569</v>
      </c>
      <c r="B710" s="54">
        <v>105</v>
      </c>
      <c r="C710" s="54">
        <v>80.2</v>
      </c>
      <c r="D710" s="54">
        <v>35</v>
      </c>
      <c r="E710" s="54" t="s">
        <v>45</v>
      </c>
      <c r="F710" s="54" t="s">
        <v>45</v>
      </c>
      <c r="G710" s="54" t="s">
        <v>570</v>
      </c>
      <c r="H710" s="54"/>
      <c r="I710" s="54" t="s">
        <v>45</v>
      </c>
      <c r="J710" s="54" t="s">
        <v>47</v>
      </c>
      <c r="K710" s="54" t="s">
        <v>48</v>
      </c>
      <c r="L710" s="54" t="s">
        <v>48</v>
      </c>
      <c r="M710" s="55" t="s">
        <v>56</v>
      </c>
      <c r="N710" s="55" t="s">
        <v>233</v>
      </c>
      <c r="O710" s="55" t="s">
        <v>233</v>
      </c>
      <c r="P710" s="55" t="s">
        <v>51</v>
      </c>
      <c r="Q710" s="94" t="s">
        <v>299</v>
      </c>
      <c r="R710" s="56">
        <v>41</v>
      </c>
      <c r="S710" s="57">
        <v>19.7</v>
      </c>
      <c r="T710" s="58">
        <v>8.6</v>
      </c>
      <c r="U710" s="56">
        <v>41</v>
      </c>
      <c r="V710" s="56">
        <v>18.600000000000001</v>
      </c>
      <c r="W710" s="56">
        <v>8.1999999999999993</v>
      </c>
      <c r="X710" s="130">
        <f t="shared" si="116"/>
        <v>-1.0999999999999979</v>
      </c>
      <c r="Y710" s="16">
        <f t="shared" si="118"/>
        <v>1.3129746528491668</v>
      </c>
      <c r="Z710" s="15">
        <f t="shared" si="119"/>
        <v>0.60000000000000142</v>
      </c>
      <c r="AA710" s="16">
        <f t="shared" si="120"/>
        <v>57.303827160493832</v>
      </c>
      <c r="AB710" s="16">
        <f t="shared" si="121"/>
        <v>1.6619359669199862</v>
      </c>
      <c r="AC710" s="66" t="s">
        <v>49</v>
      </c>
      <c r="AD710" s="96" t="s">
        <v>572</v>
      </c>
      <c r="AE710" s="60">
        <v>24</v>
      </c>
      <c r="AF710" s="60">
        <v>2</v>
      </c>
      <c r="AG710" s="60">
        <v>25</v>
      </c>
      <c r="AH710" s="134">
        <v>2210060</v>
      </c>
      <c r="AI710" s="134">
        <v>1.8</v>
      </c>
      <c r="AJ710" s="135">
        <f t="shared" si="117"/>
        <v>45</v>
      </c>
      <c r="AK710" s="45">
        <f t="shared" si="122"/>
        <v>90</v>
      </c>
      <c r="AL710" s="136" t="str" cm="1">
        <f t="array" ref="AL710">_xlfn.IFS(
AI710&lt;3,"Ligera",
AI710&lt;=6,"Moderada",
AI710&gt;6,"Vigorosa"
)</f>
        <v>Ligera</v>
      </c>
      <c r="AM710" s="61" t="s">
        <v>49</v>
      </c>
      <c r="AN710" s="61" t="s">
        <v>49</v>
      </c>
      <c r="AO710" s="61" t="s">
        <v>61</v>
      </c>
      <c r="AP710" s="97" t="s">
        <v>155</v>
      </c>
      <c r="AQ710" s="230">
        <v>0</v>
      </c>
      <c r="AR710" s="98"/>
      <c r="AS710" s="98"/>
      <c r="AT710" s="98"/>
      <c r="AU710" s="98"/>
      <c r="AV710" s="98"/>
      <c r="AW710" s="98"/>
      <c r="AX710" s="98"/>
      <c r="AY710" s="98"/>
      <c r="AZ710" s="98"/>
      <c r="BA710" s="98"/>
      <c r="BB710" s="98"/>
      <c r="BC710" s="98"/>
      <c r="BD710" s="98"/>
      <c r="BE710" s="98"/>
      <c r="BF710" s="98"/>
      <c r="BG710" s="98"/>
      <c r="BH710" s="98"/>
      <c r="BI710" s="98"/>
      <c r="BJ710" s="98"/>
      <c r="BK710" s="98"/>
      <c r="BL710" s="98"/>
    </row>
    <row r="711" spans="1:64" s="101" customFormat="1" ht="78.75" customHeight="1" thickBot="1">
      <c r="A711" s="229" t="s">
        <v>569</v>
      </c>
      <c r="B711" s="54">
        <v>105</v>
      </c>
      <c r="C711" s="54">
        <v>78.5</v>
      </c>
      <c r="D711" s="54">
        <v>44</v>
      </c>
      <c r="E711" s="54" t="s">
        <v>45</v>
      </c>
      <c r="F711" s="54" t="s">
        <v>45</v>
      </c>
      <c r="G711" s="54" t="s">
        <v>570</v>
      </c>
      <c r="H711" s="54"/>
      <c r="I711" s="54" t="s">
        <v>45</v>
      </c>
      <c r="J711" s="54" t="s">
        <v>47</v>
      </c>
      <c r="K711" s="54" t="s">
        <v>48</v>
      </c>
      <c r="L711" s="54" t="s">
        <v>48</v>
      </c>
      <c r="M711" s="55" t="s">
        <v>50</v>
      </c>
      <c r="N711" s="55" t="s">
        <v>50</v>
      </c>
      <c r="O711" s="55" t="s">
        <v>50</v>
      </c>
      <c r="P711" s="55" t="s">
        <v>51</v>
      </c>
      <c r="Q711" s="94" t="s">
        <v>64</v>
      </c>
      <c r="R711" s="56">
        <v>42</v>
      </c>
      <c r="S711" s="57">
        <v>10.1</v>
      </c>
      <c r="T711" s="58">
        <v>3.5</v>
      </c>
      <c r="U711" s="56">
        <v>42</v>
      </c>
      <c r="V711" s="56">
        <v>10.1</v>
      </c>
      <c r="W711" s="57">
        <v>3.5</v>
      </c>
      <c r="X711" s="130">
        <f t="shared" si="116"/>
        <v>0</v>
      </c>
      <c r="Y711" s="16">
        <f t="shared" si="118"/>
        <v>0.54006172486732162</v>
      </c>
      <c r="Z711" s="286" t="s">
        <v>53</v>
      </c>
      <c r="AA711" s="286" t="s">
        <v>53</v>
      </c>
      <c r="AB711" s="16">
        <v>0.54006172486732162</v>
      </c>
      <c r="AC711" s="66" t="s">
        <v>49</v>
      </c>
      <c r="AD711" s="96" t="s">
        <v>571</v>
      </c>
      <c r="AE711" s="60">
        <v>24</v>
      </c>
      <c r="AF711" s="60">
        <v>0</v>
      </c>
      <c r="AG711" s="60">
        <v>0</v>
      </c>
      <c r="AH711" s="134">
        <v>0</v>
      </c>
      <c r="AI711" s="134">
        <v>0</v>
      </c>
      <c r="AJ711" s="135">
        <f t="shared" si="117"/>
        <v>0</v>
      </c>
      <c r="AK711" s="45">
        <f t="shared" si="122"/>
        <v>0</v>
      </c>
      <c r="AL711" s="136" t="str" cm="1">
        <f t="array" ref="AL711">_xlfn.IFS(
AI711&lt;3,"Ligera",
AI711&lt;=6,"Moderada",
AI711&gt;6,"Vigorosa"
)</f>
        <v>Ligera</v>
      </c>
      <c r="AM711" s="61" t="s">
        <v>49</v>
      </c>
      <c r="AN711" s="97" t="s">
        <v>49</v>
      </c>
      <c r="AO711" s="97" t="s">
        <v>49</v>
      </c>
      <c r="AP711" s="97" t="s">
        <v>49</v>
      </c>
      <c r="AQ711" s="230">
        <v>0</v>
      </c>
      <c r="AR711" s="98"/>
      <c r="AS711" s="98"/>
      <c r="AT711" s="98"/>
      <c r="AU711" s="98"/>
      <c r="AV711" s="98"/>
      <c r="AW711" s="98"/>
      <c r="AX711" s="98"/>
      <c r="AY711" s="98"/>
      <c r="AZ711" s="98"/>
      <c r="BA711" s="98"/>
      <c r="BB711" s="98"/>
      <c r="BC711" s="98"/>
      <c r="BD711" s="98"/>
      <c r="BE711" s="98"/>
      <c r="BF711" s="98"/>
      <c r="BG711" s="98"/>
      <c r="BH711" s="98"/>
      <c r="BI711" s="98"/>
      <c r="BJ711" s="98"/>
      <c r="BK711" s="98"/>
      <c r="BL711" s="98"/>
    </row>
    <row r="712" spans="1:64" s="101" customFormat="1" ht="78.75" customHeight="1" thickBot="1">
      <c r="A712" s="229" t="s">
        <v>569</v>
      </c>
      <c r="B712" s="54">
        <v>105</v>
      </c>
      <c r="C712" s="54">
        <v>80.2</v>
      </c>
      <c r="D712" s="54">
        <v>35</v>
      </c>
      <c r="E712" s="54" t="s">
        <v>45</v>
      </c>
      <c r="F712" s="54" t="s">
        <v>45</v>
      </c>
      <c r="G712" s="54" t="s">
        <v>570</v>
      </c>
      <c r="H712" s="54"/>
      <c r="I712" s="54" t="s">
        <v>45</v>
      </c>
      <c r="J712" s="54" t="s">
        <v>47</v>
      </c>
      <c r="K712" s="54" t="s">
        <v>48</v>
      </c>
      <c r="L712" s="54" t="s">
        <v>48</v>
      </c>
      <c r="M712" s="55" t="s">
        <v>56</v>
      </c>
      <c r="N712" s="55" t="s">
        <v>233</v>
      </c>
      <c r="O712" s="55" t="s">
        <v>233</v>
      </c>
      <c r="P712" s="55" t="s">
        <v>51</v>
      </c>
      <c r="Q712" s="94" t="s">
        <v>64</v>
      </c>
      <c r="R712" s="56">
        <v>41</v>
      </c>
      <c r="S712" s="57">
        <v>10.8</v>
      </c>
      <c r="T712" s="58">
        <v>4.4000000000000004</v>
      </c>
      <c r="U712" s="56">
        <v>41</v>
      </c>
      <c r="V712" s="56">
        <v>13</v>
      </c>
      <c r="W712" s="57">
        <v>4.8</v>
      </c>
      <c r="X712" s="130">
        <f t="shared" si="116"/>
        <v>2.1999999999999993</v>
      </c>
      <c r="Y712" s="16">
        <f t="shared" si="118"/>
        <v>0.72043347385022483</v>
      </c>
      <c r="Z712" s="15">
        <f t="shared" si="119"/>
        <v>2.1999999999999993</v>
      </c>
      <c r="AA712" s="16">
        <f t="shared" si="120"/>
        <v>17.578395061728394</v>
      </c>
      <c r="AB712" s="16">
        <f t="shared" si="121"/>
        <v>0.92047518093885783</v>
      </c>
      <c r="AC712" s="66" t="s">
        <v>49</v>
      </c>
      <c r="AD712" s="96" t="s">
        <v>572</v>
      </c>
      <c r="AE712" s="60">
        <v>24</v>
      </c>
      <c r="AF712" s="60">
        <v>2</v>
      </c>
      <c r="AG712" s="60">
        <v>25</v>
      </c>
      <c r="AH712" s="134">
        <v>2210060</v>
      </c>
      <c r="AI712" s="134">
        <v>1.8</v>
      </c>
      <c r="AJ712" s="135">
        <f t="shared" si="117"/>
        <v>45</v>
      </c>
      <c r="AK712" s="45">
        <f t="shared" si="122"/>
        <v>90</v>
      </c>
      <c r="AL712" s="136" t="str" cm="1">
        <f t="array" ref="AL712">_xlfn.IFS(
AI712&lt;3,"Ligera",
AI712&lt;=6,"Moderada",
AI712&gt;6,"Vigorosa"
)</f>
        <v>Ligera</v>
      </c>
      <c r="AM712" s="61" t="s">
        <v>49</v>
      </c>
      <c r="AN712" s="61" t="s">
        <v>49</v>
      </c>
      <c r="AO712" s="61" t="s">
        <v>61</v>
      </c>
      <c r="AP712" s="97" t="s">
        <v>155</v>
      </c>
      <c r="AQ712" s="230">
        <v>0</v>
      </c>
      <c r="AR712" s="98"/>
      <c r="AS712" s="98"/>
      <c r="AT712" s="98"/>
      <c r="AU712" s="98"/>
      <c r="AV712" s="98"/>
      <c r="AW712" s="98"/>
      <c r="AX712" s="98"/>
      <c r="AY712" s="98"/>
      <c r="AZ712" s="98"/>
      <c r="BA712" s="98"/>
      <c r="BB712" s="98"/>
      <c r="BC712" s="98"/>
      <c r="BD712" s="98"/>
      <c r="BE712" s="98"/>
      <c r="BF712" s="98"/>
      <c r="BG712" s="98"/>
      <c r="BH712" s="98"/>
      <c r="BI712" s="98"/>
      <c r="BJ712" s="98"/>
      <c r="BK712" s="98"/>
      <c r="BL712" s="98"/>
    </row>
    <row r="713" spans="1:64" s="101" customFormat="1" ht="78.75" customHeight="1" thickBot="1">
      <c r="A713" s="229" t="s">
        <v>569</v>
      </c>
      <c r="B713" s="54">
        <v>105</v>
      </c>
      <c r="C713" s="54">
        <v>78.5</v>
      </c>
      <c r="D713" s="54">
        <v>44</v>
      </c>
      <c r="E713" s="54" t="s">
        <v>45</v>
      </c>
      <c r="F713" s="54" t="s">
        <v>45</v>
      </c>
      <c r="G713" s="54" t="s">
        <v>570</v>
      </c>
      <c r="H713" s="54"/>
      <c r="I713" s="54" t="s">
        <v>45</v>
      </c>
      <c r="J713" s="54" t="s">
        <v>47</v>
      </c>
      <c r="K713" s="54" t="s">
        <v>48</v>
      </c>
      <c r="L713" s="54" t="s">
        <v>48</v>
      </c>
      <c r="M713" s="55" t="s">
        <v>50</v>
      </c>
      <c r="N713" s="55" t="s">
        <v>50</v>
      </c>
      <c r="O713" s="55" t="s">
        <v>50</v>
      </c>
      <c r="P713" s="55" t="s">
        <v>51</v>
      </c>
      <c r="Q713" s="94" t="s">
        <v>188</v>
      </c>
      <c r="R713" s="56">
        <v>42</v>
      </c>
      <c r="S713" s="57">
        <v>24.6</v>
      </c>
      <c r="T713" s="58">
        <v>7.1</v>
      </c>
      <c r="U713" s="56">
        <v>42</v>
      </c>
      <c r="V713" s="56">
        <v>22.9</v>
      </c>
      <c r="W713" s="57">
        <v>6.3</v>
      </c>
      <c r="X713" s="130">
        <f t="shared" si="116"/>
        <v>-1.7000000000000028</v>
      </c>
      <c r="Y713" s="16">
        <f t="shared" si="118"/>
        <v>1.0393450318532798</v>
      </c>
      <c r="Z713" s="286" t="s">
        <v>53</v>
      </c>
      <c r="AA713" s="286" t="s">
        <v>53</v>
      </c>
      <c r="AB713" s="16">
        <v>1.0393450318532798</v>
      </c>
      <c r="AC713" s="66" t="s">
        <v>49</v>
      </c>
      <c r="AD713" s="96" t="s">
        <v>571</v>
      </c>
      <c r="AE713" s="60">
        <v>24</v>
      </c>
      <c r="AF713" s="60">
        <v>0</v>
      </c>
      <c r="AG713" s="60">
        <v>0</v>
      </c>
      <c r="AH713" s="134">
        <v>0</v>
      </c>
      <c r="AI713" s="134">
        <v>0</v>
      </c>
      <c r="AJ713" s="135">
        <f t="shared" si="117"/>
        <v>0</v>
      </c>
      <c r="AK713" s="45">
        <f t="shared" si="122"/>
        <v>0</v>
      </c>
      <c r="AL713" s="136" t="str" cm="1">
        <f t="array" ref="AL713">_xlfn.IFS(
AI713&lt;3,"Ligera",
AI713&lt;=6,"Moderada",
AI713&gt;6,"Vigorosa"
)</f>
        <v>Ligera</v>
      </c>
      <c r="AM713" s="61" t="s">
        <v>49</v>
      </c>
      <c r="AN713" s="97" t="s">
        <v>49</v>
      </c>
      <c r="AO713" s="97" t="s">
        <v>49</v>
      </c>
      <c r="AP713" s="97" t="s">
        <v>49</v>
      </c>
      <c r="AQ713" s="230">
        <v>0</v>
      </c>
      <c r="AR713" s="98"/>
      <c r="AS713" s="98"/>
      <c r="AT713" s="98"/>
      <c r="AU713" s="98"/>
      <c r="AV713" s="98"/>
      <c r="AW713" s="98"/>
      <c r="AX713" s="98"/>
      <c r="AY713" s="98"/>
      <c r="AZ713" s="98"/>
      <c r="BA713" s="98"/>
      <c r="BB713" s="98"/>
      <c r="BC713" s="98"/>
      <c r="BD713" s="98"/>
      <c r="BE713" s="98"/>
      <c r="BF713" s="98"/>
      <c r="BG713" s="98"/>
      <c r="BH713" s="98"/>
      <c r="BI713" s="98"/>
      <c r="BJ713" s="98"/>
      <c r="BK713" s="98"/>
      <c r="BL713" s="98"/>
    </row>
    <row r="714" spans="1:64" s="101" customFormat="1" ht="78.75" customHeight="1" thickBot="1">
      <c r="A714" s="229" t="s">
        <v>569</v>
      </c>
      <c r="B714" s="54">
        <v>105</v>
      </c>
      <c r="C714" s="54">
        <v>80.2</v>
      </c>
      <c r="D714" s="54">
        <v>35</v>
      </c>
      <c r="E714" s="54" t="s">
        <v>45</v>
      </c>
      <c r="F714" s="54" t="s">
        <v>45</v>
      </c>
      <c r="G714" s="54" t="s">
        <v>570</v>
      </c>
      <c r="H714" s="54"/>
      <c r="I714" s="54" t="s">
        <v>45</v>
      </c>
      <c r="J714" s="54" t="s">
        <v>47</v>
      </c>
      <c r="K714" s="54" t="s">
        <v>48</v>
      </c>
      <c r="L714" s="54" t="s">
        <v>48</v>
      </c>
      <c r="M714" s="55" t="s">
        <v>56</v>
      </c>
      <c r="N714" s="55" t="s">
        <v>233</v>
      </c>
      <c r="O714" s="55" t="s">
        <v>233</v>
      </c>
      <c r="P714" s="55" t="s">
        <v>51</v>
      </c>
      <c r="Q714" s="94" t="s">
        <v>188</v>
      </c>
      <c r="R714" s="56">
        <v>41</v>
      </c>
      <c r="S714" s="57">
        <v>24.1</v>
      </c>
      <c r="T714" s="58">
        <v>7.9</v>
      </c>
      <c r="U714" s="56">
        <v>41</v>
      </c>
      <c r="V714" s="56">
        <v>30.7</v>
      </c>
      <c r="W714" s="57">
        <v>7.9</v>
      </c>
      <c r="X714" s="130">
        <f t="shared" si="116"/>
        <v>6.5999999999999979</v>
      </c>
      <c r="Y714" s="16">
        <f t="shared" si="118"/>
        <v>1.2337727189199881</v>
      </c>
      <c r="Z714" s="15">
        <f t="shared" si="119"/>
        <v>8.3000000000000007</v>
      </c>
      <c r="AA714" s="16">
        <f t="shared" si="120"/>
        <v>50.909753086419762</v>
      </c>
      <c r="AB714" s="16">
        <f t="shared" si="121"/>
        <v>1.5664731957613622</v>
      </c>
      <c r="AC714" s="66" t="s">
        <v>49</v>
      </c>
      <c r="AD714" s="96" t="s">
        <v>572</v>
      </c>
      <c r="AE714" s="60">
        <v>24</v>
      </c>
      <c r="AF714" s="60">
        <v>2</v>
      </c>
      <c r="AG714" s="60">
        <v>25</v>
      </c>
      <c r="AH714" s="134">
        <v>2210060</v>
      </c>
      <c r="AI714" s="134">
        <v>1.8</v>
      </c>
      <c r="AJ714" s="135">
        <f t="shared" si="117"/>
        <v>45</v>
      </c>
      <c r="AK714" s="45">
        <f t="shared" si="122"/>
        <v>90</v>
      </c>
      <c r="AL714" s="136" t="str" cm="1">
        <f t="array" ref="AL714">_xlfn.IFS(
AI714&lt;3,"Ligera",
AI714&lt;=6,"Moderada",
AI714&gt;6,"Vigorosa"
)</f>
        <v>Ligera</v>
      </c>
      <c r="AM714" s="61" t="s">
        <v>49</v>
      </c>
      <c r="AN714" s="61" t="s">
        <v>49</v>
      </c>
      <c r="AO714" s="61" t="s">
        <v>61</v>
      </c>
      <c r="AP714" s="97" t="s">
        <v>155</v>
      </c>
      <c r="AQ714" s="230">
        <v>0</v>
      </c>
      <c r="AR714" s="98"/>
      <c r="AS714" s="98"/>
      <c r="AT714" s="98"/>
      <c r="AU714" s="98"/>
      <c r="AV714" s="98"/>
      <c r="AW714" s="98"/>
      <c r="AX714" s="98"/>
      <c r="AY714" s="98"/>
      <c r="AZ714" s="98"/>
      <c r="BA714" s="98"/>
      <c r="BB714" s="98"/>
      <c r="BC714" s="98"/>
      <c r="BD714" s="98"/>
      <c r="BE714" s="98"/>
      <c r="BF714" s="98"/>
      <c r="BG714" s="98"/>
      <c r="BH714" s="98"/>
      <c r="BI714" s="98"/>
      <c r="BJ714" s="98"/>
      <c r="BK714" s="98"/>
      <c r="BL714" s="98"/>
    </row>
    <row r="715" spans="1:64" s="101" customFormat="1" ht="78.75" customHeight="1" thickBot="1">
      <c r="A715" s="229" t="s">
        <v>569</v>
      </c>
      <c r="B715" s="54">
        <v>105</v>
      </c>
      <c r="C715" s="54">
        <v>78.5</v>
      </c>
      <c r="D715" s="54">
        <v>44</v>
      </c>
      <c r="E715" s="54" t="s">
        <v>45</v>
      </c>
      <c r="F715" s="54" t="s">
        <v>45</v>
      </c>
      <c r="G715" s="54" t="s">
        <v>570</v>
      </c>
      <c r="H715" s="54"/>
      <c r="I715" s="54" t="s">
        <v>45</v>
      </c>
      <c r="J715" s="54" t="s">
        <v>47</v>
      </c>
      <c r="K715" s="54" t="s">
        <v>48</v>
      </c>
      <c r="L715" s="54" t="s">
        <v>48</v>
      </c>
      <c r="M715" s="55" t="s">
        <v>50</v>
      </c>
      <c r="N715" s="55" t="s">
        <v>50</v>
      </c>
      <c r="O715" s="55" t="s">
        <v>50</v>
      </c>
      <c r="P715" s="55" t="s">
        <v>51</v>
      </c>
      <c r="Q715" s="94" t="s">
        <v>124</v>
      </c>
      <c r="R715" s="56">
        <v>42</v>
      </c>
      <c r="S715" s="57">
        <v>12.2</v>
      </c>
      <c r="T715" s="58">
        <v>4.2</v>
      </c>
      <c r="U715" s="56">
        <v>42</v>
      </c>
      <c r="V715" s="56">
        <v>12.8</v>
      </c>
      <c r="W715" s="57">
        <v>5</v>
      </c>
      <c r="X715" s="130">
        <f t="shared" si="116"/>
        <v>0.60000000000000142</v>
      </c>
      <c r="Y715" s="16">
        <f t="shared" si="118"/>
        <v>0.71780087436425932</v>
      </c>
      <c r="Z715" s="286" t="s">
        <v>53</v>
      </c>
      <c r="AA715" s="286" t="s">
        <v>53</v>
      </c>
      <c r="AB715" s="16">
        <v>0.71780087436425932</v>
      </c>
      <c r="AC715" s="66" t="s">
        <v>48</v>
      </c>
      <c r="AD715" s="96" t="s">
        <v>571</v>
      </c>
      <c r="AE715" s="60">
        <v>24</v>
      </c>
      <c r="AF715" s="60">
        <v>0</v>
      </c>
      <c r="AG715" s="60">
        <v>0</v>
      </c>
      <c r="AH715" s="134">
        <v>0</v>
      </c>
      <c r="AI715" s="134">
        <v>0</v>
      </c>
      <c r="AJ715" s="135">
        <f t="shared" si="117"/>
        <v>0</v>
      </c>
      <c r="AK715" s="45">
        <f t="shared" si="122"/>
        <v>0</v>
      </c>
      <c r="AL715" s="136" t="str" cm="1">
        <f t="array" ref="AL715">_xlfn.IFS(
AI715&lt;3,"Ligera",
AI715&lt;=6,"Moderada",
AI715&gt;6,"Vigorosa"
)</f>
        <v>Ligera</v>
      </c>
      <c r="AM715" s="61" t="s">
        <v>49</v>
      </c>
      <c r="AN715" s="97" t="s">
        <v>49</v>
      </c>
      <c r="AO715" s="97" t="s">
        <v>49</v>
      </c>
      <c r="AP715" s="97" t="s">
        <v>49</v>
      </c>
      <c r="AQ715" s="230">
        <v>0</v>
      </c>
      <c r="AR715" s="98"/>
      <c r="AS715" s="98"/>
      <c r="AT715" s="98"/>
      <c r="AU715" s="98"/>
      <c r="AV715" s="98"/>
      <c r="AW715" s="98"/>
      <c r="AX715" s="98"/>
      <c r="AY715" s="98"/>
      <c r="AZ715" s="98"/>
      <c r="BA715" s="98"/>
      <c r="BB715" s="98"/>
      <c r="BC715" s="98"/>
      <c r="BD715" s="98"/>
      <c r="BE715" s="98"/>
      <c r="BF715" s="98"/>
      <c r="BG715" s="98"/>
      <c r="BH715" s="98"/>
      <c r="BI715" s="98"/>
      <c r="BJ715" s="98"/>
      <c r="BK715" s="98"/>
      <c r="BL715" s="98"/>
    </row>
    <row r="716" spans="1:64" s="101" customFormat="1" ht="78.75" customHeight="1" thickBot="1">
      <c r="A716" s="229" t="s">
        <v>569</v>
      </c>
      <c r="B716" s="54">
        <v>105</v>
      </c>
      <c r="C716" s="54">
        <v>80.2</v>
      </c>
      <c r="D716" s="54">
        <v>35</v>
      </c>
      <c r="E716" s="54" t="s">
        <v>45</v>
      </c>
      <c r="F716" s="54" t="s">
        <v>45</v>
      </c>
      <c r="G716" s="54" t="s">
        <v>570</v>
      </c>
      <c r="H716" s="54"/>
      <c r="I716" s="54" t="s">
        <v>45</v>
      </c>
      <c r="J716" s="54" t="s">
        <v>47</v>
      </c>
      <c r="K716" s="54" t="s">
        <v>48</v>
      </c>
      <c r="L716" s="54" t="s">
        <v>48</v>
      </c>
      <c r="M716" s="55" t="s">
        <v>56</v>
      </c>
      <c r="N716" s="55" t="s">
        <v>233</v>
      </c>
      <c r="O716" s="55" t="s">
        <v>233</v>
      </c>
      <c r="P716" s="55" t="s">
        <v>51</v>
      </c>
      <c r="Q716" s="94" t="s">
        <v>124</v>
      </c>
      <c r="R716" s="56">
        <v>41</v>
      </c>
      <c r="S716" s="57">
        <v>12.6</v>
      </c>
      <c r="T716" s="58">
        <v>4.4000000000000004</v>
      </c>
      <c r="U716" s="56">
        <v>41</v>
      </c>
      <c r="V716" s="56">
        <v>11.6</v>
      </c>
      <c r="W716" s="56">
        <v>4</v>
      </c>
      <c r="X716" s="130">
        <f t="shared" si="116"/>
        <v>-1</v>
      </c>
      <c r="Y716" s="16">
        <f t="shared" si="118"/>
        <v>0.65815707221552899</v>
      </c>
      <c r="Z716" s="15">
        <f t="shared" si="119"/>
        <v>-1.6000000000000014</v>
      </c>
      <c r="AA716" s="16">
        <f t="shared" si="120"/>
        <v>20.555555555555557</v>
      </c>
      <c r="AB716" s="16">
        <f t="shared" si="121"/>
        <v>0.99537580991710106</v>
      </c>
      <c r="AC716" s="66" t="s">
        <v>48</v>
      </c>
      <c r="AD716" s="96" t="s">
        <v>572</v>
      </c>
      <c r="AE716" s="60">
        <v>24</v>
      </c>
      <c r="AF716" s="60">
        <v>2</v>
      </c>
      <c r="AG716" s="60">
        <v>25</v>
      </c>
      <c r="AH716" s="134">
        <v>2210060</v>
      </c>
      <c r="AI716" s="134">
        <v>1.8</v>
      </c>
      <c r="AJ716" s="135">
        <f t="shared" si="117"/>
        <v>45</v>
      </c>
      <c r="AK716" s="45">
        <f t="shared" si="122"/>
        <v>90</v>
      </c>
      <c r="AL716" s="136" t="str" cm="1">
        <f t="array" ref="AL716">_xlfn.IFS(
AI716&lt;3,"Ligera",
AI716&lt;=6,"Moderada",
AI716&gt;6,"Vigorosa"
)</f>
        <v>Ligera</v>
      </c>
      <c r="AM716" s="61" t="s">
        <v>49</v>
      </c>
      <c r="AN716" s="61" t="s">
        <v>49</v>
      </c>
      <c r="AO716" s="61" t="s">
        <v>61</v>
      </c>
      <c r="AP716" s="97" t="s">
        <v>155</v>
      </c>
      <c r="AQ716" s="230">
        <v>0</v>
      </c>
      <c r="AR716" s="98"/>
      <c r="AS716" s="98"/>
      <c r="AT716" s="98"/>
      <c r="AU716" s="98"/>
      <c r="AV716" s="98"/>
      <c r="AW716" s="98"/>
      <c r="AX716" s="98"/>
      <c r="AY716" s="98"/>
      <c r="AZ716" s="98"/>
      <c r="BA716" s="98"/>
      <c r="BB716" s="98"/>
      <c r="BC716" s="98"/>
      <c r="BD716" s="98"/>
      <c r="BE716" s="98"/>
      <c r="BF716" s="98"/>
      <c r="BG716" s="98"/>
      <c r="BH716" s="98"/>
      <c r="BI716" s="98"/>
      <c r="BJ716" s="98"/>
      <c r="BK716" s="98"/>
      <c r="BL716" s="98"/>
    </row>
    <row r="717" spans="1:64" s="101" customFormat="1" ht="78.75" customHeight="1" thickBot="1">
      <c r="A717" s="229" t="s">
        <v>569</v>
      </c>
      <c r="B717" s="54">
        <v>105</v>
      </c>
      <c r="C717" s="54">
        <v>78.5</v>
      </c>
      <c r="D717" s="54">
        <v>44</v>
      </c>
      <c r="E717" s="54" t="s">
        <v>45</v>
      </c>
      <c r="F717" s="54" t="s">
        <v>45</v>
      </c>
      <c r="G717" s="54" t="s">
        <v>570</v>
      </c>
      <c r="H717" s="54"/>
      <c r="I717" s="54" t="s">
        <v>45</v>
      </c>
      <c r="J717" s="54" t="s">
        <v>47</v>
      </c>
      <c r="K717" s="54" t="s">
        <v>48</v>
      </c>
      <c r="L717" s="54" t="s">
        <v>48</v>
      </c>
      <c r="M717" s="55" t="s">
        <v>50</v>
      </c>
      <c r="N717" s="55" t="s">
        <v>50</v>
      </c>
      <c r="O717" s="55" t="s">
        <v>50</v>
      </c>
      <c r="P717" s="55" t="s">
        <v>51</v>
      </c>
      <c r="Q717" s="94" t="s">
        <v>249</v>
      </c>
      <c r="R717" s="56">
        <v>42</v>
      </c>
      <c r="S717" s="57">
        <v>1.1619999999999999</v>
      </c>
      <c r="T717" s="58">
        <v>0.41199999999999998</v>
      </c>
      <c r="U717" s="56">
        <v>42</v>
      </c>
      <c r="V717" s="56">
        <v>1.1140000000000001</v>
      </c>
      <c r="W717" s="57">
        <v>0.36399999999999999</v>
      </c>
      <c r="X717" s="130">
        <f t="shared" si="116"/>
        <v>-4.7999999999999821E-2</v>
      </c>
      <c r="Y717" s="16">
        <f t="shared" si="118"/>
        <v>6.0212322738155591E-2</v>
      </c>
      <c r="Z717" s="286" t="s">
        <v>53</v>
      </c>
      <c r="AA717" s="286" t="s">
        <v>53</v>
      </c>
      <c r="AB717" s="16">
        <v>6.0212322738155591E-2</v>
      </c>
      <c r="AC717" s="66" t="s">
        <v>49</v>
      </c>
      <c r="AD717" s="96" t="s">
        <v>571</v>
      </c>
      <c r="AE717" s="60">
        <v>24</v>
      </c>
      <c r="AF717" s="60">
        <v>0</v>
      </c>
      <c r="AG717" s="60">
        <v>0</v>
      </c>
      <c r="AH717" s="134">
        <v>0</v>
      </c>
      <c r="AI717" s="134">
        <v>0</v>
      </c>
      <c r="AJ717" s="135">
        <f t="shared" si="117"/>
        <v>0</v>
      </c>
      <c r="AK717" s="45">
        <f t="shared" si="122"/>
        <v>0</v>
      </c>
      <c r="AL717" s="136" t="str" cm="1">
        <f t="array" ref="AL717">_xlfn.IFS(
AI717&lt;3,"Ligera",
AI717&lt;=6,"Moderada",
AI717&gt;6,"Vigorosa"
)</f>
        <v>Ligera</v>
      </c>
      <c r="AM717" s="61" t="s">
        <v>49</v>
      </c>
      <c r="AN717" s="97" t="s">
        <v>49</v>
      </c>
      <c r="AO717" s="97" t="s">
        <v>49</v>
      </c>
      <c r="AP717" s="97" t="s">
        <v>49</v>
      </c>
      <c r="AQ717" s="230">
        <v>0</v>
      </c>
      <c r="AR717" s="98"/>
      <c r="AS717" s="98"/>
      <c r="AT717" s="98"/>
      <c r="AU717" s="98"/>
      <c r="AV717" s="98"/>
      <c r="AW717" s="98"/>
      <c r="AX717" s="98"/>
      <c r="AY717" s="98"/>
      <c r="AZ717" s="98"/>
      <c r="BA717" s="98"/>
      <c r="BB717" s="98"/>
      <c r="BC717" s="98"/>
      <c r="BD717" s="98"/>
      <c r="BE717" s="98"/>
      <c r="BF717" s="98"/>
      <c r="BG717" s="98"/>
      <c r="BH717" s="98"/>
      <c r="BI717" s="98"/>
      <c r="BJ717" s="98"/>
      <c r="BK717" s="98"/>
      <c r="BL717" s="98"/>
    </row>
    <row r="718" spans="1:64" s="101" customFormat="1" ht="78.75" customHeight="1" thickBot="1">
      <c r="A718" s="229" t="s">
        <v>569</v>
      </c>
      <c r="B718" s="54">
        <v>105</v>
      </c>
      <c r="C718" s="54">
        <v>80.2</v>
      </c>
      <c r="D718" s="54">
        <v>35</v>
      </c>
      <c r="E718" s="54" t="s">
        <v>45</v>
      </c>
      <c r="F718" s="54" t="s">
        <v>45</v>
      </c>
      <c r="G718" s="54" t="s">
        <v>570</v>
      </c>
      <c r="H718" s="54"/>
      <c r="I718" s="54" t="s">
        <v>45</v>
      </c>
      <c r="J718" s="54" t="s">
        <v>47</v>
      </c>
      <c r="K718" s="54" t="s">
        <v>48</v>
      </c>
      <c r="L718" s="54" t="s">
        <v>48</v>
      </c>
      <c r="M718" s="55" t="s">
        <v>56</v>
      </c>
      <c r="N718" s="55" t="s">
        <v>233</v>
      </c>
      <c r="O718" s="55" t="s">
        <v>233</v>
      </c>
      <c r="P718" s="55" t="s">
        <v>51</v>
      </c>
      <c r="Q718" s="94" t="s">
        <v>249</v>
      </c>
      <c r="R718" s="56">
        <v>41</v>
      </c>
      <c r="S718" s="57">
        <v>1.2130000000000001</v>
      </c>
      <c r="T718" s="58">
        <v>0.39900000000000002</v>
      </c>
      <c r="U718" s="56">
        <v>41</v>
      </c>
      <c r="V718" s="56">
        <v>1.296</v>
      </c>
      <c r="W718" s="56">
        <v>0.40799999999999997</v>
      </c>
      <c r="X718" s="130">
        <f t="shared" si="116"/>
        <v>8.2999999999999963E-2</v>
      </c>
      <c r="Y718" s="16">
        <f t="shared" si="118"/>
        <v>6.3027868400588896E-2</v>
      </c>
      <c r="Z718" s="15">
        <f t="shared" si="119"/>
        <v>0.13099999999999978</v>
      </c>
      <c r="AA718" s="16">
        <f t="shared" si="120"/>
        <v>0.1492703209876543</v>
      </c>
      <c r="AB718" s="16">
        <f t="shared" si="121"/>
        <v>8.4822136249301502E-2</v>
      </c>
      <c r="AC718" s="66" t="s">
        <v>49</v>
      </c>
      <c r="AD718" s="96" t="s">
        <v>572</v>
      </c>
      <c r="AE718" s="60">
        <v>24</v>
      </c>
      <c r="AF718" s="60">
        <v>2</v>
      </c>
      <c r="AG718" s="60">
        <v>25</v>
      </c>
      <c r="AH718" s="134">
        <v>2210060</v>
      </c>
      <c r="AI718" s="134">
        <v>1.8</v>
      </c>
      <c r="AJ718" s="135">
        <f t="shared" si="117"/>
        <v>45</v>
      </c>
      <c r="AK718" s="45">
        <f t="shared" si="122"/>
        <v>90</v>
      </c>
      <c r="AL718" s="136" t="str" cm="1">
        <f t="array" ref="AL718">_xlfn.IFS(
AI718&lt;3,"Ligera",
AI718&lt;=6,"Moderada",
AI718&gt;6,"Vigorosa"
)</f>
        <v>Ligera</v>
      </c>
      <c r="AM718" s="61" t="s">
        <v>49</v>
      </c>
      <c r="AN718" s="61" t="s">
        <v>49</v>
      </c>
      <c r="AO718" s="61" t="s">
        <v>61</v>
      </c>
      <c r="AP718" s="97" t="s">
        <v>155</v>
      </c>
      <c r="AQ718" s="230">
        <v>0</v>
      </c>
      <c r="AR718" s="98"/>
      <c r="AS718" s="98"/>
      <c r="AT718" s="98"/>
      <c r="AU718" s="98"/>
      <c r="AV718" s="98"/>
      <c r="AW718" s="98"/>
      <c r="AX718" s="98"/>
      <c r="AY718" s="98"/>
      <c r="AZ718" s="98"/>
      <c r="BA718" s="98"/>
      <c r="BB718" s="98"/>
      <c r="BC718" s="98"/>
      <c r="BD718" s="98"/>
      <c r="BE718" s="98"/>
      <c r="BF718" s="98"/>
      <c r="BG718" s="98"/>
      <c r="BH718" s="98"/>
      <c r="BI718" s="98"/>
      <c r="BJ718" s="98"/>
      <c r="BK718" s="98"/>
      <c r="BL718" s="98"/>
    </row>
    <row r="719" spans="1:64" s="101" customFormat="1" ht="78.75" customHeight="1" thickBot="1">
      <c r="A719" s="229" t="s">
        <v>569</v>
      </c>
      <c r="B719" s="54">
        <v>105</v>
      </c>
      <c r="C719" s="54">
        <v>78.5</v>
      </c>
      <c r="D719" s="54">
        <v>44</v>
      </c>
      <c r="E719" s="54" t="s">
        <v>45</v>
      </c>
      <c r="F719" s="54" t="s">
        <v>45</v>
      </c>
      <c r="G719" s="54" t="s">
        <v>570</v>
      </c>
      <c r="H719" s="54"/>
      <c r="I719" s="54" t="s">
        <v>45</v>
      </c>
      <c r="J719" s="54" t="s">
        <v>47</v>
      </c>
      <c r="K719" s="54" t="s">
        <v>48</v>
      </c>
      <c r="L719" s="54" t="s">
        <v>48</v>
      </c>
      <c r="M719" s="55" t="s">
        <v>50</v>
      </c>
      <c r="N719" s="55" t="s">
        <v>50</v>
      </c>
      <c r="O719" s="55" t="s">
        <v>50</v>
      </c>
      <c r="P719" s="55" t="s">
        <v>51</v>
      </c>
      <c r="Q719" s="94" t="s">
        <v>495</v>
      </c>
      <c r="R719" s="56">
        <v>42</v>
      </c>
      <c r="S719" s="57">
        <v>5.2</v>
      </c>
      <c r="T719" s="58">
        <v>7.5</v>
      </c>
      <c r="U719" s="56">
        <v>42</v>
      </c>
      <c r="V719" s="56">
        <v>2.1</v>
      </c>
      <c r="W719" s="57">
        <v>2.6</v>
      </c>
      <c r="X719" s="130">
        <f t="shared" si="116"/>
        <v>-3.1</v>
      </c>
      <c r="Y719" s="16">
        <f t="shared" si="118"/>
        <v>1.0178174595438914</v>
      </c>
      <c r="Z719" s="286" t="s">
        <v>53</v>
      </c>
      <c r="AA719" s="286" t="s">
        <v>53</v>
      </c>
      <c r="AB719" s="16">
        <v>1.0178174595438914</v>
      </c>
      <c r="AC719" s="66" t="s">
        <v>49</v>
      </c>
      <c r="AD719" s="96" t="s">
        <v>571</v>
      </c>
      <c r="AE719" s="60">
        <v>24</v>
      </c>
      <c r="AF719" s="60">
        <v>0</v>
      </c>
      <c r="AG719" s="60">
        <v>0</v>
      </c>
      <c r="AH719" s="134">
        <v>0</v>
      </c>
      <c r="AI719" s="134">
        <v>0</v>
      </c>
      <c r="AJ719" s="135">
        <f t="shared" si="117"/>
        <v>0</v>
      </c>
      <c r="AK719" s="45">
        <f t="shared" si="122"/>
        <v>0</v>
      </c>
      <c r="AL719" s="136" t="str" cm="1">
        <f t="array" ref="AL719">_xlfn.IFS(
AI719&lt;3,"Ligera",
AI719&lt;=6,"Moderada",
AI719&gt;6,"Vigorosa"
)</f>
        <v>Ligera</v>
      </c>
      <c r="AM719" s="61" t="s">
        <v>49</v>
      </c>
      <c r="AN719" s="97" t="s">
        <v>49</v>
      </c>
      <c r="AO719" s="97" t="s">
        <v>49</v>
      </c>
      <c r="AP719" s="97" t="s">
        <v>49</v>
      </c>
      <c r="AQ719" s="230">
        <v>0</v>
      </c>
      <c r="AR719" s="98"/>
      <c r="AS719" s="98"/>
      <c r="AT719" s="98"/>
      <c r="AU719" s="98"/>
      <c r="AV719" s="98"/>
      <c r="AW719" s="98"/>
      <c r="AX719" s="98"/>
      <c r="AY719" s="98"/>
      <c r="AZ719" s="98"/>
      <c r="BA719" s="98"/>
      <c r="BB719" s="98"/>
      <c r="BC719" s="98"/>
      <c r="BD719" s="98"/>
      <c r="BE719" s="98"/>
      <c r="BF719" s="98"/>
      <c r="BG719" s="98"/>
      <c r="BH719" s="98"/>
      <c r="BI719" s="98"/>
      <c r="BJ719" s="98"/>
      <c r="BK719" s="98"/>
      <c r="BL719" s="98"/>
    </row>
    <row r="720" spans="1:64" s="101" customFormat="1" ht="78.75" customHeight="1" thickBot="1">
      <c r="A720" s="229" t="s">
        <v>569</v>
      </c>
      <c r="B720" s="54">
        <v>105</v>
      </c>
      <c r="C720" s="54">
        <v>80.2</v>
      </c>
      <c r="D720" s="54">
        <v>35</v>
      </c>
      <c r="E720" s="54" t="s">
        <v>45</v>
      </c>
      <c r="F720" s="54" t="s">
        <v>45</v>
      </c>
      <c r="G720" s="54" t="s">
        <v>570</v>
      </c>
      <c r="H720" s="54"/>
      <c r="I720" s="54" t="s">
        <v>45</v>
      </c>
      <c r="J720" s="54" t="s">
        <v>47</v>
      </c>
      <c r="K720" s="54" t="s">
        <v>48</v>
      </c>
      <c r="L720" s="54" t="s">
        <v>48</v>
      </c>
      <c r="M720" s="55" t="s">
        <v>56</v>
      </c>
      <c r="N720" s="55" t="s">
        <v>233</v>
      </c>
      <c r="O720" s="55" t="s">
        <v>233</v>
      </c>
      <c r="P720" s="55" t="s">
        <v>51</v>
      </c>
      <c r="Q720" s="94" t="s">
        <v>495</v>
      </c>
      <c r="R720" s="56">
        <v>41</v>
      </c>
      <c r="S720" s="57">
        <v>4.5</v>
      </c>
      <c r="T720" s="58">
        <v>4.5</v>
      </c>
      <c r="U720" s="56">
        <v>41</v>
      </c>
      <c r="V720" s="56">
        <v>6.4</v>
      </c>
      <c r="W720" s="56">
        <v>6.8</v>
      </c>
      <c r="X720" s="130">
        <f t="shared" si="116"/>
        <v>1.9000000000000004</v>
      </c>
      <c r="Y720" s="16">
        <f t="shared" si="118"/>
        <v>0.93560988326253625</v>
      </c>
      <c r="Z720" s="15">
        <f t="shared" si="119"/>
        <v>5</v>
      </c>
      <c r="AA720" s="16">
        <f t="shared" si="120"/>
        <v>26.256296296296295</v>
      </c>
      <c r="AB720" s="16">
        <f t="shared" si="121"/>
        <v>1.1249655027857306</v>
      </c>
      <c r="AC720" s="66" t="s">
        <v>49</v>
      </c>
      <c r="AD720" s="96" t="s">
        <v>572</v>
      </c>
      <c r="AE720" s="60">
        <v>24</v>
      </c>
      <c r="AF720" s="60">
        <v>2</v>
      </c>
      <c r="AG720" s="60">
        <v>25</v>
      </c>
      <c r="AH720" s="134">
        <v>2210060</v>
      </c>
      <c r="AI720" s="134">
        <v>1.8</v>
      </c>
      <c r="AJ720" s="135">
        <f t="shared" si="117"/>
        <v>45</v>
      </c>
      <c r="AK720" s="45">
        <f t="shared" si="122"/>
        <v>90</v>
      </c>
      <c r="AL720" s="136" t="str" cm="1">
        <f t="array" ref="AL720">_xlfn.IFS(
AI720&lt;3,"Ligera",
AI720&lt;=6,"Moderada",
AI720&gt;6,"Vigorosa"
)</f>
        <v>Ligera</v>
      </c>
      <c r="AM720" s="61" t="s">
        <v>49</v>
      </c>
      <c r="AN720" s="61" t="s">
        <v>49</v>
      </c>
      <c r="AO720" s="61" t="s">
        <v>61</v>
      </c>
      <c r="AP720" s="97" t="s">
        <v>155</v>
      </c>
      <c r="AQ720" s="230">
        <v>0</v>
      </c>
      <c r="AR720" s="98"/>
      <c r="AS720" s="98"/>
      <c r="AT720" s="98"/>
      <c r="AU720" s="98"/>
      <c r="AV720" s="98"/>
      <c r="AW720" s="98"/>
      <c r="AX720" s="98"/>
      <c r="AY720" s="98"/>
      <c r="AZ720" s="98"/>
      <c r="BA720" s="98"/>
      <c r="BB720" s="98"/>
      <c r="BC720" s="98"/>
      <c r="BD720" s="98"/>
      <c r="BE720" s="98"/>
      <c r="BF720" s="98"/>
      <c r="BG720" s="98"/>
      <c r="BH720" s="98"/>
      <c r="BI720" s="98"/>
      <c r="BJ720" s="98"/>
      <c r="BK720" s="98"/>
      <c r="BL720" s="98"/>
    </row>
    <row r="721" spans="1:64" s="101" customFormat="1" ht="78.75" customHeight="1" thickBot="1">
      <c r="A721" s="229" t="s">
        <v>569</v>
      </c>
      <c r="B721" s="54">
        <v>105</v>
      </c>
      <c r="C721" s="54">
        <v>78.5</v>
      </c>
      <c r="D721" s="54">
        <v>44</v>
      </c>
      <c r="E721" s="54" t="s">
        <v>45</v>
      </c>
      <c r="F721" s="54" t="s">
        <v>45</v>
      </c>
      <c r="G721" s="54" t="s">
        <v>570</v>
      </c>
      <c r="H721" s="54"/>
      <c r="I721" s="54" t="s">
        <v>45</v>
      </c>
      <c r="J721" s="54" t="s">
        <v>47</v>
      </c>
      <c r="K721" s="54" t="s">
        <v>48</v>
      </c>
      <c r="L721" s="54" t="s">
        <v>48</v>
      </c>
      <c r="M721" s="55" t="s">
        <v>50</v>
      </c>
      <c r="N721" s="55" t="s">
        <v>50</v>
      </c>
      <c r="O721" s="55" t="s">
        <v>50</v>
      </c>
      <c r="P721" s="55" t="s">
        <v>51</v>
      </c>
      <c r="Q721" s="94" t="s">
        <v>376</v>
      </c>
      <c r="R721" s="56">
        <v>42</v>
      </c>
      <c r="S721" s="57">
        <v>21.2</v>
      </c>
      <c r="T721" s="58">
        <v>6.2</v>
      </c>
      <c r="U721" s="56">
        <v>42</v>
      </c>
      <c r="V721" s="56">
        <v>19.8</v>
      </c>
      <c r="W721" s="57">
        <v>7.6</v>
      </c>
      <c r="X721" s="130">
        <f t="shared" ref="X721:X774" si="123">V721-S721</f>
        <v>-1.3999999999999986</v>
      </c>
      <c r="Y721" s="16">
        <f t="shared" si="118"/>
        <v>1.0810048235652923</v>
      </c>
      <c r="Z721" s="286" t="s">
        <v>53</v>
      </c>
      <c r="AA721" s="286" t="s">
        <v>53</v>
      </c>
      <c r="AB721" s="16">
        <v>1.0810048235652923</v>
      </c>
      <c r="AC721" s="66" t="s">
        <v>49</v>
      </c>
      <c r="AD721" s="96" t="s">
        <v>571</v>
      </c>
      <c r="AE721" s="60">
        <v>24</v>
      </c>
      <c r="AF721" s="60">
        <v>0</v>
      </c>
      <c r="AG721" s="60">
        <v>0</v>
      </c>
      <c r="AH721" s="134">
        <v>0</v>
      </c>
      <c r="AI721" s="134">
        <v>0</v>
      </c>
      <c r="AJ721" s="135">
        <f t="shared" ref="AJ721:AJ774" si="124">AI721*AG721</f>
        <v>0</v>
      </c>
      <c r="AK721" s="45">
        <f t="shared" si="122"/>
        <v>0</v>
      </c>
      <c r="AL721" s="136" t="str" cm="1">
        <f t="array" ref="AL721">_xlfn.IFS(
AI721&lt;3,"Ligera",
AI721&lt;=6,"Moderada",
AI721&gt;6,"Vigorosa"
)</f>
        <v>Ligera</v>
      </c>
      <c r="AM721" s="61" t="s">
        <v>49</v>
      </c>
      <c r="AN721" s="97" t="s">
        <v>49</v>
      </c>
      <c r="AO721" s="97" t="s">
        <v>49</v>
      </c>
      <c r="AP721" s="97" t="s">
        <v>49</v>
      </c>
      <c r="AQ721" s="230">
        <v>0</v>
      </c>
      <c r="AR721" s="98"/>
      <c r="AS721" s="98"/>
      <c r="AT721" s="98"/>
      <c r="AU721" s="98"/>
      <c r="AV721" s="98"/>
      <c r="AW721" s="98"/>
      <c r="AX721" s="98"/>
      <c r="AY721" s="98"/>
      <c r="AZ721" s="98"/>
      <c r="BA721" s="98"/>
      <c r="BB721" s="98"/>
      <c r="BC721" s="98"/>
      <c r="BD721" s="98"/>
      <c r="BE721" s="98"/>
      <c r="BF721" s="98"/>
      <c r="BG721" s="98"/>
      <c r="BH721" s="98"/>
      <c r="BI721" s="98"/>
      <c r="BJ721" s="98"/>
      <c r="BK721" s="98"/>
      <c r="BL721" s="98"/>
    </row>
    <row r="722" spans="1:64" s="101" customFormat="1" ht="78.75" customHeight="1" thickBot="1">
      <c r="A722" s="229" t="s">
        <v>569</v>
      </c>
      <c r="B722" s="54">
        <v>105</v>
      </c>
      <c r="C722" s="54">
        <v>80.2</v>
      </c>
      <c r="D722" s="54">
        <v>35</v>
      </c>
      <c r="E722" s="54" t="s">
        <v>45</v>
      </c>
      <c r="F722" s="54" t="s">
        <v>45</v>
      </c>
      <c r="G722" s="54" t="s">
        <v>570</v>
      </c>
      <c r="H722" s="54"/>
      <c r="I722" s="54" t="s">
        <v>45</v>
      </c>
      <c r="J722" s="54" t="s">
        <v>47</v>
      </c>
      <c r="K722" s="54" t="s">
        <v>48</v>
      </c>
      <c r="L722" s="54" t="s">
        <v>48</v>
      </c>
      <c r="M722" s="55" t="s">
        <v>56</v>
      </c>
      <c r="N722" s="55" t="s">
        <v>233</v>
      </c>
      <c r="O722" s="55" t="s">
        <v>233</v>
      </c>
      <c r="P722" s="55" t="s">
        <v>51</v>
      </c>
      <c r="Q722" s="94" t="s">
        <v>376</v>
      </c>
      <c r="R722" s="56">
        <v>41</v>
      </c>
      <c r="S722" s="57">
        <v>22.2</v>
      </c>
      <c r="T722" s="58">
        <v>6.4</v>
      </c>
      <c r="U722" s="56">
        <v>41</v>
      </c>
      <c r="V722" s="56">
        <v>28.8</v>
      </c>
      <c r="W722" s="57">
        <v>7.5</v>
      </c>
      <c r="X722" s="130">
        <f t="shared" si="123"/>
        <v>6.6000000000000014</v>
      </c>
      <c r="Y722" s="16">
        <f t="shared" ref="Y722:Y774" si="125">SQRT((T722^2+W722^2-(2*0.5*T722*W722)))/SQRT(U722)</f>
        <v>1.0955564350771825</v>
      </c>
      <c r="Z722" s="15">
        <f t="shared" si="119"/>
        <v>8</v>
      </c>
      <c r="AA722" s="16">
        <f t="shared" si="120"/>
        <v>57.014320987654322</v>
      </c>
      <c r="AB722" s="16">
        <f t="shared" si="121"/>
        <v>1.6577324958690487</v>
      </c>
      <c r="AC722" s="66" t="s">
        <v>49</v>
      </c>
      <c r="AD722" s="96" t="s">
        <v>572</v>
      </c>
      <c r="AE722" s="60">
        <v>24</v>
      </c>
      <c r="AF722" s="60">
        <v>2</v>
      </c>
      <c r="AG722" s="60">
        <v>25</v>
      </c>
      <c r="AH722" s="134">
        <v>2210060</v>
      </c>
      <c r="AI722" s="134">
        <v>1.8</v>
      </c>
      <c r="AJ722" s="135">
        <f t="shared" si="124"/>
        <v>45</v>
      </c>
      <c r="AK722" s="45">
        <f t="shared" si="122"/>
        <v>90</v>
      </c>
      <c r="AL722" s="136" t="str" cm="1">
        <f t="array" ref="AL722">_xlfn.IFS(
AI722&lt;3,"Ligera",
AI722&lt;=6,"Moderada",
AI722&gt;6,"Vigorosa"
)</f>
        <v>Ligera</v>
      </c>
      <c r="AM722" s="61" t="s">
        <v>49</v>
      </c>
      <c r="AN722" s="61" t="s">
        <v>49</v>
      </c>
      <c r="AO722" s="61" t="s">
        <v>61</v>
      </c>
      <c r="AP722" s="97" t="s">
        <v>155</v>
      </c>
      <c r="AQ722" s="230">
        <v>0</v>
      </c>
      <c r="AR722" s="98"/>
      <c r="AS722" s="98"/>
      <c r="AT722" s="98"/>
      <c r="AU722" s="98"/>
      <c r="AV722" s="98"/>
      <c r="AW722" s="98"/>
      <c r="AX722" s="98"/>
      <c r="AY722" s="98"/>
      <c r="AZ722" s="98"/>
      <c r="BA722" s="98"/>
      <c r="BB722" s="98"/>
      <c r="BC722" s="98"/>
      <c r="BD722" s="98"/>
      <c r="BE722" s="98"/>
      <c r="BF722" s="98"/>
      <c r="BG722" s="98"/>
      <c r="BH722" s="98"/>
      <c r="BI722" s="98"/>
      <c r="BJ722" s="98"/>
      <c r="BK722" s="98"/>
      <c r="BL722" s="98"/>
    </row>
    <row r="723" spans="1:64" s="101" customFormat="1" ht="78.75" customHeight="1" thickBot="1">
      <c r="A723" s="229" t="s">
        <v>569</v>
      </c>
      <c r="B723" s="54">
        <v>105</v>
      </c>
      <c r="C723" s="54">
        <v>78.5</v>
      </c>
      <c r="D723" s="54">
        <v>44</v>
      </c>
      <c r="E723" s="54" t="s">
        <v>45</v>
      </c>
      <c r="F723" s="54" t="s">
        <v>45</v>
      </c>
      <c r="G723" s="54" t="s">
        <v>570</v>
      </c>
      <c r="H723" s="54"/>
      <c r="I723" s="54" t="s">
        <v>45</v>
      </c>
      <c r="J723" s="54" t="s">
        <v>47</v>
      </c>
      <c r="K723" s="54" t="s">
        <v>48</v>
      </c>
      <c r="L723" s="54" t="s">
        <v>48</v>
      </c>
      <c r="M723" s="55" t="s">
        <v>50</v>
      </c>
      <c r="N723" s="55" t="s">
        <v>50</v>
      </c>
      <c r="O723" s="55" t="s">
        <v>50</v>
      </c>
      <c r="P723" s="55" t="s">
        <v>94</v>
      </c>
      <c r="Q723" s="94" t="s">
        <v>119</v>
      </c>
      <c r="R723" s="56">
        <v>42</v>
      </c>
      <c r="S723" s="57">
        <v>25.4</v>
      </c>
      <c r="T723" s="58">
        <v>2.6</v>
      </c>
      <c r="U723" s="56">
        <v>42</v>
      </c>
      <c r="V723" s="56">
        <v>24.6</v>
      </c>
      <c r="W723" s="57">
        <v>2.5</v>
      </c>
      <c r="X723" s="130">
        <f t="shared" si="123"/>
        <v>-0.79999999999999716</v>
      </c>
      <c r="Y723" s="16">
        <f t="shared" si="125"/>
        <v>0.39370039370059057</v>
      </c>
      <c r="Z723" s="286" t="s">
        <v>53</v>
      </c>
      <c r="AA723" s="286" t="s">
        <v>53</v>
      </c>
      <c r="AB723" s="16">
        <v>0.39370039370059057</v>
      </c>
      <c r="AC723" s="66" t="s">
        <v>49</v>
      </c>
      <c r="AD723" s="96" t="s">
        <v>571</v>
      </c>
      <c r="AE723" s="60">
        <v>24</v>
      </c>
      <c r="AF723" s="60">
        <v>0</v>
      </c>
      <c r="AG723" s="60">
        <v>0</v>
      </c>
      <c r="AH723" s="134">
        <v>0</v>
      </c>
      <c r="AI723" s="134">
        <v>0</v>
      </c>
      <c r="AJ723" s="135">
        <f t="shared" si="124"/>
        <v>0</v>
      </c>
      <c r="AK723" s="45">
        <f t="shared" si="122"/>
        <v>0</v>
      </c>
      <c r="AL723" s="136" t="str" cm="1">
        <f t="array" ref="AL723">_xlfn.IFS(
AI723&lt;3,"Ligera",
AI723&lt;=6,"Moderada",
AI723&gt;6,"Vigorosa"
)</f>
        <v>Ligera</v>
      </c>
      <c r="AM723" s="61" t="s">
        <v>49</v>
      </c>
      <c r="AN723" s="97" t="s">
        <v>49</v>
      </c>
      <c r="AO723" s="97" t="s">
        <v>49</v>
      </c>
      <c r="AP723" s="97" t="s">
        <v>49</v>
      </c>
      <c r="AQ723" s="230">
        <v>0</v>
      </c>
      <c r="AR723" s="98"/>
      <c r="AS723" s="98"/>
      <c r="AT723" s="98"/>
      <c r="AU723" s="98"/>
      <c r="AV723" s="98"/>
      <c r="AW723" s="98"/>
      <c r="AX723" s="98"/>
      <c r="AY723" s="98"/>
      <c r="AZ723" s="98"/>
      <c r="BA723" s="98"/>
      <c r="BB723" s="98"/>
      <c r="BC723" s="98"/>
      <c r="BD723" s="98"/>
      <c r="BE723" s="98"/>
      <c r="BF723" s="98"/>
      <c r="BG723" s="98"/>
      <c r="BH723" s="98"/>
      <c r="BI723" s="98"/>
      <c r="BJ723" s="98"/>
      <c r="BK723" s="98"/>
      <c r="BL723" s="98"/>
    </row>
    <row r="724" spans="1:64" s="101" customFormat="1" ht="78.75" customHeight="1" thickBot="1">
      <c r="A724" s="229" t="s">
        <v>569</v>
      </c>
      <c r="B724" s="54">
        <v>105</v>
      </c>
      <c r="C724" s="54">
        <v>80.2</v>
      </c>
      <c r="D724" s="54">
        <v>35</v>
      </c>
      <c r="E724" s="54" t="s">
        <v>45</v>
      </c>
      <c r="F724" s="54" t="s">
        <v>45</v>
      </c>
      <c r="G724" s="54" t="s">
        <v>570</v>
      </c>
      <c r="H724" s="54"/>
      <c r="I724" s="54" t="s">
        <v>45</v>
      </c>
      <c r="J724" s="54" t="s">
        <v>47</v>
      </c>
      <c r="K724" s="54" t="s">
        <v>48</v>
      </c>
      <c r="L724" s="54" t="s">
        <v>48</v>
      </c>
      <c r="M724" s="55" t="s">
        <v>56</v>
      </c>
      <c r="N724" s="55" t="s">
        <v>233</v>
      </c>
      <c r="O724" s="55" t="s">
        <v>233</v>
      </c>
      <c r="P724" s="55" t="s">
        <v>94</v>
      </c>
      <c r="Q724" s="94" t="s">
        <v>119</v>
      </c>
      <c r="R724" s="56">
        <v>41</v>
      </c>
      <c r="S724" s="57">
        <v>25.2</v>
      </c>
      <c r="T724" s="58">
        <v>2</v>
      </c>
      <c r="U724" s="56">
        <v>41</v>
      </c>
      <c r="V724" s="56">
        <v>25.7</v>
      </c>
      <c r="W724" s="57">
        <v>2.2999999999999998</v>
      </c>
      <c r="X724" s="130">
        <f t="shared" si="123"/>
        <v>0.5</v>
      </c>
      <c r="Y724" s="16">
        <f t="shared" si="125"/>
        <v>0.33821626794469695</v>
      </c>
      <c r="Z724" s="15">
        <f t="shared" ref="Z724:Z774" si="126">X724-X723</f>
        <v>1.2999999999999972</v>
      </c>
      <c r="AA724" s="16">
        <f t="shared" ref="AA724:AA774" si="127">((U724-1)*W724^2+(U723-1)*W723^2)/((U724-1)+(U723-1))</f>
        <v>5.7759259259259252</v>
      </c>
      <c r="AB724" s="16">
        <f t="shared" ref="AB724:AB774" si="128">SQRT(AA724*((1/U724)+(1/U723)))</f>
        <v>0.52763461595230221</v>
      </c>
      <c r="AC724" s="66" t="s">
        <v>49</v>
      </c>
      <c r="AD724" s="96" t="s">
        <v>572</v>
      </c>
      <c r="AE724" s="60">
        <v>24</v>
      </c>
      <c r="AF724" s="60">
        <v>2</v>
      </c>
      <c r="AG724" s="60">
        <v>25</v>
      </c>
      <c r="AH724" s="134">
        <v>2210060</v>
      </c>
      <c r="AI724" s="134">
        <v>1.8</v>
      </c>
      <c r="AJ724" s="135">
        <f t="shared" si="124"/>
        <v>45</v>
      </c>
      <c r="AK724" s="45">
        <f t="shared" si="122"/>
        <v>90</v>
      </c>
      <c r="AL724" s="136" t="str" cm="1">
        <f t="array" ref="AL724">_xlfn.IFS(
AI724&lt;3,"Ligera",
AI724&lt;=6,"Moderada",
AI724&gt;6,"Vigorosa"
)</f>
        <v>Ligera</v>
      </c>
      <c r="AM724" s="61" t="s">
        <v>49</v>
      </c>
      <c r="AN724" s="61" t="s">
        <v>49</v>
      </c>
      <c r="AO724" s="61" t="s">
        <v>61</v>
      </c>
      <c r="AP724" s="97" t="s">
        <v>155</v>
      </c>
      <c r="AQ724" s="230">
        <v>0</v>
      </c>
      <c r="AR724" s="98"/>
      <c r="AS724" s="98"/>
      <c r="AT724" s="98"/>
      <c r="AU724" s="98"/>
      <c r="AV724" s="98"/>
      <c r="AW724" s="98"/>
      <c r="AX724" s="98"/>
      <c r="AY724" s="98"/>
      <c r="AZ724" s="98"/>
      <c r="BA724" s="98"/>
      <c r="BB724" s="98"/>
      <c r="BC724" s="98"/>
      <c r="BD724" s="98"/>
      <c r="BE724" s="98"/>
      <c r="BF724" s="98"/>
      <c r="BG724" s="98"/>
      <c r="BH724" s="98"/>
      <c r="BI724" s="98"/>
      <c r="BJ724" s="98"/>
      <c r="BK724" s="98"/>
      <c r="BL724" s="98"/>
    </row>
    <row r="725" spans="1:64" s="101" customFormat="1" ht="78.75" customHeight="1" thickBot="1">
      <c r="A725" s="217" t="s">
        <v>575</v>
      </c>
      <c r="B725" s="218">
        <v>80</v>
      </c>
      <c r="C725" s="218">
        <v>67.22</v>
      </c>
      <c r="D725" s="218" t="s">
        <v>47</v>
      </c>
      <c r="E725" s="218" t="s">
        <v>45</v>
      </c>
      <c r="F725" s="218" t="s">
        <v>45</v>
      </c>
      <c r="G725" s="218" t="s">
        <v>395</v>
      </c>
      <c r="H725" s="218"/>
      <c r="I725" s="218" t="s">
        <v>45</v>
      </c>
      <c r="J725" s="218" t="s">
        <v>47</v>
      </c>
      <c r="K725" s="218" t="s">
        <v>49</v>
      </c>
      <c r="L725" s="218" t="s">
        <v>49</v>
      </c>
      <c r="M725" s="219" t="s">
        <v>50</v>
      </c>
      <c r="N725" s="219" t="s">
        <v>50</v>
      </c>
      <c r="O725" s="219" t="s">
        <v>50</v>
      </c>
      <c r="P725" s="219" t="s">
        <v>51</v>
      </c>
      <c r="Q725" s="220" t="s">
        <v>210</v>
      </c>
      <c r="R725" s="221">
        <v>36</v>
      </c>
      <c r="S725" s="242">
        <v>0.48</v>
      </c>
      <c r="T725" s="243">
        <v>0.12</v>
      </c>
      <c r="U725" s="221">
        <v>36</v>
      </c>
      <c r="V725" s="244">
        <v>0.49</v>
      </c>
      <c r="W725" s="243">
        <v>0.13</v>
      </c>
      <c r="X725" s="130">
        <f t="shared" si="123"/>
        <v>1.0000000000000009E-2</v>
      </c>
      <c r="Y725" s="16">
        <f t="shared" si="125"/>
        <v>2.0883273476902778E-2</v>
      </c>
      <c r="Z725" s="286" t="s">
        <v>53</v>
      </c>
      <c r="AA725" s="286" t="s">
        <v>53</v>
      </c>
      <c r="AB725" s="16">
        <v>2.0883273476902778E-2</v>
      </c>
      <c r="AC725" s="66" t="s">
        <v>49</v>
      </c>
      <c r="AD725" s="133" t="s">
        <v>576</v>
      </c>
      <c r="AE725" s="225">
        <v>34</v>
      </c>
      <c r="AF725" s="225">
        <v>0</v>
      </c>
      <c r="AG725" s="225">
        <v>0</v>
      </c>
      <c r="AH725" s="134">
        <v>0</v>
      </c>
      <c r="AI725" s="134">
        <v>0</v>
      </c>
      <c r="AJ725" s="135">
        <f t="shared" si="124"/>
        <v>0</v>
      </c>
      <c r="AK725" s="45">
        <f t="shared" si="122"/>
        <v>0</v>
      </c>
      <c r="AL725" s="136" t="str" cm="1">
        <f t="array" ref="AL725">_xlfn.IFS(
AI725&lt;3,"Ligera",
AI725&lt;=6,"Moderada",
AI725&gt;6,"Vigorosa"
)</f>
        <v>Ligera</v>
      </c>
      <c r="AM725" s="226" t="s">
        <v>49</v>
      </c>
      <c r="AN725" s="227" t="s">
        <v>49</v>
      </c>
      <c r="AO725" s="227" t="s">
        <v>49</v>
      </c>
      <c r="AP725" s="227" t="s">
        <v>49</v>
      </c>
      <c r="AQ725" s="228">
        <v>0</v>
      </c>
      <c r="AR725" s="98"/>
      <c r="AS725" s="102" t="s">
        <v>577</v>
      </c>
      <c r="AT725" s="98"/>
      <c r="AU725" s="98"/>
      <c r="AV725" s="98"/>
      <c r="AW725" s="98"/>
      <c r="AX725" s="98"/>
      <c r="AY725" s="98"/>
      <c r="AZ725" s="98"/>
      <c r="BA725" s="98"/>
      <c r="BB725" s="98"/>
      <c r="BC725" s="98"/>
      <c r="BD725" s="98"/>
      <c r="BE725" s="98"/>
      <c r="BF725" s="98"/>
      <c r="BG725" s="98"/>
      <c r="BH725" s="98"/>
      <c r="BI725" s="98"/>
      <c r="BJ725" s="98"/>
      <c r="BK725" s="98"/>
      <c r="BL725" s="98"/>
    </row>
    <row r="726" spans="1:64" s="101" customFormat="1" ht="78.75" customHeight="1" thickBot="1">
      <c r="A726" s="231" t="s">
        <v>575</v>
      </c>
      <c r="B726" s="232">
        <v>80</v>
      </c>
      <c r="C726" s="232">
        <v>67.95</v>
      </c>
      <c r="D726" s="232" t="s">
        <v>47</v>
      </c>
      <c r="E726" s="232" t="s">
        <v>45</v>
      </c>
      <c r="F726" s="232" t="s">
        <v>45</v>
      </c>
      <c r="G726" s="232" t="s">
        <v>395</v>
      </c>
      <c r="H726" s="232"/>
      <c r="I726" s="232" t="s">
        <v>45</v>
      </c>
      <c r="J726" s="232" t="s">
        <v>47</v>
      </c>
      <c r="K726" s="232" t="s">
        <v>49</v>
      </c>
      <c r="L726" s="232" t="s">
        <v>49</v>
      </c>
      <c r="M726" s="233" t="s">
        <v>56</v>
      </c>
      <c r="N726" s="142" t="s">
        <v>162</v>
      </c>
      <c r="O726" s="234" t="s">
        <v>297</v>
      </c>
      <c r="P726" s="233" t="s">
        <v>51</v>
      </c>
      <c r="Q726" s="234" t="s">
        <v>210</v>
      </c>
      <c r="R726" s="235">
        <v>39</v>
      </c>
      <c r="S726" s="238">
        <v>0.51</v>
      </c>
      <c r="T726" s="245">
        <v>0.17</v>
      </c>
      <c r="U726" s="235">
        <v>39</v>
      </c>
      <c r="V726" s="246">
        <v>0.7</v>
      </c>
      <c r="W726" s="245">
        <v>0.25</v>
      </c>
      <c r="X726" s="130">
        <f t="shared" si="123"/>
        <v>0.18999999999999995</v>
      </c>
      <c r="Y726" s="16">
        <f t="shared" si="125"/>
        <v>3.5409690112258169E-2</v>
      </c>
      <c r="Z726" s="15">
        <f t="shared" si="126"/>
        <v>0.17999999999999994</v>
      </c>
      <c r="AA726" s="16">
        <f t="shared" si="127"/>
        <v>4.063698630136986E-2</v>
      </c>
      <c r="AB726" s="16">
        <f t="shared" si="128"/>
        <v>4.6591621379444226E-2</v>
      </c>
      <c r="AC726" s="66" t="s">
        <v>49</v>
      </c>
      <c r="AD726" s="151" t="s">
        <v>578</v>
      </c>
      <c r="AE726" s="239">
        <v>34</v>
      </c>
      <c r="AF726" s="146">
        <v>3</v>
      </c>
      <c r="AG726" s="146">
        <v>50</v>
      </c>
      <c r="AH726" s="13">
        <v>303060</v>
      </c>
      <c r="AI726" s="13">
        <v>6</v>
      </c>
      <c r="AJ726" s="135">
        <f t="shared" si="124"/>
        <v>300</v>
      </c>
      <c r="AK726" s="45">
        <f t="shared" si="122"/>
        <v>900</v>
      </c>
      <c r="AL726" s="136" t="str" cm="1">
        <f t="array" ref="AL726">_xlfn.IFS(
AI726&lt;3,"Ligera",
AI726&lt;=6,"Moderada",
AI726&gt;6,"Vigorosa"
)</f>
        <v>Moderada</v>
      </c>
      <c r="AM726" s="147" t="s">
        <v>48</v>
      </c>
      <c r="AN726" s="290" t="s">
        <v>60</v>
      </c>
      <c r="AO726" s="148" t="s">
        <v>61</v>
      </c>
      <c r="AP726" s="290" t="s">
        <v>173</v>
      </c>
      <c r="AQ726" s="149">
        <v>0</v>
      </c>
      <c r="AR726" s="98"/>
      <c r="AS726" s="102" t="s">
        <v>579</v>
      </c>
      <c r="AT726" s="98"/>
      <c r="AU726" s="98"/>
      <c r="AV726" s="98"/>
      <c r="AW726" s="98"/>
      <c r="AX726" s="98"/>
      <c r="AY726" s="98"/>
      <c r="AZ726" s="98"/>
      <c r="BA726" s="98"/>
      <c r="BB726" s="98"/>
      <c r="BC726" s="98"/>
      <c r="BD726" s="98"/>
      <c r="BE726" s="98"/>
      <c r="BF726" s="98"/>
      <c r="BG726" s="98"/>
      <c r="BH726" s="98"/>
      <c r="BI726" s="98"/>
      <c r="BJ726" s="98"/>
      <c r="BK726" s="98"/>
      <c r="BL726" s="98"/>
    </row>
    <row r="727" spans="1:64" s="101" customFormat="1" ht="78.75" customHeight="1" thickBot="1">
      <c r="A727" s="217" t="s">
        <v>580</v>
      </c>
      <c r="B727" s="218">
        <v>50</v>
      </c>
      <c r="C727" s="218" t="s">
        <v>47</v>
      </c>
      <c r="D727" s="218">
        <v>0</v>
      </c>
      <c r="E727" s="218" t="s">
        <v>45</v>
      </c>
      <c r="F727" s="218" t="s">
        <v>45</v>
      </c>
      <c r="G727" s="218" t="s">
        <v>395</v>
      </c>
      <c r="H727" s="218"/>
      <c r="I727" s="218" t="s">
        <v>45</v>
      </c>
      <c r="J727" s="218" t="s">
        <v>47</v>
      </c>
      <c r="K727" s="218" t="s">
        <v>49</v>
      </c>
      <c r="L727" s="218" t="s">
        <v>49</v>
      </c>
      <c r="M727" s="219" t="s">
        <v>50</v>
      </c>
      <c r="N727" s="219" t="s">
        <v>50</v>
      </c>
      <c r="O727" s="219" t="s">
        <v>50</v>
      </c>
      <c r="P727" s="219" t="s">
        <v>51</v>
      </c>
      <c r="Q727" s="220" t="s">
        <v>81</v>
      </c>
      <c r="R727" s="221">
        <v>33</v>
      </c>
      <c r="S727" s="222">
        <v>22.18</v>
      </c>
      <c r="T727" s="223">
        <v>0.88</v>
      </c>
      <c r="U727" s="221">
        <v>33</v>
      </c>
      <c r="V727" s="221">
        <v>23</v>
      </c>
      <c r="W727" s="222">
        <v>0.93</v>
      </c>
      <c r="X727" s="130">
        <f t="shared" si="123"/>
        <v>0.82000000000000028</v>
      </c>
      <c r="Y727" s="16">
        <f t="shared" si="125"/>
        <v>0.15772050461419901</v>
      </c>
      <c r="Z727" s="286" t="s">
        <v>53</v>
      </c>
      <c r="AA727" s="286" t="s">
        <v>53</v>
      </c>
      <c r="AB727" s="16">
        <v>0.15772050461419901</v>
      </c>
      <c r="AC727" s="66" t="s">
        <v>49</v>
      </c>
      <c r="AD727" s="133" t="s">
        <v>581</v>
      </c>
      <c r="AE727" s="225">
        <v>12</v>
      </c>
      <c r="AF727" s="225">
        <v>0</v>
      </c>
      <c r="AG727" s="225">
        <v>0</v>
      </c>
      <c r="AH727" s="134">
        <v>0</v>
      </c>
      <c r="AI727" s="134">
        <v>0</v>
      </c>
      <c r="AJ727" s="135">
        <f t="shared" si="124"/>
        <v>0</v>
      </c>
      <c r="AK727" s="45">
        <f t="shared" si="122"/>
        <v>0</v>
      </c>
      <c r="AL727" s="136" t="str" cm="1">
        <f t="array" ref="AL727">_xlfn.IFS(
AI727&lt;3,"Ligera",
AI727&lt;=6,"Moderada",
AI727&gt;6,"Vigorosa"
)</f>
        <v>Ligera</v>
      </c>
      <c r="AM727" s="226" t="s">
        <v>49</v>
      </c>
      <c r="AN727" s="227" t="s">
        <v>49</v>
      </c>
      <c r="AO727" s="227" t="s">
        <v>49</v>
      </c>
      <c r="AP727" s="227" t="s">
        <v>49</v>
      </c>
      <c r="AQ727" s="228">
        <v>0</v>
      </c>
      <c r="AR727" s="98"/>
      <c r="AS727" s="102" t="s">
        <v>582</v>
      </c>
      <c r="AT727" s="98"/>
      <c r="AU727" s="98"/>
      <c r="AV727" s="98"/>
      <c r="AW727" s="98"/>
      <c r="AX727" s="98"/>
      <c r="AY727" s="98"/>
      <c r="AZ727" s="98"/>
      <c r="BA727" s="98"/>
      <c r="BB727" s="98"/>
      <c r="BC727" s="98"/>
      <c r="BD727" s="98"/>
      <c r="BE727" s="98"/>
      <c r="BF727" s="98"/>
      <c r="BG727" s="98"/>
      <c r="BH727" s="98"/>
      <c r="BI727" s="98"/>
      <c r="BJ727" s="98"/>
      <c r="BK727" s="98"/>
      <c r="BL727" s="98"/>
    </row>
    <row r="728" spans="1:64" s="101" customFormat="1" ht="78.75" customHeight="1" thickBot="1">
      <c r="A728" s="229" t="s">
        <v>580</v>
      </c>
      <c r="B728" s="54">
        <v>50</v>
      </c>
      <c r="C728" s="54" t="s">
        <v>47</v>
      </c>
      <c r="D728" s="54">
        <v>0</v>
      </c>
      <c r="E728" s="54" t="s">
        <v>45</v>
      </c>
      <c r="F728" s="54" t="s">
        <v>45</v>
      </c>
      <c r="G728" s="54" t="s">
        <v>395</v>
      </c>
      <c r="H728" s="54"/>
      <c r="I728" s="54" t="s">
        <v>45</v>
      </c>
      <c r="J728" s="54" t="s">
        <v>47</v>
      </c>
      <c r="K728" s="54" t="s">
        <v>49</v>
      </c>
      <c r="L728" s="54" t="s">
        <v>49</v>
      </c>
      <c r="M728" s="55" t="s">
        <v>56</v>
      </c>
      <c r="N728" s="11" t="s">
        <v>152</v>
      </c>
      <c r="O728" s="55" t="s">
        <v>153</v>
      </c>
      <c r="P728" s="55" t="s">
        <v>51</v>
      </c>
      <c r="Q728" s="94" t="s">
        <v>81</v>
      </c>
      <c r="R728" s="56">
        <v>17</v>
      </c>
      <c r="S728" s="57">
        <v>21.68</v>
      </c>
      <c r="T728" s="58">
        <v>1.32</v>
      </c>
      <c r="U728" s="56">
        <v>17</v>
      </c>
      <c r="V728" s="56">
        <v>26.56</v>
      </c>
      <c r="W728" s="57">
        <v>1.38</v>
      </c>
      <c r="X728" s="130">
        <f t="shared" si="123"/>
        <v>4.879999999999999</v>
      </c>
      <c r="Y728" s="16">
        <f t="shared" si="125"/>
        <v>0.32766553966255429</v>
      </c>
      <c r="Z728" s="15">
        <f t="shared" si="126"/>
        <v>4.0599999999999987</v>
      </c>
      <c r="AA728" s="16">
        <f t="shared" si="127"/>
        <v>1.2114</v>
      </c>
      <c r="AB728" s="16">
        <f t="shared" si="128"/>
        <v>0.32858471424961733</v>
      </c>
      <c r="AC728" s="66" t="s">
        <v>49</v>
      </c>
      <c r="AD728" s="51" t="s">
        <v>583</v>
      </c>
      <c r="AE728" s="60">
        <v>12</v>
      </c>
      <c r="AF728" s="13">
        <v>3</v>
      </c>
      <c r="AG728" s="13">
        <v>60</v>
      </c>
      <c r="AH728" s="134">
        <v>2240060</v>
      </c>
      <c r="AI728" s="134">
        <v>5.5</v>
      </c>
      <c r="AJ728" s="135">
        <f t="shared" si="124"/>
        <v>330</v>
      </c>
      <c r="AK728" s="45">
        <f t="shared" si="122"/>
        <v>990</v>
      </c>
      <c r="AL728" s="136" t="str" cm="1">
        <f t="array" ref="AL728">_xlfn.IFS(
AI728&lt;3,"Ligera",
AI728&lt;=6,"Moderada",
AI728&gt;6,"Vigorosa"
)</f>
        <v>Moderada</v>
      </c>
      <c r="AM728" s="45" t="s">
        <v>49</v>
      </c>
      <c r="AN728" s="289" t="s">
        <v>49</v>
      </c>
      <c r="AO728" s="46" t="s">
        <v>61</v>
      </c>
      <c r="AP728" s="289" t="s">
        <v>62</v>
      </c>
      <c r="AQ728" s="139">
        <v>0</v>
      </c>
      <c r="AR728" s="98"/>
      <c r="AS728" s="102" t="s">
        <v>582</v>
      </c>
      <c r="AT728" s="98"/>
      <c r="AU728" s="98"/>
      <c r="AV728" s="98"/>
      <c r="AW728" s="98"/>
      <c r="AX728" s="98"/>
      <c r="AY728" s="98"/>
      <c r="AZ728" s="98"/>
      <c r="BA728" s="98"/>
      <c r="BB728" s="98"/>
      <c r="BC728" s="98"/>
      <c r="BD728" s="98"/>
      <c r="BE728" s="98"/>
      <c r="BF728" s="98"/>
      <c r="BG728" s="98"/>
      <c r="BH728" s="98"/>
      <c r="BI728" s="98"/>
      <c r="BJ728" s="98"/>
      <c r="BK728" s="98"/>
      <c r="BL728" s="98"/>
    </row>
    <row r="729" spans="1:64" s="101" customFormat="1" ht="78.75" customHeight="1" thickBot="1">
      <c r="A729" s="229" t="s">
        <v>580</v>
      </c>
      <c r="B729" s="54">
        <v>50</v>
      </c>
      <c r="C729" s="54" t="s">
        <v>47</v>
      </c>
      <c r="D729" s="54">
        <v>0</v>
      </c>
      <c r="E729" s="54" t="s">
        <v>45</v>
      </c>
      <c r="F729" s="54" t="s">
        <v>45</v>
      </c>
      <c r="G729" s="54" t="s">
        <v>395</v>
      </c>
      <c r="H729" s="54"/>
      <c r="I729" s="54" t="s">
        <v>45</v>
      </c>
      <c r="J729" s="54" t="s">
        <v>47</v>
      </c>
      <c r="K729" s="54" t="s">
        <v>49</v>
      </c>
      <c r="L729" s="54" t="s">
        <v>49</v>
      </c>
      <c r="M729" s="55" t="s">
        <v>50</v>
      </c>
      <c r="N729" s="55" t="s">
        <v>50</v>
      </c>
      <c r="O729" s="55" t="s">
        <v>50</v>
      </c>
      <c r="P729" s="55" t="s">
        <v>51</v>
      </c>
      <c r="Q729" s="94" t="s">
        <v>64</v>
      </c>
      <c r="R729" s="56">
        <v>33</v>
      </c>
      <c r="S729" s="57">
        <v>24.52</v>
      </c>
      <c r="T729" s="58">
        <v>1.04</v>
      </c>
      <c r="U729" s="56">
        <v>33</v>
      </c>
      <c r="V729" s="56">
        <v>25.9</v>
      </c>
      <c r="W729" s="57">
        <v>0.97</v>
      </c>
      <c r="X729" s="130">
        <f t="shared" si="123"/>
        <v>1.379999999999999</v>
      </c>
      <c r="Y729" s="16">
        <f t="shared" si="125"/>
        <v>0.17526603155826234</v>
      </c>
      <c r="Z729" s="286" t="s">
        <v>53</v>
      </c>
      <c r="AA729" s="286" t="s">
        <v>53</v>
      </c>
      <c r="AB729" s="16">
        <v>0.17526603155826234</v>
      </c>
      <c r="AC729" s="66" t="s">
        <v>49</v>
      </c>
      <c r="AD729" s="51" t="s">
        <v>581</v>
      </c>
      <c r="AE729" s="60">
        <v>12</v>
      </c>
      <c r="AF729" s="60">
        <v>0</v>
      </c>
      <c r="AG729" s="60">
        <v>0</v>
      </c>
      <c r="AH729" s="134">
        <v>0</v>
      </c>
      <c r="AI729" s="134">
        <v>0</v>
      </c>
      <c r="AJ729" s="135">
        <f t="shared" si="124"/>
        <v>0</v>
      </c>
      <c r="AK729" s="45">
        <f t="shared" si="122"/>
        <v>0</v>
      </c>
      <c r="AL729" s="136" t="str" cm="1">
        <f t="array" ref="AL729">_xlfn.IFS(
AI729&lt;3,"Ligera",
AI729&lt;=6,"Moderada",
AI729&gt;6,"Vigorosa"
)</f>
        <v>Ligera</v>
      </c>
      <c r="AM729" s="61" t="s">
        <v>49</v>
      </c>
      <c r="AN729" s="97" t="s">
        <v>49</v>
      </c>
      <c r="AO729" s="97" t="s">
        <v>49</v>
      </c>
      <c r="AP729" s="97" t="s">
        <v>49</v>
      </c>
      <c r="AQ729" s="230">
        <v>0</v>
      </c>
      <c r="AR729" s="98"/>
      <c r="AS729" s="102" t="s">
        <v>582</v>
      </c>
      <c r="AT729" s="98"/>
      <c r="AU729" s="98"/>
      <c r="AV729" s="98"/>
      <c r="AW729" s="98"/>
      <c r="AX729" s="98"/>
      <c r="AY729" s="98"/>
      <c r="AZ729" s="98"/>
      <c r="BA729" s="98"/>
      <c r="BB729" s="98"/>
      <c r="BC729" s="98"/>
      <c r="BD729" s="98"/>
      <c r="BE729" s="98"/>
      <c r="BF729" s="98"/>
      <c r="BG729" s="98"/>
      <c r="BH729" s="98"/>
      <c r="BI729" s="98"/>
      <c r="BJ729" s="98"/>
      <c r="BK729" s="98"/>
      <c r="BL729" s="98"/>
    </row>
    <row r="730" spans="1:64" s="101" customFormat="1" ht="78.75" customHeight="1" thickBot="1">
      <c r="A730" s="229" t="s">
        <v>580</v>
      </c>
      <c r="B730" s="54">
        <v>50</v>
      </c>
      <c r="C730" s="54" t="s">
        <v>47</v>
      </c>
      <c r="D730" s="54">
        <v>0</v>
      </c>
      <c r="E730" s="54" t="s">
        <v>45</v>
      </c>
      <c r="F730" s="54" t="s">
        <v>45</v>
      </c>
      <c r="G730" s="54" t="s">
        <v>395</v>
      </c>
      <c r="H730" s="54"/>
      <c r="I730" s="54" t="s">
        <v>45</v>
      </c>
      <c r="J730" s="54" t="s">
        <v>47</v>
      </c>
      <c r="K730" s="54" t="s">
        <v>49</v>
      </c>
      <c r="L730" s="54" t="s">
        <v>49</v>
      </c>
      <c r="M730" s="55" t="s">
        <v>56</v>
      </c>
      <c r="N730" s="11" t="s">
        <v>152</v>
      </c>
      <c r="O730" s="55" t="s">
        <v>153</v>
      </c>
      <c r="P730" s="55" t="s">
        <v>51</v>
      </c>
      <c r="Q730" s="94" t="s">
        <v>64</v>
      </c>
      <c r="R730" s="56">
        <v>17</v>
      </c>
      <c r="S730" s="57">
        <v>23.9</v>
      </c>
      <c r="T730" s="58">
        <v>1.31</v>
      </c>
      <c r="U730" s="56">
        <v>17</v>
      </c>
      <c r="V730" s="56">
        <v>29.97</v>
      </c>
      <c r="W730" s="57">
        <v>1.72</v>
      </c>
      <c r="X730" s="130">
        <f t="shared" si="123"/>
        <v>6.07</v>
      </c>
      <c r="Y730" s="16">
        <f t="shared" si="125"/>
        <v>0.37739821378049193</v>
      </c>
      <c r="Z730" s="15">
        <f t="shared" si="126"/>
        <v>4.6900000000000013</v>
      </c>
      <c r="AA730" s="16">
        <f t="shared" si="127"/>
        <v>1.6133999999999997</v>
      </c>
      <c r="AB730" s="16">
        <f t="shared" si="128"/>
        <v>0.37920547391071535</v>
      </c>
      <c r="AC730" s="66" t="s">
        <v>49</v>
      </c>
      <c r="AD730" s="51" t="s">
        <v>584</v>
      </c>
      <c r="AE730" s="60">
        <v>12</v>
      </c>
      <c r="AF730" s="13">
        <v>3</v>
      </c>
      <c r="AG730" s="13">
        <v>60</v>
      </c>
      <c r="AH730" s="134">
        <v>2240060</v>
      </c>
      <c r="AI730" s="134">
        <v>5.5</v>
      </c>
      <c r="AJ730" s="135">
        <f t="shared" si="124"/>
        <v>330</v>
      </c>
      <c r="AK730" s="45">
        <f t="shared" ref="AK730:AK781" si="129">AJ730*AF730</f>
        <v>990</v>
      </c>
      <c r="AL730" s="136" t="str" cm="1">
        <f t="array" ref="AL730">_xlfn.IFS(
AI730&lt;3,"Ligera",
AI730&lt;=6,"Moderada",
AI730&gt;6,"Vigorosa"
)</f>
        <v>Moderada</v>
      </c>
      <c r="AM730" s="45" t="s">
        <v>49</v>
      </c>
      <c r="AN730" s="289" t="s">
        <v>49</v>
      </c>
      <c r="AO730" s="46" t="s">
        <v>61</v>
      </c>
      <c r="AP730" s="289" t="s">
        <v>62</v>
      </c>
      <c r="AQ730" s="139">
        <v>0</v>
      </c>
      <c r="AR730" s="98"/>
      <c r="AS730" s="102" t="s">
        <v>582</v>
      </c>
      <c r="AT730" s="98"/>
      <c r="AU730" s="98"/>
      <c r="AV730" s="98"/>
      <c r="AW730" s="98"/>
      <c r="AX730" s="98"/>
      <c r="AY730" s="98"/>
      <c r="AZ730" s="98"/>
      <c r="BA730" s="98"/>
      <c r="BB730" s="98"/>
      <c r="BC730" s="98"/>
      <c r="BD730" s="98"/>
      <c r="BE730" s="98"/>
      <c r="BF730" s="98"/>
      <c r="BG730" s="98"/>
      <c r="BH730" s="98"/>
      <c r="BI730" s="98"/>
      <c r="BJ730" s="98"/>
      <c r="BK730" s="98"/>
      <c r="BL730" s="98"/>
    </row>
    <row r="731" spans="1:64" s="101" customFormat="1" ht="78.75" customHeight="1" thickBot="1">
      <c r="A731" s="229" t="s">
        <v>580</v>
      </c>
      <c r="B731" s="54">
        <v>50</v>
      </c>
      <c r="C731" s="54" t="s">
        <v>47</v>
      </c>
      <c r="D731" s="54">
        <v>0</v>
      </c>
      <c r="E731" s="54" t="s">
        <v>45</v>
      </c>
      <c r="F731" s="54" t="s">
        <v>45</v>
      </c>
      <c r="G731" s="54" t="s">
        <v>395</v>
      </c>
      <c r="H731" s="54"/>
      <c r="I731" s="54" t="s">
        <v>45</v>
      </c>
      <c r="J731" s="54" t="s">
        <v>47</v>
      </c>
      <c r="K731" s="54" t="s">
        <v>49</v>
      </c>
      <c r="L731" s="54" t="s">
        <v>49</v>
      </c>
      <c r="M731" s="55" t="s">
        <v>50</v>
      </c>
      <c r="N731" s="55" t="s">
        <v>50</v>
      </c>
      <c r="O731" s="55" t="s">
        <v>50</v>
      </c>
      <c r="P731" s="55" t="s">
        <v>51</v>
      </c>
      <c r="Q731" s="94" t="s">
        <v>376</v>
      </c>
      <c r="R731" s="56">
        <v>33</v>
      </c>
      <c r="S731" s="57">
        <v>15.24</v>
      </c>
      <c r="T731" s="58">
        <v>0.9</v>
      </c>
      <c r="U731" s="56">
        <v>33</v>
      </c>
      <c r="V731" s="56">
        <v>15.64</v>
      </c>
      <c r="W731" s="57">
        <v>0.95</v>
      </c>
      <c r="X731" s="130">
        <f t="shared" si="123"/>
        <v>0.40000000000000036</v>
      </c>
      <c r="Y731" s="16">
        <f t="shared" si="125"/>
        <v>0.16119816526514341</v>
      </c>
      <c r="Z731" s="286" t="s">
        <v>53</v>
      </c>
      <c r="AA731" s="286" t="s">
        <v>53</v>
      </c>
      <c r="AB731" s="16">
        <v>0.16119816526514341</v>
      </c>
      <c r="AC731" s="66" t="s">
        <v>49</v>
      </c>
      <c r="AD731" s="51" t="s">
        <v>581</v>
      </c>
      <c r="AE731" s="60">
        <v>12</v>
      </c>
      <c r="AF731" s="60">
        <v>0</v>
      </c>
      <c r="AG731" s="60">
        <v>0</v>
      </c>
      <c r="AH731" s="134">
        <v>0</v>
      </c>
      <c r="AI731" s="134">
        <v>0</v>
      </c>
      <c r="AJ731" s="135">
        <f t="shared" si="124"/>
        <v>0</v>
      </c>
      <c r="AK731" s="45">
        <f t="shared" si="129"/>
        <v>0</v>
      </c>
      <c r="AL731" s="136" t="str" cm="1">
        <f t="array" ref="AL731">_xlfn.IFS(
AI731&lt;3,"Ligera",
AI731&lt;=6,"Moderada",
AI731&gt;6,"Vigorosa"
)</f>
        <v>Ligera</v>
      </c>
      <c r="AM731" s="61" t="s">
        <v>49</v>
      </c>
      <c r="AN731" s="97" t="s">
        <v>49</v>
      </c>
      <c r="AO731" s="97" t="s">
        <v>49</v>
      </c>
      <c r="AP731" s="97" t="s">
        <v>49</v>
      </c>
      <c r="AQ731" s="230">
        <v>0</v>
      </c>
      <c r="AR731" s="98"/>
      <c r="AS731" s="102" t="s">
        <v>582</v>
      </c>
      <c r="AT731" s="98"/>
      <c r="AU731" s="98"/>
      <c r="AV731" s="98"/>
      <c r="AW731" s="98"/>
      <c r="AX731" s="98"/>
      <c r="AY731" s="98"/>
      <c r="AZ731" s="98"/>
      <c r="BA731" s="98"/>
      <c r="BB731" s="98"/>
      <c r="BC731" s="98"/>
      <c r="BD731" s="98"/>
      <c r="BE731" s="98"/>
      <c r="BF731" s="98"/>
      <c r="BG731" s="98"/>
      <c r="BH731" s="98"/>
      <c r="BI731" s="98"/>
      <c r="BJ731" s="98"/>
      <c r="BK731" s="98"/>
      <c r="BL731" s="98"/>
    </row>
    <row r="732" spans="1:64" s="101" customFormat="1" ht="78.75" customHeight="1" thickBot="1">
      <c r="A732" s="229" t="s">
        <v>580</v>
      </c>
      <c r="B732" s="54">
        <v>50</v>
      </c>
      <c r="C732" s="54" t="s">
        <v>47</v>
      </c>
      <c r="D732" s="54">
        <v>0</v>
      </c>
      <c r="E732" s="54" t="s">
        <v>45</v>
      </c>
      <c r="F732" s="54" t="s">
        <v>45</v>
      </c>
      <c r="G732" s="54" t="s">
        <v>395</v>
      </c>
      <c r="H732" s="54"/>
      <c r="I732" s="54" t="s">
        <v>45</v>
      </c>
      <c r="J732" s="54" t="s">
        <v>47</v>
      </c>
      <c r="K732" s="54" t="s">
        <v>49</v>
      </c>
      <c r="L732" s="54" t="s">
        <v>49</v>
      </c>
      <c r="M732" s="55" t="s">
        <v>56</v>
      </c>
      <c r="N732" s="11" t="s">
        <v>152</v>
      </c>
      <c r="O732" s="55" t="s">
        <v>153</v>
      </c>
      <c r="P732" s="55" t="s">
        <v>51</v>
      </c>
      <c r="Q732" s="94" t="s">
        <v>376</v>
      </c>
      <c r="R732" s="56">
        <v>17</v>
      </c>
      <c r="S732" s="57">
        <v>16.14</v>
      </c>
      <c r="T732" s="58">
        <v>0.5</v>
      </c>
      <c r="U732" s="56">
        <v>17</v>
      </c>
      <c r="V732" s="56">
        <v>19.91</v>
      </c>
      <c r="W732" s="57">
        <v>0.66</v>
      </c>
      <c r="X732" s="130">
        <f t="shared" si="123"/>
        <v>3.7699999999999996</v>
      </c>
      <c r="Y732" s="16">
        <f t="shared" si="125"/>
        <v>0.14462934369906932</v>
      </c>
      <c r="Z732" s="15">
        <f t="shared" si="126"/>
        <v>3.3699999999999992</v>
      </c>
      <c r="AA732" s="16">
        <f t="shared" si="127"/>
        <v>0.74686666666666668</v>
      </c>
      <c r="AB732" s="16">
        <f t="shared" si="128"/>
        <v>0.25800321037858531</v>
      </c>
      <c r="AC732" s="66" t="s">
        <v>49</v>
      </c>
      <c r="AD732" s="51" t="s">
        <v>584</v>
      </c>
      <c r="AE732" s="60">
        <v>12</v>
      </c>
      <c r="AF732" s="13">
        <v>3</v>
      </c>
      <c r="AG732" s="13">
        <v>60</v>
      </c>
      <c r="AH732" s="134">
        <v>2240060</v>
      </c>
      <c r="AI732" s="134">
        <v>5.5</v>
      </c>
      <c r="AJ732" s="135">
        <f t="shared" si="124"/>
        <v>330</v>
      </c>
      <c r="AK732" s="45">
        <f t="shared" si="129"/>
        <v>990</v>
      </c>
      <c r="AL732" s="136" t="str" cm="1">
        <f t="array" ref="AL732">_xlfn.IFS(
AI732&lt;3,"Ligera",
AI732&lt;=6,"Moderada",
AI732&gt;6,"Vigorosa"
)</f>
        <v>Moderada</v>
      </c>
      <c r="AM732" s="45" t="s">
        <v>49</v>
      </c>
      <c r="AN732" s="289" t="s">
        <v>49</v>
      </c>
      <c r="AO732" s="46" t="s">
        <v>61</v>
      </c>
      <c r="AP732" s="289" t="s">
        <v>62</v>
      </c>
      <c r="AQ732" s="139">
        <v>0</v>
      </c>
      <c r="AR732" s="98"/>
      <c r="AS732" s="102" t="s">
        <v>582</v>
      </c>
      <c r="AT732" s="98"/>
      <c r="AU732" s="98"/>
      <c r="AV732" s="98"/>
      <c r="AW732" s="98"/>
      <c r="AX732" s="98"/>
      <c r="AY732" s="98"/>
      <c r="AZ732" s="98"/>
      <c r="BA732" s="98"/>
      <c r="BB732" s="98"/>
      <c r="BC732" s="98"/>
      <c r="BD732" s="98"/>
      <c r="BE732" s="98"/>
      <c r="BF732" s="98"/>
      <c r="BG732" s="98"/>
      <c r="BH732" s="98"/>
      <c r="BI732" s="98"/>
      <c r="BJ732" s="98"/>
      <c r="BK732" s="98"/>
      <c r="BL732" s="98"/>
    </row>
    <row r="733" spans="1:64" s="101" customFormat="1" ht="78.75" customHeight="1" thickBot="1">
      <c r="A733" s="229" t="s">
        <v>580</v>
      </c>
      <c r="B733" s="54">
        <v>50</v>
      </c>
      <c r="C733" s="54" t="s">
        <v>47</v>
      </c>
      <c r="D733" s="54">
        <v>0</v>
      </c>
      <c r="E733" s="54" t="s">
        <v>45</v>
      </c>
      <c r="F733" s="54" t="s">
        <v>45</v>
      </c>
      <c r="G733" s="54" t="s">
        <v>395</v>
      </c>
      <c r="H733" s="54"/>
      <c r="I733" s="54" t="s">
        <v>45</v>
      </c>
      <c r="J733" s="54" t="s">
        <v>47</v>
      </c>
      <c r="K733" s="54" t="s">
        <v>49</v>
      </c>
      <c r="L733" s="54" t="s">
        <v>49</v>
      </c>
      <c r="M733" s="55" t="s">
        <v>50</v>
      </c>
      <c r="N733" s="55" t="s">
        <v>50</v>
      </c>
      <c r="O733" s="55" t="s">
        <v>50</v>
      </c>
      <c r="P733" s="55" t="s">
        <v>51</v>
      </c>
      <c r="Q733" s="94" t="s">
        <v>52</v>
      </c>
      <c r="R733" s="56">
        <v>33</v>
      </c>
      <c r="S733" s="57">
        <v>15.9</v>
      </c>
      <c r="T733" s="58">
        <v>0.68</v>
      </c>
      <c r="U733" s="56">
        <v>33</v>
      </c>
      <c r="V733" s="56">
        <v>16.22</v>
      </c>
      <c r="W733" s="57">
        <v>0.8</v>
      </c>
      <c r="X733" s="130">
        <f t="shared" si="123"/>
        <v>0.31999999999999851</v>
      </c>
      <c r="Y733" s="16">
        <f t="shared" si="125"/>
        <v>0.13008155949715597</v>
      </c>
      <c r="Z733" s="286" t="s">
        <v>53</v>
      </c>
      <c r="AA733" s="286" t="s">
        <v>53</v>
      </c>
      <c r="AB733" s="16">
        <v>0.13008155949715597</v>
      </c>
      <c r="AC733" s="66" t="s">
        <v>48</v>
      </c>
      <c r="AD733" s="51" t="s">
        <v>581</v>
      </c>
      <c r="AE733" s="60">
        <v>12</v>
      </c>
      <c r="AF733" s="60">
        <v>0</v>
      </c>
      <c r="AG733" s="60">
        <v>0</v>
      </c>
      <c r="AH733" s="134">
        <v>0</v>
      </c>
      <c r="AI733" s="134">
        <v>0</v>
      </c>
      <c r="AJ733" s="135">
        <f t="shared" si="124"/>
        <v>0</v>
      </c>
      <c r="AK733" s="45">
        <f t="shared" si="129"/>
        <v>0</v>
      </c>
      <c r="AL733" s="136" t="str" cm="1">
        <f t="array" ref="AL733">_xlfn.IFS(
AI733&lt;3,"Ligera",
AI733&lt;=6,"Moderada",
AI733&gt;6,"Vigorosa"
)</f>
        <v>Ligera</v>
      </c>
      <c r="AM733" s="61" t="s">
        <v>49</v>
      </c>
      <c r="AN733" s="97" t="s">
        <v>49</v>
      </c>
      <c r="AO733" s="97" t="s">
        <v>49</v>
      </c>
      <c r="AP733" s="97" t="s">
        <v>49</v>
      </c>
      <c r="AQ733" s="230">
        <v>0</v>
      </c>
      <c r="AR733" s="98"/>
      <c r="AS733" s="102" t="s">
        <v>582</v>
      </c>
      <c r="AT733" s="98"/>
      <c r="AU733" s="98"/>
      <c r="AV733" s="98"/>
      <c r="AW733" s="98"/>
      <c r="AX733" s="98"/>
      <c r="AY733" s="98"/>
      <c r="AZ733" s="98"/>
      <c r="BA733" s="98"/>
      <c r="BB733" s="98"/>
      <c r="BC733" s="98"/>
      <c r="BD733" s="98"/>
      <c r="BE733" s="98"/>
      <c r="BF733" s="98"/>
      <c r="BG733" s="98"/>
      <c r="BH733" s="98"/>
      <c r="BI733" s="98"/>
      <c r="BJ733" s="98"/>
      <c r="BK733" s="98"/>
      <c r="BL733" s="98"/>
    </row>
    <row r="734" spans="1:64" s="101" customFormat="1" ht="78.75" customHeight="1" thickBot="1">
      <c r="A734" s="229" t="s">
        <v>580</v>
      </c>
      <c r="B734" s="54">
        <v>50</v>
      </c>
      <c r="C734" s="54" t="s">
        <v>47</v>
      </c>
      <c r="D734" s="54">
        <v>0</v>
      </c>
      <c r="E734" s="54" t="s">
        <v>45</v>
      </c>
      <c r="F734" s="54" t="s">
        <v>45</v>
      </c>
      <c r="G734" s="54" t="s">
        <v>395</v>
      </c>
      <c r="H734" s="54"/>
      <c r="I734" s="54" t="s">
        <v>45</v>
      </c>
      <c r="J734" s="54" t="s">
        <v>47</v>
      </c>
      <c r="K734" s="54" t="s">
        <v>49</v>
      </c>
      <c r="L734" s="54" t="s">
        <v>49</v>
      </c>
      <c r="M734" s="55" t="s">
        <v>56</v>
      </c>
      <c r="N734" s="11" t="s">
        <v>152</v>
      </c>
      <c r="O734" s="55" t="s">
        <v>153</v>
      </c>
      <c r="P734" s="55" t="s">
        <v>51</v>
      </c>
      <c r="Q734" s="94" t="s">
        <v>52</v>
      </c>
      <c r="R734" s="56">
        <v>17</v>
      </c>
      <c r="S734" s="57">
        <v>16.5</v>
      </c>
      <c r="T734" s="58">
        <v>0.48</v>
      </c>
      <c r="U734" s="56">
        <v>17</v>
      </c>
      <c r="V734" s="56">
        <v>9.7899999999999991</v>
      </c>
      <c r="W734" s="57">
        <v>0.37</v>
      </c>
      <c r="X734" s="130">
        <f t="shared" si="123"/>
        <v>-6.7100000000000009</v>
      </c>
      <c r="Y734" s="16">
        <f t="shared" si="125"/>
        <v>0.10563533276992014</v>
      </c>
      <c r="Z734" s="15">
        <f t="shared" si="126"/>
        <v>-7.0299999999999994</v>
      </c>
      <c r="AA734" s="16">
        <f t="shared" si="127"/>
        <v>0.47230000000000011</v>
      </c>
      <c r="AB734" s="16">
        <f t="shared" si="128"/>
        <v>0.20516937918046566</v>
      </c>
      <c r="AC734" s="66" t="s">
        <v>48</v>
      </c>
      <c r="AD734" s="51" t="s">
        <v>584</v>
      </c>
      <c r="AE734" s="60">
        <v>12</v>
      </c>
      <c r="AF734" s="13">
        <v>3</v>
      </c>
      <c r="AG734" s="13">
        <v>60</v>
      </c>
      <c r="AH734" s="134">
        <v>2240060</v>
      </c>
      <c r="AI734" s="134">
        <v>5.5</v>
      </c>
      <c r="AJ734" s="135">
        <f t="shared" si="124"/>
        <v>330</v>
      </c>
      <c r="AK734" s="45">
        <f t="shared" si="129"/>
        <v>990</v>
      </c>
      <c r="AL734" s="136" t="str" cm="1">
        <f t="array" ref="AL734">_xlfn.IFS(
AI734&lt;3,"Ligera",
AI734&lt;=6,"Moderada",
AI734&gt;6,"Vigorosa"
)</f>
        <v>Moderada</v>
      </c>
      <c r="AM734" s="45" t="s">
        <v>49</v>
      </c>
      <c r="AN734" s="289" t="s">
        <v>49</v>
      </c>
      <c r="AO734" s="46" t="s">
        <v>61</v>
      </c>
      <c r="AP734" s="289" t="s">
        <v>62</v>
      </c>
      <c r="AQ734" s="139">
        <v>0</v>
      </c>
      <c r="AR734" s="98"/>
      <c r="AS734" s="102" t="s">
        <v>582</v>
      </c>
      <c r="AT734" s="98"/>
      <c r="AU734" s="98"/>
      <c r="AV734" s="98"/>
      <c r="AW734" s="98"/>
      <c r="AX734" s="98"/>
      <c r="AY734" s="98"/>
      <c r="AZ734" s="98"/>
      <c r="BA734" s="98"/>
      <c r="BB734" s="98"/>
      <c r="BC734" s="98"/>
      <c r="BD734" s="98"/>
      <c r="BE734" s="98"/>
      <c r="BF734" s="98"/>
      <c r="BG734" s="98"/>
      <c r="BH734" s="98"/>
      <c r="BI734" s="98"/>
      <c r="BJ734" s="98"/>
      <c r="BK734" s="98"/>
      <c r="BL734" s="98"/>
    </row>
    <row r="735" spans="1:64" s="101" customFormat="1" ht="78.75" customHeight="1" thickBot="1">
      <c r="A735" s="229" t="s">
        <v>580</v>
      </c>
      <c r="B735" s="54">
        <v>50</v>
      </c>
      <c r="C735" s="54" t="s">
        <v>47</v>
      </c>
      <c r="D735" s="54">
        <v>0</v>
      </c>
      <c r="E735" s="54" t="s">
        <v>45</v>
      </c>
      <c r="F735" s="54" t="s">
        <v>45</v>
      </c>
      <c r="G735" s="54" t="s">
        <v>395</v>
      </c>
      <c r="H735" s="54"/>
      <c r="I735" s="54" t="s">
        <v>45</v>
      </c>
      <c r="J735" s="54" t="s">
        <v>47</v>
      </c>
      <c r="K735" s="54" t="s">
        <v>49</v>
      </c>
      <c r="L735" s="54" t="s">
        <v>49</v>
      </c>
      <c r="M735" s="55" t="s">
        <v>50</v>
      </c>
      <c r="N735" s="55" t="s">
        <v>50</v>
      </c>
      <c r="O735" s="55" t="s">
        <v>50</v>
      </c>
      <c r="P735" s="55" t="s">
        <v>51</v>
      </c>
      <c r="Q735" s="94" t="s">
        <v>495</v>
      </c>
      <c r="R735" s="56">
        <v>33</v>
      </c>
      <c r="S735" s="57">
        <v>14.95</v>
      </c>
      <c r="T735" s="58">
        <v>0.68</v>
      </c>
      <c r="U735" s="56">
        <v>33</v>
      </c>
      <c r="V735" s="56">
        <v>15.68</v>
      </c>
      <c r="W735" s="57">
        <v>0.49</v>
      </c>
      <c r="X735" s="130">
        <f t="shared" si="123"/>
        <v>0.73000000000000043</v>
      </c>
      <c r="Y735" s="16">
        <f t="shared" si="125"/>
        <v>0.10578709321514178</v>
      </c>
      <c r="Z735" s="286" t="s">
        <v>53</v>
      </c>
      <c r="AA735" s="286" t="s">
        <v>53</v>
      </c>
      <c r="AB735" s="16">
        <v>0.10578709321514178</v>
      </c>
      <c r="AC735" s="66" t="s">
        <v>49</v>
      </c>
      <c r="AD735" s="51" t="s">
        <v>581</v>
      </c>
      <c r="AE735" s="60">
        <v>12</v>
      </c>
      <c r="AF735" s="60">
        <v>0</v>
      </c>
      <c r="AG735" s="60">
        <v>0</v>
      </c>
      <c r="AH735" s="134">
        <v>0</v>
      </c>
      <c r="AI735" s="134">
        <v>0</v>
      </c>
      <c r="AJ735" s="135">
        <f t="shared" si="124"/>
        <v>0</v>
      </c>
      <c r="AK735" s="45">
        <f t="shared" si="129"/>
        <v>0</v>
      </c>
      <c r="AL735" s="136" t="str" cm="1">
        <f t="array" ref="AL735">_xlfn.IFS(
AI735&lt;3,"Ligera",
AI735&lt;=6,"Moderada",
AI735&gt;6,"Vigorosa"
)</f>
        <v>Ligera</v>
      </c>
      <c r="AM735" s="61" t="s">
        <v>49</v>
      </c>
      <c r="AN735" s="97" t="s">
        <v>49</v>
      </c>
      <c r="AO735" s="97" t="s">
        <v>49</v>
      </c>
      <c r="AP735" s="97" t="s">
        <v>49</v>
      </c>
      <c r="AQ735" s="230">
        <v>0</v>
      </c>
      <c r="AR735" s="98"/>
      <c r="AS735" s="102" t="s">
        <v>582</v>
      </c>
      <c r="AT735" s="98"/>
      <c r="AU735" s="98"/>
      <c r="AV735" s="98"/>
      <c r="AW735" s="98"/>
      <c r="AX735" s="98"/>
      <c r="AY735" s="98"/>
      <c r="AZ735" s="98"/>
      <c r="BA735" s="98"/>
      <c r="BB735" s="98"/>
      <c r="BC735" s="98"/>
      <c r="BD735" s="98"/>
      <c r="BE735" s="98"/>
      <c r="BF735" s="98"/>
      <c r="BG735" s="98"/>
      <c r="BH735" s="98"/>
      <c r="BI735" s="98"/>
      <c r="BJ735" s="98"/>
      <c r="BK735" s="98"/>
      <c r="BL735" s="98"/>
    </row>
    <row r="736" spans="1:64" s="101" customFormat="1" ht="78.75" customHeight="1" thickBot="1">
      <c r="A736" s="229" t="s">
        <v>580</v>
      </c>
      <c r="B736" s="54">
        <v>50</v>
      </c>
      <c r="C736" s="54" t="s">
        <v>47</v>
      </c>
      <c r="D736" s="54">
        <v>0</v>
      </c>
      <c r="E736" s="54" t="s">
        <v>45</v>
      </c>
      <c r="F736" s="54" t="s">
        <v>45</v>
      </c>
      <c r="G736" s="54" t="s">
        <v>395</v>
      </c>
      <c r="H736" s="54"/>
      <c r="I736" s="54" t="s">
        <v>45</v>
      </c>
      <c r="J736" s="54" t="s">
        <v>47</v>
      </c>
      <c r="K736" s="54" t="s">
        <v>49</v>
      </c>
      <c r="L736" s="54" t="s">
        <v>49</v>
      </c>
      <c r="M736" s="55" t="s">
        <v>56</v>
      </c>
      <c r="N736" s="11" t="s">
        <v>152</v>
      </c>
      <c r="O736" s="55" t="s">
        <v>153</v>
      </c>
      <c r="P736" s="55" t="s">
        <v>51</v>
      </c>
      <c r="Q736" s="94" t="s">
        <v>495</v>
      </c>
      <c r="R736" s="56">
        <v>17</v>
      </c>
      <c r="S736" s="57">
        <v>16.420000000000002</v>
      </c>
      <c r="T736" s="58">
        <v>0.68</v>
      </c>
      <c r="U736" s="56">
        <v>17</v>
      </c>
      <c r="V736" s="56">
        <v>21.76</v>
      </c>
      <c r="W736" s="57">
        <v>0.78</v>
      </c>
      <c r="X736" s="130">
        <f t="shared" si="123"/>
        <v>5.34</v>
      </c>
      <c r="Y736" s="16">
        <f t="shared" si="125"/>
        <v>0.17829255535248142</v>
      </c>
      <c r="Z736" s="15">
        <f t="shared" si="126"/>
        <v>4.6099999999999994</v>
      </c>
      <c r="AA736" s="16">
        <f t="shared" si="127"/>
        <v>0.36286666666666667</v>
      </c>
      <c r="AB736" s="16">
        <f t="shared" si="128"/>
        <v>0.17983619667679607</v>
      </c>
      <c r="AC736" s="66" t="s">
        <v>49</v>
      </c>
      <c r="AD736" s="51" t="s">
        <v>584</v>
      </c>
      <c r="AE736" s="60">
        <v>12</v>
      </c>
      <c r="AF736" s="13">
        <v>3</v>
      </c>
      <c r="AG736" s="13">
        <v>60</v>
      </c>
      <c r="AH736" s="134">
        <v>2240060</v>
      </c>
      <c r="AI736" s="134">
        <v>5.5</v>
      </c>
      <c r="AJ736" s="135">
        <f t="shared" si="124"/>
        <v>330</v>
      </c>
      <c r="AK736" s="45">
        <f t="shared" si="129"/>
        <v>990</v>
      </c>
      <c r="AL736" s="136" t="str" cm="1">
        <f t="array" ref="AL736">_xlfn.IFS(
AI736&lt;3,"Ligera",
AI736&lt;=6,"Moderada",
AI736&gt;6,"Vigorosa"
)</f>
        <v>Moderada</v>
      </c>
      <c r="AM736" s="45" t="s">
        <v>49</v>
      </c>
      <c r="AN736" s="289" t="s">
        <v>49</v>
      </c>
      <c r="AO736" s="46" t="s">
        <v>61</v>
      </c>
      <c r="AP736" s="289" t="s">
        <v>62</v>
      </c>
      <c r="AQ736" s="139">
        <v>0</v>
      </c>
      <c r="AR736" s="98"/>
      <c r="AS736" s="102" t="s">
        <v>582</v>
      </c>
      <c r="AT736" s="98"/>
      <c r="AU736" s="98"/>
      <c r="AV736" s="98"/>
      <c r="AW736" s="98"/>
      <c r="AX736" s="98"/>
      <c r="AY736" s="98"/>
      <c r="AZ736" s="98"/>
      <c r="BA736" s="98"/>
      <c r="BB736" s="98"/>
      <c r="BC736" s="98"/>
      <c r="BD736" s="98"/>
      <c r="BE736" s="98"/>
      <c r="BF736" s="98"/>
      <c r="BG736" s="98"/>
      <c r="BH736" s="98"/>
      <c r="BI736" s="98"/>
      <c r="BJ736" s="98"/>
      <c r="BK736" s="98"/>
      <c r="BL736" s="98"/>
    </row>
    <row r="737" spans="1:64" s="101" customFormat="1" ht="78.75" customHeight="1" thickBot="1">
      <c r="A737" s="217" t="s">
        <v>585</v>
      </c>
      <c r="B737" s="218">
        <v>40</v>
      </c>
      <c r="C737" s="218">
        <v>92</v>
      </c>
      <c r="D737" s="218">
        <v>20</v>
      </c>
      <c r="E737" s="218" t="s">
        <v>45</v>
      </c>
      <c r="F737" s="218" t="s">
        <v>45</v>
      </c>
      <c r="G737" s="218" t="s">
        <v>46</v>
      </c>
      <c r="H737" s="218"/>
      <c r="I737" s="218" t="s">
        <v>45</v>
      </c>
      <c r="J737" s="218">
        <v>1.2</v>
      </c>
      <c r="K737" s="218" t="s">
        <v>49</v>
      </c>
      <c r="L737" s="218" t="s">
        <v>48</v>
      </c>
      <c r="M737" s="219" t="s">
        <v>50</v>
      </c>
      <c r="N737" s="219" t="s">
        <v>50</v>
      </c>
      <c r="O737" s="219" t="s">
        <v>50</v>
      </c>
      <c r="P737" s="219" t="s">
        <v>94</v>
      </c>
      <c r="Q737" s="220" t="s">
        <v>119</v>
      </c>
      <c r="R737" s="221">
        <v>20</v>
      </c>
      <c r="S737" s="222">
        <v>16.399999999999999</v>
      </c>
      <c r="T737" s="223">
        <v>6.5</v>
      </c>
      <c r="U737" s="222">
        <v>20</v>
      </c>
      <c r="V737" s="221" t="s">
        <v>47</v>
      </c>
      <c r="W737" s="222" t="s">
        <v>47</v>
      </c>
      <c r="X737" s="130"/>
      <c r="Y737" s="16"/>
      <c r="Z737" s="286"/>
      <c r="AA737" s="286"/>
      <c r="AB737" s="16"/>
      <c r="AC737" s="66" t="s">
        <v>49</v>
      </c>
      <c r="AD737" s="224" t="s">
        <v>586</v>
      </c>
      <c r="AE737" s="225">
        <v>8</v>
      </c>
      <c r="AF737" s="225">
        <v>0</v>
      </c>
      <c r="AG737" s="225">
        <v>0</v>
      </c>
      <c r="AH737" s="134">
        <v>0</v>
      </c>
      <c r="AI737" s="134">
        <v>0</v>
      </c>
      <c r="AJ737" s="135">
        <f t="shared" si="124"/>
        <v>0</v>
      </c>
      <c r="AK737" s="45">
        <f t="shared" si="129"/>
        <v>0</v>
      </c>
      <c r="AL737" s="136" t="str" cm="1">
        <f t="array" ref="AL737">_xlfn.IFS(
AI737&lt;3,"Ligera",
AI737&lt;=6,"Moderada",
AI737&gt;6,"Vigorosa"
)</f>
        <v>Ligera</v>
      </c>
      <c r="AM737" s="226" t="s">
        <v>49</v>
      </c>
      <c r="AN737" s="227" t="s">
        <v>49</v>
      </c>
      <c r="AO737" s="227" t="s">
        <v>49</v>
      </c>
      <c r="AP737" s="227" t="s">
        <v>49</v>
      </c>
      <c r="AQ737" s="228">
        <v>0</v>
      </c>
      <c r="AR737" s="98"/>
      <c r="AS737" s="98"/>
      <c r="AT737" s="98"/>
      <c r="AU737" s="98"/>
      <c r="AV737" s="98"/>
      <c r="AW737" s="98"/>
      <c r="AX737" s="98"/>
      <c r="AY737" s="98"/>
      <c r="AZ737" s="98"/>
      <c r="BA737" s="98"/>
      <c r="BB737" s="98"/>
      <c r="BC737" s="98"/>
      <c r="BD737" s="98"/>
      <c r="BE737" s="98"/>
      <c r="BF737" s="98"/>
      <c r="BG737" s="98"/>
      <c r="BH737" s="98"/>
      <c r="BI737" s="98"/>
      <c r="BJ737" s="98"/>
      <c r="BK737" s="98"/>
      <c r="BL737" s="98"/>
    </row>
    <row r="738" spans="1:64" s="101" customFormat="1" ht="78.75" customHeight="1" thickBot="1">
      <c r="A738" s="229" t="s">
        <v>585</v>
      </c>
      <c r="B738" s="54">
        <v>40</v>
      </c>
      <c r="C738" s="54">
        <v>92</v>
      </c>
      <c r="D738" s="54">
        <v>20</v>
      </c>
      <c r="E738" s="54" t="s">
        <v>45</v>
      </c>
      <c r="F738" s="54" t="s">
        <v>45</v>
      </c>
      <c r="G738" s="54" t="s">
        <v>46</v>
      </c>
      <c r="H738" s="54"/>
      <c r="I738" s="54" t="s">
        <v>45</v>
      </c>
      <c r="J738" s="54">
        <v>1.6</v>
      </c>
      <c r="K738" s="54" t="s">
        <v>49</v>
      </c>
      <c r="L738" s="54" t="s">
        <v>48</v>
      </c>
      <c r="M738" s="55" t="s">
        <v>56</v>
      </c>
      <c r="N738" s="55" t="s">
        <v>76</v>
      </c>
      <c r="O738" s="55" t="s">
        <v>100</v>
      </c>
      <c r="P738" s="55" t="s">
        <v>94</v>
      </c>
      <c r="Q738" s="94" t="s">
        <v>119</v>
      </c>
      <c r="R738" s="56">
        <v>20</v>
      </c>
      <c r="S738" s="57">
        <v>18.5</v>
      </c>
      <c r="T738" s="58">
        <v>6.2</v>
      </c>
      <c r="U738" s="57">
        <v>20</v>
      </c>
      <c r="V738" s="56" t="s">
        <v>47</v>
      </c>
      <c r="W738" s="57" t="s">
        <v>47</v>
      </c>
      <c r="X738" s="130"/>
      <c r="Y738" s="16"/>
      <c r="Z738" s="15"/>
      <c r="AA738" s="16"/>
      <c r="AB738" s="16"/>
      <c r="AC738" s="66" t="s">
        <v>49</v>
      </c>
      <c r="AD738" s="96" t="s">
        <v>587</v>
      </c>
      <c r="AE738" s="60">
        <v>8</v>
      </c>
      <c r="AF738" s="60">
        <v>3</v>
      </c>
      <c r="AG738" s="60">
        <v>52.5</v>
      </c>
      <c r="AH738" s="134" t="s">
        <v>588</v>
      </c>
      <c r="AI738" s="134">
        <v>3.5</v>
      </c>
      <c r="AJ738" s="135">
        <v>244.5</v>
      </c>
      <c r="AK738" s="45">
        <f t="shared" si="129"/>
        <v>733.5</v>
      </c>
      <c r="AL738" s="136" t="str" cm="1">
        <f t="array" ref="AL738">_xlfn.IFS(
AI738&lt;3,"Ligera",
AI738&lt;=6,"Moderada",
AI738&gt;6,"Vigorosa"
)</f>
        <v>Moderada</v>
      </c>
      <c r="AM738" s="61" t="s">
        <v>48</v>
      </c>
      <c r="AN738" s="61" t="s">
        <v>60</v>
      </c>
      <c r="AO738" s="61" t="s">
        <v>61</v>
      </c>
      <c r="AP738" s="97" t="s">
        <v>173</v>
      </c>
      <c r="AQ738" s="230">
        <v>0</v>
      </c>
      <c r="AR738" s="98"/>
      <c r="AS738" s="98"/>
      <c r="AT738" s="98"/>
      <c r="AU738" s="98"/>
      <c r="AV738" s="98"/>
      <c r="AW738" s="98"/>
      <c r="AX738" s="98"/>
      <c r="AY738" s="98"/>
      <c r="AZ738" s="98"/>
      <c r="BA738" s="98"/>
      <c r="BB738" s="98"/>
      <c r="BC738" s="98"/>
      <c r="BD738" s="98"/>
      <c r="BE738" s="98"/>
      <c r="BF738" s="98"/>
      <c r="BG738" s="98"/>
      <c r="BH738" s="98"/>
      <c r="BI738" s="98"/>
      <c r="BJ738" s="98"/>
      <c r="BK738" s="98"/>
      <c r="BL738" s="98"/>
    </row>
    <row r="739" spans="1:64" s="101" customFormat="1" ht="78.75" customHeight="1" thickBot="1">
      <c r="A739" s="229" t="s">
        <v>585</v>
      </c>
      <c r="B739" s="54">
        <v>40</v>
      </c>
      <c r="C739" s="54">
        <v>92</v>
      </c>
      <c r="D739" s="54">
        <v>20</v>
      </c>
      <c r="E739" s="54" t="s">
        <v>45</v>
      </c>
      <c r="F739" s="54" t="s">
        <v>45</v>
      </c>
      <c r="G739" s="54" t="s">
        <v>46</v>
      </c>
      <c r="H739" s="54"/>
      <c r="I739" s="54" t="s">
        <v>45</v>
      </c>
      <c r="J739" s="54">
        <v>1.2</v>
      </c>
      <c r="K739" s="54" t="s">
        <v>49</v>
      </c>
      <c r="L739" s="54" t="s">
        <v>48</v>
      </c>
      <c r="M739" s="55" t="s">
        <v>50</v>
      </c>
      <c r="N739" s="55" t="s">
        <v>50</v>
      </c>
      <c r="O739" s="55" t="s">
        <v>50</v>
      </c>
      <c r="P739" s="55" t="s">
        <v>51</v>
      </c>
      <c r="Q739" s="94" t="s">
        <v>115</v>
      </c>
      <c r="R739" s="56">
        <v>20</v>
      </c>
      <c r="S739" s="57">
        <v>58.79</v>
      </c>
      <c r="T739" s="102">
        <v>26.61</v>
      </c>
      <c r="U739" s="57">
        <v>19</v>
      </c>
      <c r="V739" s="56">
        <v>54.74</v>
      </c>
      <c r="W739" s="100">
        <v>23.54</v>
      </c>
      <c r="X739" s="130">
        <f t="shared" si="123"/>
        <v>-4.0499999999999972</v>
      </c>
      <c r="Y739" s="16">
        <f t="shared" si="125"/>
        <v>5.7848454466913166</v>
      </c>
      <c r="Z739" s="286" t="s">
        <v>53</v>
      </c>
      <c r="AA739" s="286" t="s">
        <v>53</v>
      </c>
      <c r="AB739" s="16">
        <v>5.7848454466913166</v>
      </c>
      <c r="AC739" s="66" t="s">
        <v>49</v>
      </c>
      <c r="AD739" s="96" t="s">
        <v>586</v>
      </c>
      <c r="AE739" s="60">
        <v>8</v>
      </c>
      <c r="AF739" s="60">
        <v>0</v>
      </c>
      <c r="AG739" s="60">
        <v>0</v>
      </c>
      <c r="AH739" s="134">
        <v>0</v>
      </c>
      <c r="AI739" s="134">
        <v>0</v>
      </c>
      <c r="AJ739" s="135">
        <f t="shared" si="124"/>
        <v>0</v>
      </c>
      <c r="AK739" s="45">
        <f t="shared" si="129"/>
        <v>0</v>
      </c>
      <c r="AL739" s="136" t="str" cm="1">
        <f t="array" ref="AL739">_xlfn.IFS(
AI739&lt;3,"Ligera",
AI739&lt;=6,"Moderada",
AI739&gt;6,"Vigorosa"
)</f>
        <v>Ligera</v>
      </c>
      <c r="AM739" s="61" t="s">
        <v>49</v>
      </c>
      <c r="AN739" s="97" t="s">
        <v>49</v>
      </c>
      <c r="AO739" s="97" t="s">
        <v>49</v>
      </c>
      <c r="AP739" s="97" t="s">
        <v>49</v>
      </c>
      <c r="AQ739" s="230">
        <v>0</v>
      </c>
      <c r="AR739" s="98"/>
      <c r="AS739" s="102" t="s">
        <v>589</v>
      </c>
      <c r="AT739" s="98"/>
      <c r="AU739" s="98"/>
      <c r="AV739" s="98"/>
      <c r="AW739" s="98"/>
      <c r="AX739" s="98"/>
      <c r="AY739" s="98"/>
      <c r="AZ739" s="98"/>
      <c r="BA739" s="98"/>
      <c r="BB739" s="98"/>
      <c r="BC739" s="98"/>
      <c r="BD739" s="98"/>
      <c r="BE739" s="98"/>
      <c r="BF739" s="98"/>
      <c r="BG739" s="98"/>
      <c r="BH739" s="98"/>
      <c r="BI739" s="98"/>
      <c r="BJ739" s="98"/>
      <c r="BK739" s="98"/>
      <c r="BL739" s="98"/>
    </row>
    <row r="740" spans="1:64" s="101" customFormat="1" ht="78.75" customHeight="1" thickBot="1">
      <c r="A740" s="229" t="s">
        <v>585</v>
      </c>
      <c r="B740" s="54">
        <v>40</v>
      </c>
      <c r="C740" s="54">
        <v>92</v>
      </c>
      <c r="D740" s="54">
        <v>20</v>
      </c>
      <c r="E740" s="54" t="s">
        <v>45</v>
      </c>
      <c r="F740" s="54" t="s">
        <v>45</v>
      </c>
      <c r="G740" s="54" t="s">
        <v>46</v>
      </c>
      <c r="H740" s="54"/>
      <c r="I740" s="54" t="s">
        <v>45</v>
      </c>
      <c r="J740" s="54">
        <v>1.6</v>
      </c>
      <c r="K740" s="54" t="s">
        <v>49</v>
      </c>
      <c r="L740" s="54" t="s">
        <v>48</v>
      </c>
      <c r="M740" s="55" t="s">
        <v>56</v>
      </c>
      <c r="N740" s="55" t="s">
        <v>76</v>
      </c>
      <c r="O740" s="55" t="s">
        <v>100</v>
      </c>
      <c r="P740" s="55" t="s">
        <v>51</v>
      </c>
      <c r="Q740" s="94" t="s">
        <v>115</v>
      </c>
      <c r="R740" s="56">
        <v>20</v>
      </c>
      <c r="S740" s="57">
        <v>52.11</v>
      </c>
      <c r="T740" s="102">
        <v>21.87</v>
      </c>
      <c r="U740" s="57">
        <v>19</v>
      </c>
      <c r="V740" s="56">
        <v>62.48</v>
      </c>
      <c r="W740" s="100">
        <v>26.72</v>
      </c>
      <c r="X740" s="130">
        <f t="shared" si="123"/>
        <v>10.369999999999997</v>
      </c>
      <c r="Y740" s="16">
        <f t="shared" si="125"/>
        <v>5.656337386646852</v>
      </c>
      <c r="Z740" s="15">
        <f t="shared" si="126"/>
        <v>14.419999999999995</v>
      </c>
      <c r="AA740" s="16">
        <f t="shared" si="127"/>
        <v>634.04499999999985</v>
      </c>
      <c r="AB740" s="16">
        <f t="shared" si="128"/>
        <v>8.1695519428771863</v>
      </c>
      <c r="AC740" s="66" t="s">
        <v>49</v>
      </c>
      <c r="AD740" s="96" t="s">
        <v>590</v>
      </c>
      <c r="AE740" s="60">
        <v>8</v>
      </c>
      <c r="AF740" s="60">
        <v>3</v>
      </c>
      <c r="AG740" s="60">
        <v>52.5</v>
      </c>
      <c r="AH740" s="134" t="s">
        <v>588</v>
      </c>
      <c r="AI740" s="134">
        <v>3.5</v>
      </c>
      <c r="AJ740" s="135">
        <v>244.5</v>
      </c>
      <c r="AK740" s="45">
        <f t="shared" si="129"/>
        <v>733.5</v>
      </c>
      <c r="AL740" s="136" t="str" cm="1">
        <f t="array" ref="AL740">_xlfn.IFS(
AI740&lt;3,"Ligera",
AI740&lt;=6,"Moderada",
AI740&gt;6,"Vigorosa"
)</f>
        <v>Moderada</v>
      </c>
      <c r="AM740" s="61" t="s">
        <v>48</v>
      </c>
      <c r="AN740" s="61" t="s">
        <v>60</v>
      </c>
      <c r="AO740" s="61" t="s">
        <v>61</v>
      </c>
      <c r="AP740" s="97" t="s">
        <v>173</v>
      </c>
      <c r="AQ740" s="230">
        <v>0</v>
      </c>
      <c r="AR740" s="98"/>
      <c r="AS740" s="102" t="s">
        <v>589</v>
      </c>
      <c r="AT740" s="98"/>
      <c r="AU740" s="98"/>
      <c r="AV740" s="98"/>
      <c r="AW740" s="98"/>
      <c r="AX740" s="98"/>
      <c r="AY740" s="98"/>
      <c r="AZ740" s="98"/>
      <c r="BA740" s="98"/>
      <c r="BB740" s="98"/>
      <c r="BC740" s="98"/>
      <c r="BD740" s="98"/>
      <c r="BE740" s="98"/>
      <c r="BF740" s="98"/>
      <c r="BG740" s="98"/>
      <c r="BH740" s="98"/>
      <c r="BI740" s="98"/>
      <c r="BJ740" s="98"/>
      <c r="BK740" s="98"/>
      <c r="BL740" s="98"/>
    </row>
    <row r="741" spans="1:64" s="101" customFormat="1" ht="78.75" customHeight="1" thickBot="1">
      <c r="A741" s="229" t="s">
        <v>585</v>
      </c>
      <c r="B741" s="54">
        <v>40</v>
      </c>
      <c r="C741" s="54">
        <v>92</v>
      </c>
      <c r="D741" s="54">
        <v>20</v>
      </c>
      <c r="E741" s="54" t="s">
        <v>45</v>
      </c>
      <c r="F741" s="54" t="s">
        <v>45</v>
      </c>
      <c r="G741" s="54" t="s">
        <v>46</v>
      </c>
      <c r="H741" s="54"/>
      <c r="I741" s="54" t="s">
        <v>45</v>
      </c>
      <c r="J741" s="54">
        <v>1.2</v>
      </c>
      <c r="K741" s="54" t="s">
        <v>49</v>
      </c>
      <c r="L741" s="54" t="s">
        <v>48</v>
      </c>
      <c r="M741" s="55" t="s">
        <v>50</v>
      </c>
      <c r="N741" s="55" t="s">
        <v>50</v>
      </c>
      <c r="O741" s="55" t="s">
        <v>50</v>
      </c>
      <c r="P741" s="55" t="s">
        <v>51</v>
      </c>
      <c r="Q741" s="94" t="s">
        <v>92</v>
      </c>
      <c r="R741" s="56">
        <v>20</v>
      </c>
      <c r="S741" s="57">
        <v>23.35</v>
      </c>
      <c r="T741" s="102">
        <v>9.7899999999999991</v>
      </c>
      <c r="U741" s="57">
        <v>19</v>
      </c>
      <c r="V741" s="56">
        <v>23.59</v>
      </c>
      <c r="W741" s="100">
        <v>9.85</v>
      </c>
      <c r="X741" s="130">
        <f t="shared" si="123"/>
        <v>0.23999999999999844</v>
      </c>
      <c r="Y741" s="16">
        <f t="shared" si="125"/>
        <v>2.2528940452110406</v>
      </c>
      <c r="Z741" s="286" t="s">
        <v>53</v>
      </c>
      <c r="AA741" s="286" t="s">
        <v>53</v>
      </c>
      <c r="AB741" s="16">
        <v>2.2528940452110406</v>
      </c>
      <c r="AC741" s="66" t="s">
        <v>49</v>
      </c>
      <c r="AD741" s="96" t="s">
        <v>586</v>
      </c>
      <c r="AE741" s="60">
        <v>8</v>
      </c>
      <c r="AF741" s="60">
        <v>0</v>
      </c>
      <c r="AG741" s="60">
        <v>0</v>
      </c>
      <c r="AH741" s="134">
        <v>0</v>
      </c>
      <c r="AI741" s="134">
        <v>0</v>
      </c>
      <c r="AJ741" s="135">
        <f t="shared" si="124"/>
        <v>0</v>
      </c>
      <c r="AK741" s="45">
        <f t="shared" si="129"/>
        <v>0</v>
      </c>
      <c r="AL741" s="136" t="str" cm="1">
        <f t="array" ref="AL741">_xlfn.IFS(
AI741&lt;3,"Ligera",
AI741&lt;=6,"Moderada",
AI741&gt;6,"Vigorosa"
)</f>
        <v>Ligera</v>
      </c>
      <c r="AM741" s="61" t="s">
        <v>49</v>
      </c>
      <c r="AN741" s="97" t="s">
        <v>49</v>
      </c>
      <c r="AO741" s="97" t="s">
        <v>49</v>
      </c>
      <c r="AP741" s="97" t="s">
        <v>49</v>
      </c>
      <c r="AQ741" s="230">
        <v>0</v>
      </c>
      <c r="AR741" s="98"/>
      <c r="AS741" s="102" t="s">
        <v>589</v>
      </c>
      <c r="AT741" s="98"/>
      <c r="AU741" s="98"/>
      <c r="AV741" s="98"/>
      <c r="AW741" s="98"/>
      <c r="AX741" s="98"/>
      <c r="AY741" s="98"/>
      <c r="AZ741" s="98"/>
      <c r="BA741" s="98"/>
      <c r="BB741" s="98"/>
      <c r="BC741" s="98"/>
      <c r="BD741" s="98"/>
      <c r="BE741" s="98"/>
      <c r="BF741" s="98"/>
      <c r="BG741" s="98"/>
      <c r="BH741" s="98"/>
      <c r="BI741" s="98"/>
      <c r="BJ741" s="98"/>
      <c r="BK741" s="98"/>
      <c r="BL741" s="98"/>
    </row>
    <row r="742" spans="1:64" s="101" customFormat="1" ht="78.75" customHeight="1" thickBot="1">
      <c r="A742" s="229" t="s">
        <v>585</v>
      </c>
      <c r="B742" s="54">
        <v>40</v>
      </c>
      <c r="C742" s="54">
        <v>92</v>
      </c>
      <c r="D742" s="54">
        <v>20</v>
      </c>
      <c r="E742" s="54" t="s">
        <v>45</v>
      </c>
      <c r="F742" s="54" t="s">
        <v>45</v>
      </c>
      <c r="G742" s="54" t="s">
        <v>46</v>
      </c>
      <c r="H742" s="54"/>
      <c r="I742" s="54" t="s">
        <v>45</v>
      </c>
      <c r="J742" s="54">
        <v>1.6</v>
      </c>
      <c r="K742" s="54" t="s">
        <v>49</v>
      </c>
      <c r="L742" s="54" t="s">
        <v>48</v>
      </c>
      <c r="M742" s="55" t="s">
        <v>56</v>
      </c>
      <c r="N742" s="55" t="s">
        <v>76</v>
      </c>
      <c r="O742" s="55" t="s">
        <v>100</v>
      </c>
      <c r="P742" s="55" t="s">
        <v>51</v>
      </c>
      <c r="Q742" s="94" t="s">
        <v>92</v>
      </c>
      <c r="R742" s="56">
        <v>20</v>
      </c>
      <c r="S742" s="57">
        <v>22.07</v>
      </c>
      <c r="T742" s="102">
        <v>10.38</v>
      </c>
      <c r="U742" s="57">
        <v>19</v>
      </c>
      <c r="V742" s="56">
        <v>21.52</v>
      </c>
      <c r="W742" s="100">
        <v>9.85</v>
      </c>
      <c r="X742" s="130">
        <f t="shared" si="123"/>
        <v>-0.55000000000000071</v>
      </c>
      <c r="Y742" s="16">
        <f t="shared" si="125"/>
        <v>2.3229280524463309</v>
      </c>
      <c r="Z742" s="15">
        <f t="shared" si="126"/>
        <v>-0.78999999999999915</v>
      </c>
      <c r="AA742" s="16">
        <f t="shared" si="127"/>
        <v>97.022499999999994</v>
      </c>
      <c r="AB742" s="16">
        <f t="shared" si="128"/>
        <v>3.1957619962760218</v>
      </c>
      <c r="AC742" s="66" t="s">
        <v>49</v>
      </c>
      <c r="AD742" s="96" t="s">
        <v>590</v>
      </c>
      <c r="AE742" s="60">
        <v>8</v>
      </c>
      <c r="AF742" s="60">
        <v>3</v>
      </c>
      <c r="AG742" s="60">
        <v>52.5</v>
      </c>
      <c r="AH742" s="134" t="s">
        <v>588</v>
      </c>
      <c r="AI742" s="134">
        <v>3.5</v>
      </c>
      <c r="AJ742" s="135">
        <v>244.5</v>
      </c>
      <c r="AK742" s="45">
        <f t="shared" si="129"/>
        <v>733.5</v>
      </c>
      <c r="AL742" s="136" t="str" cm="1">
        <f t="array" ref="AL742">_xlfn.IFS(
AI742&lt;3,"Ligera",
AI742&lt;=6,"Moderada",
AI742&gt;6,"Vigorosa"
)</f>
        <v>Moderada</v>
      </c>
      <c r="AM742" s="61" t="s">
        <v>48</v>
      </c>
      <c r="AN742" s="61" t="s">
        <v>60</v>
      </c>
      <c r="AO742" s="61" t="s">
        <v>61</v>
      </c>
      <c r="AP742" s="97" t="s">
        <v>173</v>
      </c>
      <c r="AQ742" s="230">
        <v>0</v>
      </c>
      <c r="AR742" s="98"/>
      <c r="AS742" s="102" t="s">
        <v>589</v>
      </c>
      <c r="AT742" s="98"/>
      <c r="AU742" s="98"/>
      <c r="AV742" s="98"/>
      <c r="AW742" s="98"/>
      <c r="AX742" s="98"/>
      <c r="AY742" s="98"/>
      <c r="AZ742" s="98"/>
      <c r="BA742" s="98"/>
      <c r="BB742" s="98"/>
      <c r="BC742" s="98"/>
      <c r="BD742" s="98"/>
      <c r="BE742" s="98"/>
      <c r="BF742" s="98"/>
      <c r="BG742" s="98"/>
      <c r="BH742" s="98"/>
      <c r="BI742" s="98"/>
      <c r="BJ742" s="98"/>
      <c r="BK742" s="98"/>
      <c r="BL742" s="98"/>
    </row>
    <row r="743" spans="1:64" s="101" customFormat="1" ht="78.75" customHeight="1" thickBot="1">
      <c r="A743" s="229" t="s">
        <v>585</v>
      </c>
      <c r="B743" s="54">
        <v>40</v>
      </c>
      <c r="C743" s="54">
        <v>92</v>
      </c>
      <c r="D743" s="54">
        <v>20</v>
      </c>
      <c r="E743" s="54" t="s">
        <v>45</v>
      </c>
      <c r="F743" s="54" t="s">
        <v>45</v>
      </c>
      <c r="G743" s="54" t="s">
        <v>46</v>
      </c>
      <c r="H743" s="54"/>
      <c r="I743" s="54" t="s">
        <v>45</v>
      </c>
      <c r="J743" s="54">
        <v>1.2</v>
      </c>
      <c r="K743" s="54" t="s">
        <v>49</v>
      </c>
      <c r="L743" s="54" t="s">
        <v>48</v>
      </c>
      <c r="M743" s="55" t="s">
        <v>50</v>
      </c>
      <c r="N743" s="55" t="s">
        <v>50</v>
      </c>
      <c r="O743" s="55" t="s">
        <v>50</v>
      </c>
      <c r="P743" s="55" t="s">
        <v>51</v>
      </c>
      <c r="Q743" s="94" t="s">
        <v>210</v>
      </c>
      <c r="R743" s="56">
        <v>20</v>
      </c>
      <c r="S743" s="57">
        <v>0.41</v>
      </c>
      <c r="T743" s="102">
        <v>0.17</v>
      </c>
      <c r="U743" s="57">
        <v>19</v>
      </c>
      <c r="V743" s="56">
        <v>0.34</v>
      </c>
      <c r="W743" s="100">
        <v>0.15</v>
      </c>
      <c r="X743" s="130">
        <f t="shared" si="123"/>
        <v>-6.9999999999999951E-2</v>
      </c>
      <c r="Y743" s="16">
        <f t="shared" si="125"/>
        <v>3.6920968225885434E-2</v>
      </c>
      <c r="Z743" s="286" t="s">
        <v>53</v>
      </c>
      <c r="AA743" s="286" t="s">
        <v>53</v>
      </c>
      <c r="AB743" s="16">
        <v>3.6920968225885434E-2</v>
      </c>
      <c r="AC743" s="66" t="s">
        <v>49</v>
      </c>
      <c r="AD743" s="96" t="s">
        <v>586</v>
      </c>
      <c r="AE743" s="60">
        <v>8</v>
      </c>
      <c r="AF743" s="60">
        <v>0</v>
      </c>
      <c r="AG743" s="60">
        <v>0</v>
      </c>
      <c r="AH743" s="134">
        <v>0</v>
      </c>
      <c r="AI743" s="134">
        <v>0</v>
      </c>
      <c r="AJ743" s="135">
        <f t="shared" si="124"/>
        <v>0</v>
      </c>
      <c r="AK743" s="45">
        <f t="shared" si="129"/>
        <v>0</v>
      </c>
      <c r="AL743" s="136" t="str" cm="1">
        <f t="array" ref="AL743">_xlfn.IFS(
AI743&lt;3,"Ligera",
AI743&lt;=6,"Moderada",
AI743&gt;6,"Vigorosa"
)</f>
        <v>Ligera</v>
      </c>
      <c r="AM743" s="61" t="s">
        <v>49</v>
      </c>
      <c r="AN743" s="97" t="s">
        <v>49</v>
      </c>
      <c r="AO743" s="97" t="s">
        <v>49</v>
      </c>
      <c r="AP743" s="97" t="s">
        <v>49</v>
      </c>
      <c r="AQ743" s="230">
        <v>0</v>
      </c>
      <c r="AR743" s="98"/>
      <c r="AS743" s="102" t="s">
        <v>589</v>
      </c>
      <c r="AT743" s="98"/>
      <c r="AU743" s="98"/>
      <c r="AV743" s="98"/>
      <c r="AW743" s="98"/>
      <c r="AX743" s="98"/>
      <c r="AY743" s="98"/>
      <c r="AZ743" s="98"/>
      <c r="BA743" s="98"/>
      <c r="BB743" s="98"/>
      <c r="BC743" s="98"/>
      <c r="BD743" s="98"/>
      <c r="BE743" s="98"/>
      <c r="BF743" s="98"/>
      <c r="BG743" s="98"/>
      <c r="BH743" s="98"/>
      <c r="BI743" s="98"/>
      <c r="BJ743" s="98"/>
      <c r="BK743" s="98"/>
      <c r="BL743" s="98"/>
    </row>
    <row r="744" spans="1:64" s="101" customFormat="1" ht="78.75" customHeight="1" thickBot="1">
      <c r="A744" s="229" t="s">
        <v>585</v>
      </c>
      <c r="B744" s="54">
        <v>40</v>
      </c>
      <c r="C744" s="54">
        <v>92</v>
      </c>
      <c r="D744" s="54">
        <v>20</v>
      </c>
      <c r="E744" s="54" t="s">
        <v>45</v>
      </c>
      <c r="F744" s="54" t="s">
        <v>45</v>
      </c>
      <c r="G744" s="54" t="s">
        <v>46</v>
      </c>
      <c r="H744" s="54"/>
      <c r="I744" s="54" t="s">
        <v>45</v>
      </c>
      <c r="J744" s="54">
        <v>1.6</v>
      </c>
      <c r="K744" s="54" t="s">
        <v>49</v>
      </c>
      <c r="L744" s="54" t="s">
        <v>48</v>
      </c>
      <c r="M744" s="55" t="s">
        <v>56</v>
      </c>
      <c r="N744" s="55" t="s">
        <v>76</v>
      </c>
      <c r="O744" s="55" t="s">
        <v>100</v>
      </c>
      <c r="P744" s="55" t="s">
        <v>51</v>
      </c>
      <c r="Q744" s="94" t="s">
        <v>210</v>
      </c>
      <c r="R744" s="56">
        <v>20</v>
      </c>
      <c r="S744" s="57">
        <v>0.38</v>
      </c>
      <c r="T744" s="102">
        <v>0.16</v>
      </c>
      <c r="U744" s="57">
        <v>19</v>
      </c>
      <c r="V744" s="56">
        <v>0.42</v>
      </c>
      <c r="W744" s="100">
        <v>0.17</v>
      </c>
      <c r="X744" s="130">
        <f t="shared" si="123"/>
        <v>3.999999999999998E-2</v>
      </c>
      <c r="Y744" s="16">
        <f t="shared" si="125"/>
        <v>3.7905700168485976E-2</v>
      </c>
      <c r="Z744" s="15">
        <f t="shared" si="126"/>
        <v>0.10999999999999993</v>
      </c>
      <c r="AA744" s="16">
        <f t="shared" si="127"/>
        <v>2.5700000000000001E-2</v>
      </c>
      <c r="AB744" s="16">
        <f t="shared" si="128"/>
        <v>5.201214433086504E-2</v>
      </c>
      <c r="AC744" s="66" t="s">
        <v>49</v>
      </c>
      <c r="AD744" s="96" t="s">
        <v>590</v>
      </c>
      <c r="AE744" s="60">
        <v>8</v>
      </c>
      <c r="AF744" s="60">
        <v>3</v>
      </c>
      <c r="AG744" s="60">
        <v>52.5</v>
      </c>
      <c r="AH744" s="134" t="s">
        <v>588</v>
      </c>
      <c r="AI744" s="134">
        <v>3.5</v>
      </c>
      <c r="AJ744" s="135">
        <v>244.5</v>
      </c>
      <c r="AK744" s="45">
        <f t="shared" si="129"/>
        <v>733.5</v>
      </c>
      <c r="AL744" s="136" t="str" cm="1">
        <f t="array" ref="AL744">_xlfn.IFS(
AI744&lt;3,"Ligera",
AI744&lt;=6,"Moderada",
AI744&gt;6,"Vigorosa"
)</f>
        <v>Moderada</v>
      </c>
      <c r="AM744" s="61" t="s">
        <v>48</v>
      </c>
      <c r="AN744" s="61" t="s">
        <v>60</v>
      </c>
      <c r="AO744" s="61" t="s">
        <v>61</v>
      </c>
      <c r="AP744" s="97" t="s">
        <v>173</v>
      </c>
      <c r="AQ744" s="230">
        <v>0</v>
      </c>
      <c r="AR744" s="98"/>
      <c r="AS744" s="102" t="s">
        <v>589</v>
      </c>
      <c r="AT744" s="98"/>
      <c r="AU744" s="98"/>
      <c r="AV744" s="98"/>
      <c r="AW744" s="98"/>
      <c r="AX744" s="98"/>
      <c r="AY744" s="98"/>
      <c r="AZ744" s="98"/>
      <c r="BA744" s="98"/>
      <c r="BB744" s="98"/>
      <c r="BC744" s="98"/>
      <c r="BD744" s="98"/>
      <c r="BE744" s="98"/>
      <c r="BF744" s="98"/>
      <c r="BG744" s="98"/>
      <c r="BH744" s="98"/>
      <c r="BI744" s="98"/>
      <c r="BJ744" s="98"/>
      <c r="BK744" s="98"/>
      <c r="BL744" s="98"/>
    </row>
    <row r="745" spans="1:64" s="101" customFormat="1" ht="78.75" customHeight="1" thickBot="1">
      <c r="A745" s="229" t="s">
        <v>585</v>
      </c>
      <c r="B745" s="54">
        <v>40</v>
      </c>
      <c r="C745" s="54">
        <v>92</v>
      </c>
      <c r="D745" s="54">
        <v>20</v>
      </c>
      <c r="E745" s="54" t="s">
        <v>45</v>
      </c>
      <c r="F745" s="54" t="s">
        <v>45</v>
      </c>
      <c r="G745" s="54" t="s">
        <v>46</v>
      </c>
      <c r="H745" s="54"/>
      <c r="I745" s="54" t="s">
        <v>45</v>
      </c>
      <c r="J745" s="54">
        <v>1.2</v>
      </c>
      <c r="K745" s="54" t="s">
        <v>49</v>
      </c>
      <c r="L745" s="54" t="s">
        <v>48</v>
      </c>
      <c r="M745" s="55" t="s">
        <v>50</v>
      </c>
      <c r="N745" s="55" t="s">
        <v>50</v>
      </c>
      <c r="O745" s="55" t="s">
        <v>50</v>
      </c>
      <c r="P745" s="55" t="s">
        <v>51</v>
      </c>
      <c r="Q745" s="94" t="s">
        <v>149</v>
      </c>
      <c r="R745" s="56">
        <v>18</v>
      </c>
      <c r="S745" s="57">
        <v>11.82</v>
      </c>
      <c r="T745" s="102">
        <v>6.62</v>
      </c>
      <c r="U745" s="57">
        <v>7</v>
      </c>
      <c r="V745" s="56">
        <v>11.2</v>
      </c>
      <c r="W745" s="100">
        <v>3.76</v>
      </c>
      <c r="X745" s="130">
        <f t="shared" si="123"/>
        <v>-0.62000000000000099</v>
      </c>
      <c r="Y745" s="16">
        <f t="shared" si="125"/>
        <v>2.1735684944349005</v>
      </c>
      <c r="Z745" s="286" t="s">
        <v>53</v>
      </c>
      <c r="AA745" s="286" t="s">
        <v>53</v>
      </c>
      <c r="AB745" s="16">
        <v>2.1735684944349005</v>
      </c>
      <c r="AC745" s="66" t="s">
        <v>48</v>
      </c>
      <c r="AD745" s="96" t="s">
        <v>586</v>
      </c>
      <c r="AE745" s="60">
        <v>8</v>
      </c>
      <c r="AF745" s="60">
        <v>0</v>
      </c>
      <c r="AG745" s="60">
        <v>0</v>
      </c>
      <c r="AH745" s="134">
        <v>0</v>
      </c>
      <c r="AI745" s="134">
        <v>0</v>
      </c>
      <c r="AJ745" s="135">
        <f t="shared" si="124"/>
        <v>0</v>
      </c>
      <c r="AK745" s="45">
        <f t="shared" si="129"/>
        <v>0</v>
      </c>
      <c r="AL745" s="136" t="str" cm="1">
        <f t="array" ref="AL745">_xlfn.IFS(
AI745&lt;3,"Ligera",
AI745&lt;=6,"Moderada",
AI745&gt;6,"Vigorosa"
)</f>
        <v>Ligera</v>
      </c>
      <c r="AM745" s="61" t="s">
        <v>49</v>
      </c>
      <c r="AN745" s="97" t="s">
        <v>49</v>
      </c>
      <c r="AO745" s="97" t="s">
        <v>49</v>
      </c>
      <c r="AP745" s="97" t="s">
        <v>49</v>
      </c>
      <c r="AQ745" s="230">
        <v>0</v>
      </c>
      <c r="AR745" s="98"/>
      <c r="AS745" s="102" t="s">
        <v>589</v>
      </c>
      <c r="AT745" s="98"/>
      <c r="AU745" s="98"/>
      <c r="AV745" s="98"/>
      <c r="AW745" s="98"/>
      <c r="AX745" s="98"/>
      <c r="AY745" s="98"/>
      <c r="AZ745" s="98"/>
      <c r="BA745" s="98"/>
      <c r="BB745" s="98"/>
      <c r="BC745" s="98"/>
      <c r="BD745" s="98"/>
      <c r="BE745" s="98"/>
      <c r="BF745" s="98"/>
      <c r="BG745" s="98"/>
      <c r="BH745" s="98"/>
      <c r="BI745" s="98"/>
      <c r="BJ745" s="98"/>
      <c r="BK745" s="98"/>
      <c r="BL745" s="98"/>
    </row>
    <row r="746" spans="1:64" s="101" customFormat="1" ht="78.75" customHeight="1" thickBot="1">
      <c r="A746" s="229" t="s">
        <v>585</v>
      </c>
      <c r="B746" s="54">
        <v>40</v>
      </c>
      <c r="C746" s="54">
        <v>92</v>
      </c>
      <c r="D746" s="54">
        <v>20</v>
      </c>
      <c r="E746" s="54" t="s">
        <v>45</v>
      </c>
      <c r="F746" s="54" t="s">
        <v>45</v>
      </c>
      <c r="G746" s="54" t="s">
        <v>46</v>
      </c>
      <c r="H746" s="54"/>
      <c r="I746" s="54" t="s">
        <v>45</v>
      </c>
      <c r="J746" s="54">
        <v>1.6</v>
      </c>
      <c r="K746" s="54" t="s">
        <v>49</v>
      </c>
      <c r="L746" s="54" t="s">
        <v>48</v>
      </c>
      <c r="M746" s="55" t="s">
        <v>56</v>
      </c>
      <c r="N746" s="55" t="s">
        <v>76</v>
      </c>
      <c r="O746" s="55" t="s">
        <v>100</v>
      </c>
      <c r="P746" s="55" t="s">
        <v>51</v>
      </c>
      <c r="Q746" s="94" t="s">
        <v>149</v>
      </c>
      <c r="R746" s="56">
        <v>15</v>
      </c>
      <c r="S746" s="57">
        <v>12.71</v>
      </c>
      <c r="T746" s="102">
        <v>6.31</v>
      </c>
      <c r="U746" s="57">
        <v>15</v>
      </c>
      <c r="V746" s="56">
        <v>12.67</v>
      </c>
      <c r="W746" s="100">
        <v>6.55</v>
      </c>
      <c r="X746" s="130">
        <f t="shared" si="123"/>
        <v>-4.0000000000000924E-2</v>
      </c>
      <c r="Y746" s="16">
        <f t="shared" si="125"/>
        <v>1.661085990148212</v>
      </c>
      <c r="Z746" s="15">
        <f t="shared" si="126"/>
        <v>0.58000000000000007</v>
      </c>
      <c r="AA746" s="16">
        <f t="shared" si="127"/>
        <v>34.273029999999999</v>
      </c>
      <c r="AB746" s="16">
        <f t="shared" si="128"/>
        <v>2.6797417430647692</v>
      </c>
      <c r="AC746" s="66" t="s">
        <v>48</v>
      </c>
      <c r="AD746" s="96" t="s">
        <v>590</v>
      </c>
      <c r="AE746" s="60">
        <v>8</v>
      </c>
      <c r="AF746" s="60">
        <v>3</v>
      </c>
      <c r="AG746" s="60">
        <v>52.5</v>
      </c>
      <c r="AH746" s="134" t="s">
        <v>588</v>
      </c>
      <c r="AI746" s="134">
        <v>3.5</v>
      </c>
      <c r="AJ746" s="135">
        <v>244.5</v>
      </c>
      <c r="AK746" s="45">
        <f t="shared" si="129"/>
        <v>733.5</v>
      </c>
      <c r="AL746" s="136" t="str" cm="1">
        <f t="array" ref="AL746">_xlfn.IFS(
AI746&lt;3,"Ligera",
AI746&lt;=6,"Moderada",
AI746&gt;6,"Vigorosa"
)</f>
        <v>Moderada</v>
      </c>
      <c r="AM746" s="61" t="s">
        <v>48</v>
      </c>
      <c r="AN746" s="61" t="s">
        <v>60</v>
      </c>
      <c r="AO746" s="61" t="s">
        <v>61</v>
      </c>
      <c r="AP746" s="97" t="s">
        <v>173</v>
      </c>
      <c r="AQ746" s="230">
        <v>0</v>
      </c>
      <c r="AR746" s="98"/>
      <c r="AS746" s="102" t="s">
        <v>589</v>
      </c>
      <c r="AT746" s="98"/>
      <c r="AU746" s="98"/>
      <c r="AV746" s="98"/>
      <c r="AW746" s="98"/>
      <c r="AX746" s="98"/>
      <c r="AY746" s="98"/>
      <c r="AZ746" s="98"/>
      <c r="BA746" s="98"/>
      <c r="BB746" s="98"/>
      <c r="BC746" s="98"/>
      <c r="BD746" s="98"/>
      <c r="BE746" s="98"/>
      <c r="BF746" s="98"/>
      <c r="BG746" s="98"/>
      <c r="BH746" s="98"/>
      <c r="BI746" s="98"/>
      <c r="BJ746" s="98"/>
      <c r="BK746" s="98"/>
      <c r="BL746" s="98"/>
    </row>
    <row r="747" spans="1:64" s="101" customFormat="1" ht="78.75" customHeight="1" thickBot="1">
      <c r="A747" s="229" t="s">
        <v>585</v>
      </c>
      <c r="B747" s="54">
        <v>40</v>
      </c>
      <c r="C747" s="54">
        <v>92</v>
      </c>
      <c r="D747" s="54">
        <v>20</v>
      </c>
      <c r="E747" s="54" t="s">
        <v>45</v>
      </c>
      <c r="F747" s="54" t="s">
        <v>45</v>
      </c>
      <c r="G747" s="54" t="s">
        <v>46</v>
      </c>
      <c r="H747" s="54"/>
      <c r="I747" s="54" t="s">
        <v>45</v>
      </c>
      <c r="J747" s="54">
        <v>1.2</v>
      </c>
      <c r="K747" s="54" t="s">
        <v>49</v>
      </c>
      <c r="L747" s="54" t="s">
        <v>48</v>
      </c>
      <c r="M747" s="55" t="s">
        <v>50</v>
      </c>
      <c r="N747" s="55" t="s">
        <v>50</v>
      </c>
      <c r="O747" s="55" t="s">
        <v>50</v>
      </c>
      <c r="P747" s="55" t="s">
        <v>51</v>
      </c>
      <c r="Q747" s="94" t="s">
        <v>124</v>
      </c>
      <c r="R747" s="56">
        <v>10</v>
      </c>
      <c r="S747" s="57">
        <v>22.69</v>
      </c>
      <c r="T747" s="102">
        <v>7.02</v>
      </c>
      <c r="U747" s="57">
        <v>9</v>
      </c>
      <c r="V747" s="56">
        <v>23.6</v>
      </c>
      <c r="W747" s="100">
        <v>6.63</v>
      </c>
      <c r="X747" s="130">
        <f t="shared" si="123"/>
        <v>0.91000000000000014</v>
      </c>
      <c r="Y747" s="16">
        <f t="shared" si="125"/>
        <v>2.2777840108315801</v>
      </c>
      <c r="Z747" s="286" t="s">
        <v>53</v>
      </c>
      <c r="AA747" s="286" t="s">
        <v>53</v>
      </c>
      <c r="AB747" s="16">
        <v>2.2777840108315801</v>
      </c>
      <c r="AC747" s="66" t="s">
        <v>48</v>
      </c>
      <c r="AD747" s="96" t="s">
        <v>586</v>
      </c>
      <c r="AE747" s="60">
        <v>8</v>
      </c>
      <c r="AF747" s="60">
        <v>0</v>
      </c>
      <c r="AG747" s="60">
        <v>0</v>
      </c>
      <c r="AH747" s="134">
        <v>0</v>
      </c>
      <c r="AI747" s="134">
        <v>0</v>
      </c>
      <c r="AJ747" s="135">
        <f t="shared" si="124"/>
        <v>0</v>
      </c>
      <c r="AK747" s="45">
        <f t="shared" si="129"/>
        <v>0</v>
      </c>
      <c r="AL747" s="136" t="str" cm="1">
        <f t="array" ref="AL747">_xlfn.IFS(
AI747&lt;3,"Ligera",
AI747&lt;=6,"Moderada",
AI747&gt;6,"Vigorosa"
)</f>
        <v>Ligera</v>
      </c>
      <c r="AM747" s="61" t="s">
        <v>49</v>
      </c>
      <c r="AN747" s="97" t="s">
        <v>49</v>
      </c>
      <c r="AO747" s="97" t="s">
        <v>49</v>
      </c>
      <c r="AP747" s="97" t="s">
        <v>49</v>
      </c>
      <c r="AQ747" s="230">
        <v>0</v>
      </c>
      <c r="AR747" s="98"/>
      <c r="AS747" s="102" t="s">
        <v>589</v>
      </c>
      <c r="AT747" s="98"/>
      <c r="AU747" s="98"/>
      <c r="AV747" s="98"/>
      <c r="AW747" s="98"/>
      <c r="AX747" s="98"/>
      <c r="AY747" s="98"/>
      <c r="AZ747" s="98"/>
      <c r="BA747" s="98"/>
      <c r="BB747" s="98"/>
      <c r="BC747" s="98"/>
      <c r="BD747" s="98"/>
      <c r="BE747" s="98"/>
      <c r="BF747" s="98"/>
      <c r="BG747" s="98"/>
      <c r="BH747" s="98"/>
      <c r="BI747" s="98"/>
      <c r="BJ747" s="98"/>
      <c r="BK747" s="98"/>
      <c r="BL747" s="98"/>
    </row>
    <row r="748" spans="1:64" s="101" customFormat="1" ht="78.75" customHeight="1" thickBot="1">
      <c r="A748" s="231" t="s">
        <v>585</v>
      </c>
      <c r="B748" s="232">
        <v>40</v>
      </c>
      <c r="C748" s="232">
        <v>92</v>
      </c>
      <c r="D748" s="232">
        <v>20</v>
      </c>
      <c r="E748" s="232" t="s">
        <v>45</v>
      </c>
      <c r="F748" s="232" t="s">
        <v>45</v>
      </c>
      <c r="G748" s="232" t="s">
        <v>46</v>
      </c>
      <c r="H748" s="232"/>
      <c r="I748" s="232" t="s">
        <v>45</v>
      </c>
      <c r="J748" s="232">
        <v>1.6</v>
      </c>
      <c r="K748" s="232" t="s">
        <v>49</v>
      </c>
      <c r="L748" s="232" t="s">
        <v>48</v>
      </c>
      <c r="M748" s="233" t="s">
        <v>56</v>
      </c>
      <c r="N748" s="233" t="s">
        <v>76</v>
      </c>
      <c r="O748" s="233" t="s">
        <v>100</v>
      </c>
      <c r="P748" s="233" t="s">
        <v>51</v>
      </c>
      <c r="Q748" s="234" t="s">
        <v>124</v>
      </c>
      <c r="R748" s="235">
        <v>10</v>
      </c>
      <c r="S748" s="236">
        <v>24.06</v>
      </c>
      <c r="T748" s="245">
        <v>7.21</v>
      </c>
      <c r="U748" s="236">
        <v>10</v>
      </c>
      <c r="V748" s="235">
        <v>28.5</v>
      </c>
      <c r="W748" s="238">
        <v>8.85</v>
      </c>
      <c r="X748" s="130">
        <f t="shared" si="123"/>
        <v>4.4400000000000013</v>
      </c>
      <c r="Y748" s="16">
        <f t="shared" si="125"/>
        <v>2.5787225519625019</v>
      </c>
      <c r="Z748" s="15">
        <f t="shared" si="126"/>
        <v>3.5300000000000011</v>
      </c>
      <c r="AA748" s="16">
        <f t="shared" si="127"/>
        <v>62.150452941176461</v>
      </c>
      <c r="AB748" s="16">
        <f t="shared" si="128"/>
        <v>3.6222439421538946</v>
      </c>
      <c r="AC748" s="66" t="s">
        <v>48</v>
      </c>
      <c r="AD748" s="188" t="s">
        <v>590</v>
      </c>
      <c r="AE748" s="239">
        <v>8</v>
      </c>
      <c r="AF748" s="239">
        <v>3</v>
      </c>
      <c r="AG748" s="239">
        <v>52.5</v>
      </c>
      <c r="AH748" s="134" t="s">
        <v>588</v>
      </c>
      <c r="AI748" s="134">
        <v>3.5</v>
      </c>
      <c r="AJ748" s="135">
        <v>244.5</v>
      </c>
      <c r="AK748" s="45">
        <f t="shared" si="129"/>
        <v>733.5</v>
      </c>
      <c r="AL748" s="136" t="str" cm="1">
        <f t="array" ref="AL748">_xlfn.IFS(
AI748&lt;3,"Ligera",
AI748&lt;=6,"Moderada",
AI748&gt;6,"Vigorosa"
)</f>
        <v>Moderada</v>
      </c>
      <c r="AM748" s="240" t="s">
        <v>48</v>
      </c>
      <c r="AN748" s="240" t="s">
        <v>60</v>
      </c>
      <c r="AO748" s="240" t="s">
        <v>61</v>
      </c>
      <c r="AP748" s="247" t="s">
        <v>173</v>
      </c>
      <c r="AQ748" s="241">
        <v>0</v>
      </c>
      <c r="AR748" s="98"/>
      <c r="AS748" s="102" t="s">
        <v>589</v>
      </c>
      <c r="AT748" s="98"/>
      <c r="AU748" s="98"/>
      <c r="AV748" s="98"/>
      <c r="AW748" s="98"/>
      <c r="AX748" s="98"/>
      <c r="AY748" s="98"/>
      <c r="AZ748" s="98"/>
      <c r="BA748" s="98"/>
      <c r="BB748" s="98"/>
      <c r="BC748" s="98"/>
      <c r="BD748" s="98"/>
      <c r="BE748" s="98"/>
      <c r="BF748" s="98"/>
      <c r="BG748" s="98"/>
      <c r="BH748" s="98"/>
      <c r="BI748" s="98"/>
      <c r="BJ748" s="98"/>
      <c r="BK748" s="98"/>
      <c r="BL748" s="98"/>
    </row>
    <row r="749" spans="1:64" s="101" customFormat="1" ht="78.75" customHeight="1" thickBot="1">
      <c r="A749" s="217" t="s">
        <v>591</v>
      </c>
      <c r="B749" s="218">
        <v>56</v>
      </c>
      <c r="C749" s="218">
        <v>82.76</v>
      </c>
      <c r="D749" s="218">
        <v>35.299999999999997</v>
      </c>
      <c r="E749" s="218" t="s">
        <v>45</v>
      </c>
      <c r="F749" s="218" t="s">
        <v>45</v>
      </c>
      <c r="G749" s="218" t="s">
        <v>592</v>
      </c>
      <c r="H749" s="218"/>
      <c r="I749" s="218" t="s">
        <v>145</v>
      </c>
      <c r="J749" s="218" t="s">
        <v>47</v>
      </c>
      <c r="K749" s="218" t="s">
        <v>48</v>
      </c>
      <c r="L749" s="218" t="s">
        <v>48</v>
      </c>
      <c r="M749" s="219" t="s">
        <v>50</v>
      </c>
      <c r="N749" s="219" t="s">
        <v>50</v>
      </c>
      <c r="O749" s="219" t="s">
        <v>50</v>
      </c>
      <c r="P749" s="219" t="s">
        <v>94</v>
      </c>
      <c r="Q749" s="220" t="s">
        <v>119</v>
      </c>
      <c r="R749" s="221">
        <v>28</v>
      </c>
      <c r="S749" s="222">
        <v>20.59</v>
      </c>
      <c r="T749" s="223">
        <v>5.68</v>
      </c>
      <c r="U749" s="222">
        <v>28</v>
      </c>
      <c r="V749" s="221" t="s">
        <v>47</v>
      </c>
      <c r="W749" s="222" t="s">
        <v>47</v>
      </c>
      <c r="X749" s="130"/>
      <c r="Y749" s="16"/>
      <c r="Z749" s="286"/>
      <c r="AA749" s="286"/>
      <c r="AB749" s="16"/>
      <c r="AC749" s="66" t="s">
        <v>49</v>
      </c>
      <c r="AD749" s="224" t="s">
        <v>593</v>
      </c>
      <c r="AE749" s="225">
        <v>12</v>
      </c>
      <c r="AF749" s="225">
        <v>0</v>
      </c>
      <c r="AG749" s="225">
        <v>0</v>
      </c>
      <c r="AH749" s="134">
        <v>0</v>
      </c>
      <c r="AI749" s="134">
        <v>0</v>
      </c>
      <c r="AJ749" s="135">
        <f t="shared" si="124"/>
        <v>0</v>
      </c>
      <c r="AK749" s="45">
        <f t="shared" si="129"/>
        <v>0</v>
      </c>
      <c r="AL749" s="136" t="str" cm="1">
        <f t="array" ref="AL749">_xlfn.IFS(
AI749&lt;3,"Ligera",
AI749&lt;=6,"Moderada",
AI749&gt;6,"Vigorosa"
)</f>
        <v>Ligera</v>
      </c>
      <c r="AM749" s="226" t="s">
        <v>49</v>
      </c>
      <c r="AN749" s="227" t="s">
        <v>49</v>
      </c>
      <c r="AO749" s="227" t="s">
        <v>49</v>
      </c>
      <c r="AP749" s="227" t="s">
        <v>49</v>
      </c>
      <c r="AQ749" s="228">
        <v>0</v>
      </c>
      <c r="AR749" s="98"/>
      <c r="AS749" s="98"/>
      <c r="AT749" s="98"/>
      <c r="AU749" s="98"/>
      <c r="AV749" s="98"/>
      <c r="AW749" s="98"/>
      <c r="AX749" s="98"/>
      <c r="AY749" s="98"/>
      <c r="AZ749" s="98"/>
      <c r="BA749" s="98"/>
      <c r="BB749" s="98"/>
      <c r="BC749" s="98"/>
      <c r="BD749" s="98"/>
      <c r="BE749" s="98"/>
      <c r="BF749" s="98"/>
      <c r="BG749" s="98"/>
      <c r="BH749" s="98"/>
      <c r="BI749" s="98"/>
      <c r="BJ749" s="98"/>
      <c r="BK749" s="98"/>
      <c r="BL749" s="98"/>
    </row>
    <row r="750" spans="1:64" s="101" customFormat="1" ht="78.75" customHeight="1" thickBot="1">
      <c r="A750" s="229" t="s">
        <v>591</v>
      </c>
      <c r="B750" s="54">
        <v>56</v>
      </c>
      <c r="C750" s="54">
        <v>82.93</v>
      </c>
      <c r="D750" s="54">
        <v>31</v>
      </c>
      <c r="E750" s="54" t="s">
        <v>45</v>
      </c>
      <c r="F750" s="54" t="s">
        <v>45</v>
      </c>
      <c r="G750" s="54" t="s">
        <v>592</v>
      </c>
      <c r="H750" s="54"/>
      <c r="I750" s="54" t="s">
        <v>145</v>
      </c>
      <c r="J750" s="54" t="s">
        <v>47</v>
      </c>
      <c r="K750" s="54" t="s">
        <v>48</v>
      </c>
      <c r="L750" s="54" t="s">
        <v>48</v>
      </c>
      <c r="M750" s="55" t="s">
        <v>56</v>
      </c>
      <c r="N750" s="55" t="s">
        <v>76</v>
      </c>
      <c r="O750" s="55" t="s">
        <v>100</v>
      </c>
      <c r="P750" s="55" t="s">
        <v>94</v>
      </c>
      <c r="Q750" s="94" t="s">
        <v>119</v>
      </c>
      <c r="R750" s="56">
        <v>28</v>
      </c>
      <c r="S750" s="57">
        <v>19.690000000000001</v>
      </c>
      <c r="T750" s="58">
        <v>7.2</v>
      </c>
      <c r="U750" s="57">
        <v>28</v>
      </c>
      <c r="V750" s="56" t="s">
        <v>47</v>
      </c>
      <c r="W750" s="57" t="s">
        <v>47</v>
      </c>
      <c r="X750" s="130"/>
      <c r="Y750" s="16"/>
      <c r="Z750" s="15"/>
      <c r="AA750" s="16"/>
      <c r="AB750" s="16"/>
      <c r="AC750" s="66" t="s">
        <v>49</v>
      </c>
      <c r="AD750" s="96" t="s">
        <v>594</v>
      </c>
      <c r="AE750" s="60">
        <v>12</v>
      </c>
      <c r="AF750" s="60">
        <v>3</v>
      </c>
      <c r="AG750" s="239">
        <v>52.5</v>
      </c>
      <c r="AH750" s="134" t="s">
        <v>588</v>
      </c>
      <c r="AI750" s="134">
        <v>3.5</v>
      </c>
      <c r="AJ750" s="135">
        <v>244.5</v>
      </c>
      <c r="AK750" s="45">
        <f t="shared" si="129"/>
        <v>733.5</v>
      </c>
      <c r="AL750" s="136" t="str" cm="1">
        <f t="array" ref="AL750">_xlfn.IFS(
AI750&lt;3,"Ligera",
AI750&lt;=6,"Moderada",
AI750&gt;6,"Vigorosa"
)</f>
        <v>Moderada</v>
      </c>
      <c r="AM750" s="61" t="s">
        <v>48</v>
      </c>
      <c r="AN750" s="61" t="s">
        <v>60</v>
      </c>
      <c r="AO750" s="61" t="s">
        <v>61</v>
      </c>
      <c r="AP750" s="97" t="s">
        <v>173</v>
      </c>
      <c r="AQ750" s="230">
        <v>0</v>
      </c>
      <c r="AR750" s="98"/>
      <c r="AS750" s="98"/>
      <c r="AT750" s="98"/>
      <c r="AU750" s="98"/>
      <c r="AV750" s="98"/>
      <c r="AW750" s="98"/>
      <c r="AX750" s="98"/>
      <c r="AY750" s="98"/>
      <c r="AZ750" s="98"/>
      <c r="BA750" s="98"/>
      <c r="BB750" s="98"/>
      <c r="BC750" s="98"/>
      <c r="BD750" s="98"/>
      <c r="BE750" s="98"/>
      <c r="BF750" s="98"/>
      <c r="BG750" s="98"/>
      <c r="BH750" s="98"/>
      <c r="BI750" s="98"/>
      <c r="BJ750" s="98"/>
      <c r="BK750" s="98"/>
      <c r="BL750" s="98"/>
    </row>
    <row r="751" spans="1:64" s="101" customFormat="1" ht="78.75" customHeight="1" thickBot="1">
      <c r="A751" s="229" t="s">
        <v>591</v>
      </c>
      <c r="B751" s="54">
        <v>56</v>
      </c>
      <c r="C751" s="54">
        <v>82.76</v>
      </c>
      <c r="D751" s="54">
        <v>35.299999999999997</v>
      </c>
      <c r="E751" s="54" t="s">
        <v>45</v>
      </c>
      <c r="F751" s="54" t="s">
        <v>45</v>
      </c>
      <c r="G751" s="54" t="s">
        <v>592</v>
      </c>
      <c r="H751" s="54"/>
      <c r="I751" s="54" t="s">
        <v>145</v>
      </c>
      <c r="J751" s="54" t="s">
        <v>47</v>
      </c>
      <c r="K751" s="54" t="s">
        <v>48</v>
      </c>
      <c r="L751" s="54" t="s">
        <v>48</v>
      </c>
      <c r="M751" s="55" t="s">
        <v>50</v>
      </c>
      <c r="N751" s="55" t="s">
        <v>50</v>
      </c>
      <c r="O751" s="55" t="s">
        <v>50</v>
      </c>
      <c r="P751" s="55" t="s">
        <v>51</v>
      </c>
      <c r="Q751" s="94" t="s">
        <v>91</v>
      </c>
      <c r="R751" s="56">
        <v>28</v>
      </c>
      <c r="S751" s="57">
        <v>6.62</v>
      </c>
      <c r="T751" s="102">
        <v>3.84</v>
      </c>
      <c r="U751" s="57">
        <v>28</v>
      </c>
      <c r="V751" s="56">
        <v>6.19</v>
      </c>
      <c r="W751" s="100">
        <v>3.84</v>
      </c>
      <c r="X751" s="130">
        <f t="shared" si="123"/>
        <v>-0.42999999999999972</v>
      </c>
      <c r="Y751" s="16">
        <f t="shared" si="125"/>
        <v>0.72569178817771618</v>
      </c>
      <c r="Z751" s="286" t="s">
        <v>53</v>
      </c>
      <c r="AA751" s="286" t="s">
        <v>53</v>
      </c>
      <c r="AB751" s="16">
        <v>0.72569178817771618</v>
      </c>
      <c r="AC751" s="66" t="s">
        <v>49</v>
      </c>
      <c r="AD751" s="96" t="s">
        <v>593</v>
      </c>
      <c r="AE751" s="60">
        <v>12</v>
      </c>
      <c r="AF751" s="60">
        <v>0</v>
      </c>
      <c r="AG751" s="60">
        <v>0</v>
      </c>
      <c r="AH751" s="134">
        <v>0</v>
      </c>
      <c r="AI751" s="134">
        <v>0</v>
      </c>
      <c r="AJ751" s="135">
        <f t="shared" si="124"/>
        <v>0</v>
      </c>
      <c r="AK751" s="45">
        <f t="shared" si="129"/>
        <v>0</v>
      </c>
      <c r="AL751" s="136" t="str" cm="1">
        <f t="array" ref="AL751">_xlfn.IFS(
AI751&lt;3,"Ligera",
AI751&lt;=6,"Moderada",
AI751&gt;6,"Vigorosa"
)</f>
        <v>Ligera</v>
      </c>
      <c r="AM751" s="61" t="s">
        <v>49</v>
      </c>
      <c r="AN751" s="97" t="s">
        <v>49</v>
      </c>
      <c r="AO751" s="97" t="s">
        <v>49</v>
      </c>
      <c r="AP751" s="97" t="s">
        <v>49</v>
      </c>
      <c r="AQ751" s="230">
        <v>0</v>
      </c>
      <c r="AR751" s="98"/>
      <c r="AS751" s="103" t="s">
        <v>595</v>
      </c>
      <c r="AT751" s="98"/>
      <c r="AU751" s="98"/>
      <c r="AV751" s="98"/>
      <c r="AW751" s="98"/>
      <c r="AX751" s="98"/>
      <c r="AY751" s="98"/>
      <c r="AZ751" s="98"/>
      <c r="BA751" s="98"/>
      <c r="BB751" s="98"/>
      <c r="BC751" s="98"/>
      <c r="BD751" s="98"/>
      <c r="BE751" s="98"/>
      <c r="BF751" s="98"/>
      <c r="BG751" s="98"/>
      <c r="BH751" s="98"/>
      <c r="BI751" s="98"/>
      <c r="BJ751" s="98"/>
      <c r="BK751" s="98"/>
      <c r="BL751" s="98"/>
    </row>
    <row r="752" spans="1:64" s="101" customFormat="1" ht="78.75" customHeight="1" thickBot="1">
      <c r="A752" s="229" t="s">
        <v>591</v>
      </c>
      <c r="B752" s="54">
        <v>56</v>
      </c>
      <c r="C752" s="54">
        <v>82.93</v>
      </c>
      <c r="D752" s="54">
        <v>31</v>
      </c>
      <c r="E752" s="54" t="s">
        <v>45</v>
      </c>
      <c r="F752" s="54" t="s">
        <v>45</v>
      </c>
      <c r="G752" s="54" t="s">
        <v>592</v>
      </c>
      <c r="H752" s="54"/>
      <c r="I752" s="54" t="s">
        <v>145</v>
      </c>
      <c r="J752" s="54" t="s">
        <v>47</v>
      </c>
      <c r="K752" s="54" t="s">
        <v>48</v>
      </c>
      <c r="L752" s="54" t="s">
        <v>48</v>
      </c>
      <c r="M752" s="55" t="s">
        <v>56</v>
      </c>
      <c r="N752" s="55" t="s">
        <v>76</v>
      </c>
      <c r="O752" s="55" t="s">
        <v>100</v>
      </c>
      <c r="P752" s="55" t="s">
        <v>51</v>
      </c>
      <c r="Q752" s="94" t="s">
        <v>91</v>
      </c>
      <c r="R752" s="56">
        <v>28</v>
      </c>
      <c r="S752" s="57">
        <v>5.91</v>
      </c>
      <c r="T752" s="102">
        <v>3.86</v>
      </c>
      <c r="U752" s="57">
        <v>28</v>
      </c>
      <c r="V752" s="56">
        <v>7.66</v>
      </c>
      <c r="W752" s="100">
        <v>3.86</v>
      </c>
      <c r="X752" s="130">
        <f t="shared" si="123"/>
        <v>1.75</v>
      </c>
      <c r="Y752" s="16">
        <f t="shared" si="125"/>
        <v>0.72947143290780847</v>
      </c>
      <c r="Z752" s="15">
        <f t="shared" si="126"/>
        <v>2.1799999999999997</v>
      </c>
      <c r="AA752" s="16">
        <f t="shared" si="127"/>
        <v>14.8226</v>
      </c>
      <c r="AB752" s="16">
        <f t="shared" si="128"/>
        <v>1.0289592522821993</v>
      </c>
      <c r="AC752" s="66" t="s">
        <v>49</v>
      </c>
      <c r="AD752" s="96" t="s">
        <v>594</v>
      </c>
      <c r="AE752" s="60">
        <v>12</v>
      </c>
      <c r="AF752" s="60">
        <v>3</v>
      </c>
      <c r="AG752" s="239">
        <v>52.5</v>
      </c>
      <c r="AH752" s="134" t="s">
        <v>588</v>
      </c>
      <c r="AI752" s="134">
        <v>3.5</v>
      </c>
      <c r="AJ752" s="135">
        <v>244.5</v>
      </c>
      <c r="AK752" s="45">
        <f t="shared" si="129"/>
        <v>733.5</v>
      </c>
      <c r="AL752" s="136" t="str" cm="1">
        <f t="array" ref="AL752">_xlfn.IFS(
AI752&lt;3,"Ligera",
AI752&lt;=6,"Moderada",
AI752&gt;6,"Vigorosa"
)</f>
        <v>Moderada</v>
      </c>
      <c r="AM752" s="61" t="s">
        <v>48</v>
      </c>
      <c r="AN752" s="61" t="s">
        <v>60</v>
      </c>
      <c r="AO752" s="61" t="s">
        <v>61</v>
      </c>
      <c r="AP752" s="97" t="s">
        <v>173</v>
      </c>
      <c r="AQ752" s="230">
        <v>0</v>
      </c>
      <c r="AR752" s="98"/>
      <c r="AS752" s="103" t="s">
        <v>596</v>
      </c>
      <c r="AT752" s="98"/>
      <c r="AU752" s="98"/>
      <c r="AV752" s="98"/>
      <c r="AW752" s="98"/>
      <c r="AX752" s="98"/>
      <c r="AY752" s="98"/>
      <c r="AZ752" s="98"/>
      <c r="BA752" s="98"/>
      <c r="BB752" s="98"/>
      <c r="BC752" s="98"/>
      <c r="BD752" s="98"/>
      <c r="BE752" s="98"/>
      <c r="BF752" s="98"/>
      <c r="BG752" s="98"/>
      <c r="BH752" s="98"/>
      <c r="BI752" s="98"/>
      <c r="BJ752" s="98"/>
      <c r="BK752" s="98"/>
      <c r="BL752" s="98"/>
    </row>
    <row r="753" spans="1:64" s="101" customFormat="1" ht="78.75" customHeight="1" thickBot="1">
      <c r="A753" s="229" t="s">
        <v>591</v>
      </c>
      <c r="B753" s="54">
        <v>56</v>
      </c>
      <c r="C753" s="54">
        <v>82.76</v>
      </c>
      <c r="D753" s="54">
        <v>35.299999999999997</v>
      </c>
      <c r="E753" s="54" t="s">
        <v>45</v>
      </c>
      <c r="F753" s="54" t="s">
        <v>45</v>
      </c>
      <c r="G753" s="54" t="s">
        <v>592</v>
      </c>
      <c r="H753" s="54"/>
      <c r="I753" s="54" t="s">
        <v>145</v>
      </c>
      <c r="J753" s="54" t="s">
        <v>47</v>
      </c>
      <c r="K753" s="54" t="s">
        <v>48</v>
      </c>
      <c r="L753" s="54" t="s">
        <v>48</v>
      </c>
      <c r="M753" s="55" t="s">
        <v>50</v>
      </c>
      <c r="N753" s="55" t="s">
        <v>50</v>
      </c>
      <c r="O753" s="55" t="s">
        <v>50</v>
      </c>
      <c r="P753" s="55" t="s">
        <v>51</v>
      </c>
      <c r="Q753" s="94" t="s">
        <v>92</v>
      </c>
      <c r="R753" s="56">
        <v>28</v>
      </c>
      <c r="S753" s="57">
        <v>17.64</v>
      </c>
      <c r="T753" s="102">
        <v>7.51</v>
      </c>
      <c r="U753" s="57">
        <v>28</v>
      </c>
      <c r="V753" s="56">
        <v>16.420000000000002</v>
      </c>
      <c r="W753" s="100">
        <v>7.54</v>
      </c>
      <c r="X753" s="130">
        <f t="shared" si="123"/>
        <v>-1.2199999999999989</v>
      </c>
      <c r="Y753" s="16">
        <f t="shared" si="125"/>
        <v>1.4220998056194429</v>
      </c>
      <c r="Z753" s="286" t="s">
        <v>53</v>
      </c>
      <c r="AA753" s="286" t="s">
        <v>53</v>
      </c>
      <c r="AB753" s="16">
        <v>1.4220998056194429</v>
      </c>
      <c r="AC753" s="66" t="s">
        <v>49</v>
      </c>
      <c r="AD753" s="96" t="s">
        <v>593</v>
      </c>
      <c r="AE753" s="60">
        <v>12</v>
      </c>
      <c r="AF753" s="60">
        <v>0</v>
      </c>
      <c r="AG753" s="60">
        <v>0</v>
      </c>
      <c r="AH753" s="134">
        <v>0</v>
      </c>
      <c r="AI753" s="134">
        <v>0</v>
      </c>
      <c r="AJ753" s="135">
        <f t="shared" si="124"/>
        <v>0</v>
      </c>
      <c r="AK753" s="45">
        <f t="shared" si="129"/>
        <v>0</v>
      </c>
      <c r="AL753" s="136" t="str" cm="1">
        <f t="array" ref="AL753">_xlfn.IFS(
AI753&lt;3,"Ligera",
AI753&lt;=6,"Moderada",
AI753&gt;6,"Vigorosa"
)</f>
        <v>Ligera</v>
      </c>
      <c r="AM753" s="61" t="s">
        <v>49</v>
      </c>
      <c r="AN753" s="97" t="s">
        <v>49</v>
      </c>
      <c r="AO753" s="97" t="s">
        <v>49</v>
      </c>
      <c r="AP753" s="97" t="s">
        <v>49</v>
      </c>
      <c r="AQ753" s="230">
        <v>0</v>
      </c>
      <c r="AR753" s="98"/>
      <c r="AS753" s="103" t="s">
        <v>597</v>
      </c>
      <c r="AT753" s="98"/>
      <c r="AU753" s="98"/>
      <c r="AV753" s="98"/>
      <c r="AW753" s="98"/>
      <c r="AX753" s="98"/>
      <c r="AY753" s="98"/>
      <c r="AZ753" s="98"/>
      <c r="BA753" s="98"/>
      <c r="BB753" s="98"/>
      <c r="BC753" s="98"/>
      <c r="BD753" s="98"/>
      <c r="BE753" s="98"/>
      <c r="BF753" s="98"/>
      <c r="BG753" s="98"/>
      <c r="BH753" s="98"/>
      <c r="BI753" s="98"/>
      <c r="BJ753" s="98"/>
      <c r="BK753" s="98"/>
      <c r="BL753" s="98"/>
    </row>
    <row r="754" spans="1:64" s="101" customFormat="1" ht="78.75" customHeight="1" thickBot="1">
      <c r="A754" s="231" t="s">
        <v>591</v>
      </c>
      <c r="B754" s="232">
        <v>56</v>
      </c>
      <c r="C754" s="232">
        <v>82.93</v>
      </c>
      <c r="D754" s="232">
        <v>31</v>
      </c>
      <c r="E754" s="232" t="s">
        <v>45</v>
      </c>
      <c r="F754" s="232" t="s">
        <v>45</v>
      </c>
      <c r="G754" s="232" t="s">
        <v>592</v>
      </c>
      <c r="H754" s="232"/>
      <c r="I754" s="232" t="s">
        <v>145</v>
      </c>
      <c r="J754" s="232" t="s">
        <v>47</v>
      </c>
      <c r="K754" s="232" t="s">
        <v>48</v>
      </c>
      <c r="L754" s="232" t="s">
        <v>48</v>
      </c>
      <c r="M754" s="233" t="s">
        <v>56</v>
      </c>
      <c r="N754" s="233" t="s">
        <v>76</v>
      </c>
      <c r="O754" s="233" t="s">
        <v>100</v>
      </c>
      <c r="P754" s="233" t="s">
        <v>51</v>
      </c>
      <c r="Q754" s="234" t="s">
        <v>92</v>
      </c>
      <c r="R754" s="235">
        <v>28</v>
      </c>
      <c r="S754" s="236">
        <v>17.34</v>
      </c>
      <c r="T754" s="245">
        <v>7.51</v>
      </c>
      <c r="U754" s="236">
        <v>28</v>
      </c>
      <c r="V754" s="235">
        <v>18.27</v>
      </c>
      <c r="W754" s="238">
        <v>7.54</v>
      </c>
      <c r="X754" s="130">
        <f t="shared" si="123"/>
        <v>0.92999999999999972</v>
      </c>
      <c r="Y754" s="16">
        <f t="shared" si="125"/>
        <v>1.4220998056194429</v>
      </c>
      <c r="Z754" s="15">
        <f t="shared" si="126"/>
        <v>2.1499999999999986</v>
      </c>
      <c r="AA754" s="16">
        <f t="shared" si="127"/>
        <v>56.851599999999998</v>
      </c>
      <c r="AB754" s="16">
        <f t="shared" si="128"/>
        <v>2.0151497640196796</v>
      </c>
      <c r="AC754" s="66" t="s">
        <v>49</v>
      </c>
      <c r="AD754" s="188" t="s">
        <v>594</v>
      </c>
      <c r="AE754" s="239">
        <v>12</v>
      </c>
      <c r="AF754" s="239">
        <v>3</v>
      </c>
      <c r="AG754" s="239">
        <v>52.5</v>
      </c>
      <c r="AH754" s="134" t="s">
        <v>588</v>
      </c>
      <c r="AI754" s="134">
        <v>3.5</v>
      </c>
      <c r="AJ754" s="135">
        <v>244.5</v>
      </c>
      <c r="AK754" s="45">
        <f t="shared" si="129"/>
        <v>733.5</v>
      </c>
      <c r="AL754" s="136" t="str" cm="1">
        <f t="array" ref="AL754">_xlfn.IFS(
AI754&lt;3,"Ligera",
AI754&lt;=6,"Moderada",
AI754&gt;6,"Vigorosa"
)</f>
        <v>Moderada</v>
      </c>
      <c r="AM754" s="240" t="s">
        <v>48</v>
      </c>
      <c r="AN754" s="240" t="s">
        <v>60</v>
      </c>
      <c r="AO754" s="240" t="s">
        <v>61</v>
      </c>
      <c r="AP754" s="247" t="s">
        <v>173</v>
      </c>
      <c r="AQ754" s="241">
        <v>0</v>
      </c>
      <c r="AR754" s="98"/>
      <c r="AS754" s="103" t="s">
        <v>598</v>
      </c>
      <c r="AT754" s="98"/>
      <c r="AU754" s="98"/>
      <c r="AV754" s="98"/>
      <c r="AW754" s="98"/>
      <c r="AX754" s="98"/>
      <c r="AY754" s="98"/>
      <c r="AZ754" s="98"/>
      <c r="BA754" s="98"/>
      <c r="BB754" s="98"/>
      <c r="BC754" s="98"/>
      <c r="BD754" s="98"/>
      <c r="BE754" s="98"/>
      <c r="BF754" s="98"/>
      <c r="BG754" s="98"/>
      <c r="BH754" s="98"/>
      <c r="BI754" s="98"/>
      <c r="BJ754" s="98"/>
      <c r="BK754" s="98"/>
      <c r="BL754" s="98"/>
    </row>
    <row r="755" spans="1:64" s="101" customFormat="1" ht="78.75" customHeight="1" thickBot="1">
      <c r="A755" s="217" t="s">
        <v>599</v>
      </c>
      <c r="B755" s="218">
        <v>42</v>
      </c>
      <c r="C755" s="218">
        <v>78.900000000000006</v>
      </c>
      <c r="D755" s="218">
        <v>35</v>
      </c>
      <c r="E755" s="218" t="s">
        <v>45</v>
      </c>
      <c r="F755" s="218" t="s">
        <v>45</v>
      </c>
      <c r="G755" s="218" t="s">
        <v>600</v>
      </c>
      <c r="H755" s="218"/>
      <c r="I755" s="218" t="s">
        <v>45</v>
      </c>
      <c r="J755" s="218" t="s">
        <v>47</v>
      </c>
      <c r="K755" s="218" t="s">
        <v>49</v>
      </c>
      <c r="L755" s="218" t="s">
        <v>48</v>
      </c>
      <c r="M755" s="219" t="s">
        <v>50</v>
      </c>
      <c r="N755" s="219" t="s">
        <v>50</v>
      </c>
      <c r="O755" s="219" t="s">
        <v>50</v>
      </c>
      <c r="P755" s="219" t="s">
        <v>86</v>
      </c>
      <c r="Q755" s="220" t="s">
        <v>156</v>
      </c>
      <c r="R755" s="221">
        <v>20</v>
      </c>
      <c r="S755" s="222">
        <v>10.3</v>
      </c>
      <c r="T755" s="223">
        <v>3.5</v>
      </c>
      <c r="U755" s="222">
        <v>20</v>
      </c>
      <c r="V755" s="222">
        <v>10.3</v>
      </c>
      <c r="W755" s="223">
        <v>3.5</v>
      </c>
      <c r="X755" s="130">
        <f t="shared" si="123"/>
        <v>0</v>
      </c>
      <c r="Y755" s="16">
        <f t="shared" si="125"/>
        <v>0.78262379212492639</v>
      </c>
      <c r="Z755" s="286" t="s">
        <v>53</v>
      </c>
      <c r="AA755" s="286" t="s">
        <v>53</v>
      </c>
      <c r="AB755" s="16">
        <v>0.78262379212492639</v>
      </c>
      <c r="AC755" s="66" t="s">
        <v>49</v>
      </c>
      <c r="AD755" s="224" t="s">
        <v>601</v>
      </c>
      <c r="AE755" s="225">
        <v>6</v>
      </c>
      <c r="AF755" s="225">
        <v>0</v>
      </c>
      <c r="AG755" s="225">
        <v>0</v>
      </c>
      <c r="AH755" s="134">
        <v>0</v>
      </c>
      <c r="AI755" s="134">
        <v>0</v>
      </c>
      <c r="AJ755" s="135">
        <f t="shared" si="124"/>
        <v>0</v>
      </c>
      <c r="AK755" s="45">
        <f t="shared" si="129"/>
        <v>0</v>
      </c>
      <c r="AL755" s="136" t="str" cm="1">
        <f t="array" ref="AL755">_xlfn.IFS(
AI755&lt;3,"Ligera",
AI755&lt;=6,"Moderada",
AI755&gt;6,"Vigorosa"
)</f>
        <v>Ligera</v>
      </c>
      <c r="AM755" s="226" t="s">
        <v>49</v>
      </c>
      <c r="AN755" s="227" t="s">
        <v>49</v>
      </c>
      <c r="AO755" s="227" t="s">
        <v>49</v>
      </c>
      <c r="AP755" s="227" t="s">
        <v>49</v>
      </c>
      <c r="AQ755" s="228">
        <v>0</v>
      </c>
      <c r="AR755" s="98"/>
      <c r="AS755" s="98"/>
      <c r="AT755" s="98"/>
      <c r="AU755" s="98"/>
      <c r="AV755" s="98"/>
      <c r="AW755" s="98"/>
      <c r="AX755" s="98"/>
      <c r="AY755" s="98"/>
      <c r="AZ755" s="98"/>
      <c r="BA755" s="98"/>
      <c r="BB755" s="98"/>
      <c r="BC755" s="98"/>
      <c r="BD755" s="98"/>
      <c r="BE755" s="98"/>
      <c r="BF755" s="98"/>
      <c r="BG755" s="98"/>
      <c r="BH755" s="98"/>
      <c r="BI755" s="98"/>
      <c r="BJ755" s="98"/>
      <c r="BK755" s="98"/>
      <c r="BL755" s="98"/>
    </row>
    <row r="756" spans="1:64" s="101" customFormat="1" ht="78.75" customHeight="1" thickBot="1">
      <c r="A756" s="229" t="s">
        <v>599</v>
      </c>
      <c r="B756" s="54">
        <v>42</v>
      </c>
      <c r="C756" s="54">
        <v>84.5</v>
      </c>
      <c r="D756" s="54">
        <v>19</v>
      </c>
      <c r="E756" s="54" t="s">
        <v>45</v>
      </c>
      <c r="F756" s="54" t="s">
        <v>45</v>
      </c>
      <c r="G756" s="54" t="s">
        <v>600</v>
      </c>
      <c r="H756" s="54"/>
      <c r="I756" s="54" t="s">
        <v>45</v>
      </c>
      <c r="J756" s="54" t="s">
        <v>47</v>
      </c>
      <c r="K756" s="54" t="s">
        <v>49</v>
      </c>
      <c r="L756" s="54" t="s">
        <v>48</v>
      </c>
      <c r="M756" s="55" t="s">
        <v>56</v>
      </c>
      <c r="N756" s="55" t="s">
        <v>57</v>
      </c>
      <c r="O756" s="55" t="s">
        <v>58</v>
      </c>
      <c r="P756" s="55" t="s">
        <v>86</v>
      </c>
      <c r="Q756" s="94" t="s">
        <v>156</v>
      </c>
      <c r="R756" s="56">
        <v>22</v>
      </c>
      <c r="S756" s="57">
        <v>8.6999999999999993</v>
      </c>
      <c r="T756" s="58">
        <v>3.9</v>
      </c>
      <c r="U756" s="57">
        <v>16</v>
      </c>
      <c r="V756" s="56">
        <v>8.6</v>
      </c>
      <c r="W756" s="57">
        <v>3.6</v>
      </c>
      <c r="X756" s="130">
        <f t="shared" si="123"/>
        <v>-9.9999999999999645E-2</v>
      </c>
      <c r="Y756" s="16">
        <f t="shared" si="125"/>
        <v>0.93974730646062521</v>
      </c>
      <c r="Z756" s="15">
        <f t="shared" si="126"/>
        <v>-9.9999999999999645E-2</v>
      </c>
      <c r="AA756" s="16">
        <f t="shared" si="127"/>
        <v>12.563235294117646</v>
      </c>
      <c r="AB756" s="16">
        <f t="shared" si="128"/>
        <v>1.1888498519948747</v>
      </c>
      <c r="AC756" s="66" t="s">
        <v>49</v>
      </c>
      <c r="AD756" s="96" t="s">
        <v>602</v>
      </c>
      <c r="AE756" s="60">
        <v>6</v>
      </c>
      <c r="AF756" s="60">
        <v>3</v>
      </c>
      <c r="AG756" s="60">
        <v>10</v>
      </c>
      <c r="AH756" s="13">
        <v>205160</v>
      </c>
      <c r="AI756" s="13">
        <v>3</v>
      </c>
      <c r="AJ756" s="135">
        <f t="shared" si="124"/>
        <v>30</v>
      </c>
      <c r="AK756" s="45">
        <f t="shared" si="129"/>
        <v>90</v>
      </c>
      <c r="AL756" s="136" t="str" cm="1">
        <f t="array" ref="AL756">_xlfn.IFS(
AI756&lt;3,"Ligera",
AI756&lt;=6,"Moderada",
AI756&gt;6,"Vigorosa"
)</f>
        <v>Moderada</v>
      </c>
      <c r="AM756" s="61" t="s">
        <v>48</v>
      </c>
      <c r="AN756" s="61" t="s">
        <v>60</v>
      </c>
      <c r="AO756" s="61" t="s">
        <v>61</v>
      </c>
      <c r="AP756" s="97" t="s">
        <v>62</v>
      </c>
      <c r="AQ756" s="230">
        <v>0</v>
      </c>
      <c r="AR756" s="98"/>
      <c r="AS756" s="98"/>
      <c r="AT756" s="98"/>
      <c r="AU756" s="98"/>
      <c r="AV756" s="98"/>
      <c r="AW756" s="98"/>
      <c r="AX756" s="98"/>
      <c r="AY756" s="98"/>
      <c r="AZ756" s="98"/>
      <c r="BA756" s="98"/>
      <c r="BB756" s="98"/>
      <c r="BC756" s="98"/>
      <c r="BD756" s="98"/>
      <c r="BE756" s="98"/>
      <c r="BF756" s="98"/>
      <c r="BG756" s="98"/>
      <c r="BH756" s="98"/>
      <c r="BI756" s="98"/>
      <c r="BJ756" s="98"/>
      <c r="BK756" s="98"/>
      <c r="BL756" s="98"/>
    </row>
    <row r="757" spans="1:64" s="101" customFormat="1" ht="78.75" customHeight="1" thickBot="1">
      <c r="A757" s="229" t="s">
        <v>599</v>
      </c>
      <c r="B757" s="54">
        <v>42</v>
      </c>
      <c r="C757" s="54">
        <v>78.900000000000006</v>
      </c>
      <c r="D757" s="54">
        <v>35</v>
      </c>
      <c r="E757" s="54" t="s">
        <v>45</v>
      </c>
      <c r="F757" s="54" t="s">
        <v>45</v>
      </c>
      <c r="G757" s="54" t="s">
        <v>600</v>
      </c>
      <c r="H757" s="54"/>
      <c r="I757" s="54" t="s">
        <v>45</v>
      </c>
      <c r="J757" s="54" t="s">
        <v>47</v>
      </c>
      <c r="K757" s="54" t="s">
        <v>49</v>
      </c>
      <c r="L757" s="54" t="s">
        <v>48</v>
      </c>
      <c r="M757" s="55" t="s">
        <v>50</v>
      </c>
      <c r="N757" s="55" t="s">
        <v>50</v>
      </c>
      <c r="O757" s="55" t="s">
        <v>50</v>
      </c>
      <c r="P757" s="55" t="s">
        <v>86</v>
      </c>
      <c r="Q757" s="94" t="s">
        <v>157</v>
      </c>
      <c r="R757" s="56">
        <v>20</v>
      </c>
      <c r="S757" s="57">
        <v>10.3</v>
      </c>
      <c r="T757" s="58">
        <v>3.5</v>
      </c>
      <c r="U757" s="57">
        <v>20</v>
      </c>
      <c r="V757" s="57">
        <v>10.3</v>
      </c>
      <c r="W757" s="58">
        <v>3.5</v>
      </c>
      <c r="X757" s="130">
        <f t="shared" si="123"/>
        <v>0</v>
      </c>
      <c r="Y757" s="16">
        <f t="shared" si="125"/>
        <v>0.78262379212492639</v>
      </c>
      <c r="Z757" s="286" t="s">
        <v>53</v>
      </c>
      <c r="AA757" s="286" t="s">
        <v>53</v>
      </c>
      <c r="AB757" s="16">
        <v>0.78262379212492639</v>
      </c>
      <c r="AC757" s="66" t="s">
        <v>49</v>
      </c>
      <c r="AD757" s="96" t="s">
        <v>601</v>
      </c>
      <c r="AE757" s="60">
        <v>6</v>
      </c>
      <c r="AF757" s="60">
        <v>0</v>
      </c>
      <c r="AG757" s="60">
        <v>0</v>
      </c>
      <c r="AH757" s="134">
        <v>0</v>
      </c>
      <c r="AI757" s="134">
        <v>0</v>
      </c>
      <c r="AJ757" s="135">
        <f t="shared" si="124"/>
        <v>0</v>
      </c>
      <c r="AK757" s="45">
        <f t="shared" si="129"/>
        <v>0</v>
      </c>
      <c r="AL757" s="136" t="str" cm="1">
        <f t="array" ref="AL757">_xlfn.IFS(
AI757&lt;3,"Ligera",
AI757&lt;=6,"Moderada",
AI757&gt;6,"Vigorosa"
)</f>
        <v>Ligera</v>
      </c>
      <c r="AM757" s="61" t="s">
        <v>49</v>
      </c>
      <c r="AN757" s="97" t="s">
        <v>49</v>
      </c>
      <c r="AO757" s="97" t="s">
        <v>49</v>
      </c>
      <c r="AP757" s="97" t="s">
        <v>49</v>
      </c>
      <c r="AQ757" s="230">
        <v>0</v>
      </c>
      <c r="AR757" s="98"/>
      <c r="AS757" s="98"/>
      <c r="AT757" s="98"/>
      <c r="AU757" s="98"/>
      <c r="AV757" s="98"/>
      <c r="AW757" s="98"/>
      <c r="AX757" s="98"/>
      <c r="AY757" s="98"/>
      <c r="AZ757" s="98"/>
      <c r="BA757" s="98"/>
      <c r="BB757" s="98"/>
      <c r="BC757" s="98"/>
      <c r="BD757" s="98"/>
      <c r="BE757" s="98"/>
      <c r="BF757" s="98"/>
      <c r="BG757" s="98"/>
      <c r="BH757" s="98"/>
      <c r="BI757" s="98"/>
      <c r="BJ757" s="98"/>
      <c r="BK757" s="98"/>
      <c r="BL757" s="98"/>
    </row>
    <row r="758" spans="1:64" s="101" customFormat="1" ht="78.75" customHeight="1" thickBot="1">
      <c r="A758" s="229" t="s">
        <v>599</v>
      </c>
      <c r="B758" s="54">
        <v>42</v>
      </c>
      <c r="C758" s="54">
        <v>84.5</v>
      </c>
      <c r="D758" s="54">
        <v>19</v>
      </c>
      <c r="E758" s="54" t="s">
        <v>45</v>
      </c>
      <c r="F758" s="54" t="s">
        <v>45</v>
      </c>
      <c r="G758" s="54" t="s">
        <v>600</v>
      </c>
      <c r="H758" s="54"/>
      <c r="I758" s="54" t="s">
        <v>45</v>
      </c>
      <c r="J758" s="54" t="s">
        <v>47</v>
      </c>
      <c r="K758" s="54" t="s">
        <v>49</v>
      </c>
      <c r="L758" s="54" t="s">
        <v>48</v>
      </c>
      <c r="M758" s="55" t="s">
        <v>56</v>
      </c>
      <c r="N758" s="55" t="s">
        <v>57</v>
      </c>
      <c r="O758" s="55" t="s">
        <v>58</v>
      </c>
      <c r="P758" s="55" t="s">
        <v>86</v>
      </c>
      <c r="Q758" s="94" t="s">
        <v>157</v>
      </c>
      <c r="R758" s="56">
        <v>22</v>
      </c>
      <c r="S758" s="57">
        <v>6.1</v>
      </c>
      <c r="T758" s="58">
        <v>2.8</v>
      </c>
      <c r="U758" s="57">
        <v>16</v>
      </c>
      <c r="V758" s="56">
        <v>6.1</v>
      </c>
      <c r="W758" s="57">
        <v>2.5</v>
      </c>
      <c r="X758" s="130">
        <f t="shared" si="123"/>
        <v>0</v>
      </c>
      <c r="Y758" s="16">
        <f t="shared" si="125"/>
        <v>0.6656763477847174</v>
      </c>
      <c r="Z758" s="15">
        <f t="shared" si="126"/>
        <v>0</v>
      </c>
      <c r="AA758" s="16">
        <f t="shared" si="127"/>
        <v>9.6029411764705888</v>
      </c>
      <c r="AB758" s="16">
        <f t="shared" si="128"/>
        <v>1.0393896681961685</v>
      </c>
      <c r="AC758" s="66" t="s">
        <v>49</v>
      </c>
      <c r="AD758" s="96" t="s">
        <v>602</v>
      </c>
      <c r="AE758" s="60">
        <v>6</v>
      </c>
      <c r="AF758" s="60">
        <v>3</v>
      </c>
      <c r="AG758" s="60">
        <v>10</v>
      </c>
      <c r="AH758" s="13">
        <v>205160</v>
      </c>
      <c r="AI758" s="13">
        <v>3</v>
      </c>
      <c r="AJ758" s="135">
        <f t="shared" si="124"/>
        <v>30</v>
      </c>
      <c r="AK758" s="45">
        <f t="shared" si="129"/>
        <v>90</v>
      </c>
      <c r="AL758" s="136" t="str" cm="1">
        <f t="array" ref="AL758">_xlfn.IFS(
AI758&lt;3,"Ligera",
AI758&lt;=6,"Moderada",
AI758&gt;6,"Vigorosa"
)</f>
        <v>Moderada</v>
      </c>
      <c r="AM758" s="61" t="s">
        <v>48</v>
      </c>
      <c r="AN758" s="61" t="s">
        <v>60</v>
      </c>
      <c r="AO758" s="61" t="s">
        <v>61</v>
      </c>
      <c r="AP758" s="97" t="s">
        <v>62</v>
      </c>
      <c r="AQ758" s="230">
        <v>0</v>
      </c>
      <c r="AR758" s="98"/>
      <c r="AS758" s="98"/>
      <c r="AT758" s="98"/>
      <c r="AU758" s="98"/>
      <c r="AV758" s="98"/>
      <c r="AW758" s="98"/>
      <c r="AX758" s="98"/>
      <c r="AY758" s="98"/>
      <c r="AZ758" s="98"/>
      <c r="BA758" s="98"/>
      <c r="BB758" s="98"/>
      <c r="BC758" s="98"/>
      <c r="BD758" s="98"/>
      <c r="BE758" s="98"/>
      <c r="BF758" s="98"/>
      <c r="BG758" s="98"/>
      <c r="BH758" s="98"/>
      <c r="BI758" s="98"/>
      <c r="BJ758" s="98"/>
      <c r="BK758" s="98"/>
      <c r="BL758" s="98"/>
    </row>
    <row r="759" spans="1:64" s="101" customFormat="1" ht="78.75" customHeight="1" thickBot="1">
      <c r="A759" s="229" t="s">
        <v>599</v>
      </c>
      <c r="B759" s="54">
        <v>42</v>
      </c>
      <c r="C759" s="54">
        <v>78.900000000000006</v>
      </c>
      <c r="D759" s="54">
        <v>35</v>
      </c>
      <c r="E759" s="54" t="s">
        <v>45</v>
      </c>
      <c r="F759" s="54" t="s">
        <v>45</v>
      </c>
      <c r="G759" s="54" t="s">
        <v>600</v>
      </c>
      <c r="H759" s="54"/>
      <c r="I759" s="54" t="s">
        <v>45</v>
      </c>
      <c r="J759" s="54" t="s">
        <v>47</v>
      </c>
      <c r="K759" s="54" t="s">
        <v>49</v>
      </c>
      <c r="L759" s="54" t="s">
        <v>48</v>
      </c>
      <c r="M759" s="55" t="s">
        <v>50</v>
      </c>
      <c r="N759" s="55" t="s">
        <v>50</v>
      </c>
      <c r="O759" s="55" t="s">
        <v>50</v>
      </c>
      <c r="P759" s="55" t="s">
        <v>86</v>
      </c>
      <c r="Q759" s="94" t="s">
        <v>158</v>
      </c>
      <c r="R759" s="56">
        <v>20</v>
      </c>
      <c r="S759" s="57">
        <v>18</v>
      </c>
      <c r="T759" s="58">
        <v>6.2</v>
      </c>
      <c r="U759" s="57">
        <v>20</v>
      </c>
      <c r="V759" s="56">
        <v>18</v>
      </c>
      <c r="W759" s="57">
        <v>6.2</v>
      </c>
      <c r="X759" s="130">
        <f t="shared" si="123"/>
        <v>0</v>
      </c>
      <c r="Y759" s="16">
        <f t="shared" si="125"/>
        <v>1.3863621460498696</v>
      </c>
      <c r="Z759" s="286" t="s">
        <v>53</v>
      </c>
      <c r="AA759" s="286" t="s">
        <v>53</v>
      </c>
      <c r="AB759" s="16">
        <v>1.3863621460498696</v>
      </c>
      <c r="AC759" s="66" t="s">
        <v>49</v>
      </c>
      <c r="AD759" s="96" t="s">
        <v>601</v>
      </c>
      <c r="AE759" s="60">
        <v>6</v>
      </c>
      <c r="AF759" s="60">
        <v>0</v>
      </c>
      <c r="AG759" s="60">
        <v>0</v>
      </c>
      <c r="AH759" s="134">
        <v>0</v>
      </c>
      <c r="AI759" s="134">
        <v>0</v>
      </c>
      <c r="AJ759" s="135">
        <f t="shared" si="124"/>
        <v>0</v>
      </c>
      <c r="AK759" s="45">
        <f t="shared" si="129"/>
        <v>0</v>
      </c>
      <c r="AL759" s="136" t="str" cm="1">
        <f t="array" ref="AL759">_xlfn.IFS(
AI759&lt;3,"Ligera",
AI759&lt;=6,"Moderada",
AI759&gt;6,"Vigorosa"
)</f>
        <v>Ligera</v>
      </c>
      <c r="AM759" s="61" t="s">
        <v>49</v>
      </c>
      <c r="AN759" s="97" t="s">
        <v>49</v>
      </c>
      <c r="AO759" s="97" t="s">
        <v>49</v>
      </c>
      <c r="AP759" s="97" t="s">
        <v>49</v>
      </c>
      <c r="AQ759" s="230">
        <v>0</v>
      </c>
      <c r="AR759" s="98"/>
      <c r="AS759" s="98"/>
      <c r="AT759" s="98"/>
      <c r="AU759" s="98"/>
      <c r="AV759" s="98"/>
      <c r="AW759" s="98"/>
      <c r="AX759" s="98"/>
      <c r="AY759" s="98"/>
      <c r="AZ759" s="98"/>
      <c r="BA759" s="98"/>
      <c r="BB759" s="98"/>
      <c r="BC759" s="98"/>
      <c r="BD759" s="98"/>
      <c r="BE759" s="98"/>
      <c r="BF759" s="98"/>
      <c r="BG759" s="98"/>
      <c r="BH759" s="98"/>
      <c r="BI759" s="98"/>
      <c r="BJ759" s="98"/>
      <c r="BK759" s="98"/>
      <c r="BL759" s="98"/>
    </row>
    <row r="760" spans="1:64" s="101" customFormat="1" ht="78.75" customHeight="1" thickBot="1">
      <c r="A760" s="229" t="s">
        <v>599</v>
      </c>
      <c r="B760" s="54">
        <v>42</v>
      </c>
      <c r="C760" s="54">
        <v>84.5</v>
      </c>
      <c r="D760" s="54">
        <v>19</v>
      </c>
      <c r="E760" s="54" t="s">
        <v>45</v>
      </c>
      <c r="F760" s="54" t="s">
        <v>45</v>
      </c>
      <c r="G760" s="54" t="s">
        <v>600</v>
      </c>
      <c r="H760" s="54"/>
      <c r="I760" s="54" t="s">
        <v>45</v>
      </c>
      <c r="J760" s="54" t="s">
        <v>47</v>
      </c>
      <c r="K760" s="54" t="s">
        <v>49</v>
      </c>
      <c r="L760" s="54" t="s">
        <v>48</v>
      </c>
      <c r="M760" s="55" t="s">
        <v>56</v>
      </c>
      <c r="N760" s="55" t="s">
        <v>57</v>
      </c>
      <c r="O760" s="55" t="s">
        <v>58</v>
      </c>
      <c r="P760" s="55" t="s">
        <v>86</v>
      </c>
      <c r="Q760" s="94" t="s">
        <v>158</v>
      </c>
      <c r="R760" s="56">
        <v>22</v>
      </c>
      <c r="S760" s="57">
        <v>14.9</v>
      </c>
      <c r="T760" s="58">
        <v>6.1</v>
      </c>
      <c r="U760" s="57">
        <v>16</v>
      </c>
      <c r="V760" s="56">
        <v>14.6</v>
      </c>
      <c r="W760" s="57">
        <v>5.2</v>
      </c>
      <c r="X760" s="130">
        <f t="shared" si="123"/>
        <v>-0.30000000000000071</v>
      </c>
      <c r="Y760" s="16">
        <f t="shared" si="125"/>
        <v>1.42587692315992</v>
      </c>
      <c r="Z760" s="15">
        <f t="shared" si="126"/>
        <v>-0.30000000000000071</v>
      </c>
      <c r="AA760" s="16">
        <f t="shared" si="127"/>
        <v>33.410588235294121</v>
      </c>
      <c r="AB760" s="16">
        <f t="shared" si="128"/>
        <v>1.9387344264933732</v>
      </c>
      <c r="AC760" s="66" t="s">
        <v>49</v>
      </c>
      <c r="AD760" s="96" t="s">
        <v>602</v>
      </c>
      <c r="AE760" s="60">
        <v>6</v>
      </c>
      <c r="AF760" s="60">
        <v>3</v>
      </c>
      <c r="AG760" s="60">
        <v>10</v>
      </c>
      <c r="AH760" s="13">
        <v>205160</v>
      </c>
      <c r="AI760" s="13">
        <v>3</v>
      </c>
      <c r="AJ760" s="135">
        <f t="shared" si="124"/>
        <v>30</v>
      </c>
      <c r="AK760" s="45">
        <f t="shared" si="129"/>
        <v>90</v>
      </c>
      <c r="AL760" s="136" t="str" cm="1">
        <f t="array" ref="AL760">_xlfn.IFS(
AI760&lt;3,"Ligera",
AI760&lt;=6,"Moderada",
AI760&gt;6,"Vigorosa"
)</f>
        <v>Moderada</v>
      </c>
      <c r="AM760" s="61" t="s">
        <v>48</v>
      </c>
      <c r="AN760" s="61" t="s">
        <v>60</v>
      </c>
      <c r="AO760" s="61" t="s">
        <v>61</v>
      </c>
      <c r="AP760" s="97" t="s">
        <v>62</v>
      </c>
      <c r="AQ760" s="230">
        <v>0</v>
      </c>
      <c r="AR760" s="98"/>
      <c r="AS760" s="98"/>
      <c r="AT760" s="98"/>
      <c r="AU760" s="98"/>
      <c r="AV760" s="98"/>
      <c r="AW760" s="98"/>
      <c r="AX760" s="98"/>
      <c r="AY760" s="98"/>
      <c r="AZ760" s="98"/>
      <c r="BA760" s="98"/>
      <c r="BB760" s="98"/>
      <c r="BC760" s="98"/>
      <c r="BD760" s="98"/>
      <c r="BE760" s="98"/>
      <c r="BF760" s="98"/>
      <c r="BG760" s="98"/>
      <c r="BH760" s="98"/>
      <c r="BI760" s="98"/>
      <c r="BJ760" s="98"/>
      <c r="BK760" s="98"/>
      <c r="BL760" s="98"/>
    </row>
    <row r="761" spans="1:64" s="101" customFormat="1" ht="78.75" customHeight="1" thickBot="1">
      <c r="A761" s="229" t="s">
        <v>599</v>
      </c>
      <c r="B761" s="54">
        <v>42</v>
      </c>
      <c r="C761" s="54">
        <v>78.900000000000006</v>
      </c>
      <c r="D761" s="54">
        <v>35</v>
      </c>
      <c r="E761" s="54" t="s">
        <v>45</v>
      </c>
      <c r="F761" s="54" t="s">
        <v>45</v>
      </c>
      <c r="G761" s="54" t="s">
        <v>600</v>
      </c>
      <c r="H761" s="54"/>
      <c r="I761" s="54" t="s">
        <v>45</v>
      </c>
      <c r="J761" s="54" t="s">
        <v>47</v>
      </c>
      <c r="K761" s="54" t="s">
        <v>49</v>
      </c>
      <c r="L761" s="54" t="s">
        <v>48</v>
      </c>
      <c r="M761" s="55" t="s">
        <v>50</v>
      </c>
      <c r="N761" s="55" t="s">
        <v>50</v>
      </c>
      <c r="O761" s="55" t="s">
        <v>50</v>
      </c>
      <c r="P761" s="55" t="s">
        <v>51</v>
      </c>
      <c r="Q761" s="94" t="s">
        <v>124</v>
      </c>
      <c r="R761" s="56">
        <v>20</v>
      </c>
      <c r="S761" s="57">
        <v>31.3</v>
      </c>
      <c r="T761" s="58">
        <v>29.9</v>
      </c>
      <c r="U761" s="57">
        <v>20</v>
      </c>
      <c r="V761" s="57">
        <v>31.3</v>
      </c>
      <c r="W761" s="58">
        <v>29.9</v>
      </c>
      <c r="X761" s="130">
        <f t="shared" si="123"/>
        <v>0</v>
      </c>
      <c r="Y761" s="16">
        <f t="shared" si="125"/>
        <v>6.6858432527243705</v>
      </c>
      <c r="Z761" s="286" t="s">
        <v>53</v>
      </c>
      <c r="AA761" s="286" t="s">
        <v>53</v>
      </c>
      <c r="AB761" s="16">
        <v>6.6858432527243705</v>
      </c>
      <c r="AC761" s="66" t="s">
        <v>48</v>
      </c>
      <c r="AD761" s="96" t="s">
        <v>601</v>
      </c>
      <c r="AE761" s="60">
        <v>6</v>
      </c>
      <c r="AF761" s="60">
        <v>0</v>
      </c>
      <c r="AG761" s="60">
        <v>0</v>
      </c>
      <c r="AH761" s="134">
        <v>0</v>
      </c>
      <c r="AI761" s="134">
        <v>0</v>
      </c>
      <c r="AJ761" s="135">
        <f t="shared" si="124"/>
        <v>0</v>
      </c>
      <c r="AK761" s="45">
        <f t="shared" si="129"/>
        <v>0</v>
      </c>
      <c r="AL761" s="136" t="str" cm="1">
        <f t="array" ref="AL761">_xlfn.IFS(
AI761&lt;3,"Ligera",
AI761&lt;=6,"Moderada",
AI761&gt;6,"Vigorosa"
)</f>
        <v>Ligera</v>
      </c>
      <c r="AM761" s="61" t="s">
        <v>49</v>
      </c>
      <c r="AN761" s="97" t="s">
        <v>49</v>
      </c>
      <c r="AO761" s="97" t="s">
        <v>49</v>
      </c>
      <c r="AP761" s="97" t="s">
        <v>49</v>
      </c>
      <c r="AQ761" s="230">
        <v>0</v>
      </c>
      <c r="AR761" s="98"/>
      <c r="AS761" s="98"/>
      <c r="AT761" s="98"/>
      <c r="AU761" s="98"/>
      <c r="AV761" s="98"/>
      <c r="AW761" s="98"/>
      <c r="AX761" s="98"/>
      <c r="AY761" s="98"/>
      <c r="AZ761" s="98"/>
      <c r="BA761" s="98"/>
      <c r="BB761" s="98"/>
      <c r="BC761" s="98"/>
      <c r="BD761" s="98"/>
      <c r="BE761" s="98"/>
      <c r="BF761" s="98"/>
      <c r="BG761" s="98"/>
      <c r="BH761" s="98"/>
      <c r="BI761" s="98"/>
      <c r="BJ761" s="98"/>
      <c r="BK761" s="98"/>
      <c r="BL761" s="98"/>
    </row>
    <row r="762" spans="1:64" s="101" customFormat="1" ht="78.75" customHeight="1" thickBot="1">
      <c r="A762" s="229" t="s">
        <v>599</v>
      </c>
      <c r="B762" s="54">
        <v>42</v>
      </c>
      <c r="C762" s="54">
        <v>84.5</v>
      </c>
      <c r="D762" s="54">
        <v>19</v>
      </c>
      <c r="E762" s="54" t="s">
        <v>45</v>
      </c>
      <c r="F762" s="54" t="s">
        <v>45</v>
      </c>
      <c r="G762" s="54" t="s">
        <v>600</v>
      </c>
      <c r="H762" s="54"/>
      <c r="I762" s="54" t="s">
        <v>45</v>
      </c>
      <c r="J762" s="54" t="s">
        <v>47</v>
      </c>
      <c r="K762" s="54" t="s">
        <v>49</v>
      </c>
      <c r="L762" s="54" t="s">
        <v>48</v>
      </c>
      <c r="M762" s="55" t="s">
        <v>56</v>
      </c>
      <c r="N762" s="55" t="s">
        <v>57</v>
      </c>
      <c r="O762" s="55" t="s">
        <v>58</v>
      </c>
      <c r="P762" s="55" t="s">
        <v>51</v>
      </c>
      <c r="Q762" s="94" t="s">
        <v>124</v>
      </c>
      <c r="R762" s="56">
        <v>22</v>
      </c>
      <c r="S762" s="57">
        <v>36.1</v>
      </c>
      <c r="T762" s="58">
        <v>16.2</v>
      </c>
      <c r="U762" s="57">
        <v>16</v>
      </c>
      <c r="V762" s="56">
        <v>36.4</v>
      </c>
      <c r="W762" s="57">
        <v>16.3</v>
      </c>
      <c r="X762" s="130">
        <f t="shared" si="123"/>
        <v>0.29999999999999716</v>
      </c>
      <c r="Y762" s="16">
        <f t="shared" si="125"/>
        <v>4.0625576918980482</v>
      </c>
      <c r="Z762" s="15">
        <f t="shared" si="126"/>
        <v>0.29999999999999716</v>
      </c>
      <c r="AA762" s="16">
        <f t="shared" si="127"/>
        <v>616.80999999999995</v>
      </c>
      <c r="AB762" s="16">
        <f t="shared" si="128"/>
        <v>8.330133552350766</v>
      </c>
      <c r="AC762" s="66" t="s">
        <v>48</v>
      </c>
      <c r="AD762" s="96" t="s">
        <v>602</v>
      </c>
      <c r="AE762" s="60">
        <v>6</v>
      </c>
      <c r="AF762" s="60">
        <v>3</v>
      </c>
      <c r="AG762" s="60">
        <v>10</v>
      </c>
      <c r="AH762" s="13">
        <v>205160</v>
      </c>
      <c r="AI762" s="13">
        <v>3</v>
      </c>
      <c r="AJ762" s="135">
        <f t="shared" si="124"/>
        <v>30</v>
      </c>
      <c r="AK762" s="45">
        <f t="shared" si="129"/>
        <v>90</v>
      </c>
      <c r="AL762" s="136" t="str" cm="1">
        <f t="array" ref="AL762">_xlfn.IFS(
AI762&lt;3,"Ligera",
AI762&lt;=6,"Moderada",
AI762&gt;6,"Vigorosa"
)</f>
        <v>Moderada</v>
      </c>
      <c r="AM762" s="61" t="s">
        <v>48</v>
      </c>
      <c r="AN762" s="61" t="s">
        <v>60</v>
      </c>
      <c r="AO762" s="61" t="s">
        <v>61</v>
      </c>
      <c r="AP762" s="97" t="s">
        <v>62</v>
      </c>
      <c r="AQ762" s="230">
        <v>0</v>
      </c>
      <c r="AR762" s="98"/>
      <c r="AS762" s="98"/>
      <c r="AT762" s="98"/>
      <c r="AU762" s="98"/>
      <c r="AV762" s="98"/>
      <c r="AW762" s="98"/>
      <c r="AX762" s="98"/>
      <c r="AY762" s="98"/>
      <c r="AZ762" s="98"/>
      <c r="BA762" s="98"/>
      <c r="BB762" s="98"/>
      <c r="BC762" s="98"/>
      <c r="BD762" s="98"/>
      <c r="BE762" s="98"/>
      <c r="BF762" s="98"/>
      <c r="BG762" s="98"/>
      <c r="BH762" s="98"/>
      <c r="BI762" s="98"/>
      <c r="BJ762" s="98"/>
      <c r="BK762" s="98"/>
      <c r="BL762" s="98"/>
    </row>
    <row r="763" spans="1:64" s="101" customFormat="1" ht="78.75" customHeight="1" thickBot="1">
      <c r="A763" s="217" t="s">
        <v>603</v>
      </c>
      <c r="B763" s="218">
        <v>70</v>
      </c>
      <c r="C763" s="218">
        <v>74</v>
      </c>
      <c r="D763" s="218">
        <v>48.6</v>
      </c>
      <c r="E763" s="218" t="s">
        <v>45</v>
      </c>
      <c r="F763" s="218" t="s">
        <v>45</v>
      </c>
      <c r="G763" s="218" t="s">
        <v>223</v>
      </c>
      <c r="H763" s="218"/>
      <c r="I763" s="218" t="s">
        <v>45</v>
      </c>
      <c r="J763" s="218" t="s">
        <v>47</v>
      </c>
      <c r="K763" s="218" t="s">
        <v>49</v>
      </c>
      <c r="L763" s="218" t="s">
        <v>49</v>
      </c>
      <c r="M763" s="219" t="s">
        <v>50</v>
      </c>
      <c r="N763" s="219" t="s">
        <v>50</v>
      </c>
      <c r="O763" s="219" t="s">
        <v>50</v>
      </c>
      <c r="P763" s="219" t="s">
        <v>94</v>
      </c>
      <c r="Q763" s="220" t="s">
        <v>119</v>
      </c>
      <c r="R763" s="221">
        <v>24</v>
      </c>
      <c r="S763" s="222">
        <v>18.100000000000001</v>
      </c>
      <c r="T763" s="223">
        <v>3.7</v>
      </c>
      <c r="U763" s="222">
        <v>24</v>
      </c>
      <c r="V763" s="221">
        <v>17.399999999999999</v>
      </c>
      <c r="W763" s="222">
        <v>3.6</v>
      </c>
      <c r="X763" s="130">
        <f t="shared" si="123"/>
        <v>-0.70000000000000284</v>
      </c>
      <c r="Y763" s="16">
        <f t="shared" si="125"/>
        <v>0.7452628171770459</v>
      </c>
      <c r="Z763" s="286" t="s">
        <v>53</v>
      </c>
      <c r="AA763" s="286" t="s">
        <v>53</v>
      </c>
      <c r="AB763" s="16">
        <v>0.7452628171770459</v>
      </c>
      <c r="AC763" s="66" t="s">
        <v>49</v>
      </c>
      <c r="AD763" s="224" t="s">
        <v>604</v>
      </c>
      <c r="AE763" s="225">
        <v>24</v>
      </c>
      <c r="AF763" s="225">
        <v>0</v>
      </c>
      <c r="AG763" s="225">
        <v>0</v>
      </c>
      <c r="AH763" s="134">
        <v>0</v>
      </c>
      <c r="AI763" s="134">
        <v>0</v>
      </c>
      <c r="AJ763" s="135">
        <f t="shared" si="124"/>
        <v>0</v>
      </c>
      <c r="AK763" s="45">
        <f t="shared" si="129"/>
        <v>0</v>
      </c>
      <c r="AL763" s="136" t="str" cm="1">
        <f t="array" ref="AL763">_xlfn.IFS(
AI763&lt;3,"Ligera",
AI763&lt;=6,"Moderada",
AI763&gt;6,"Vigorosa"
)</f>
        <v>Ligera</v>
      </c>
      <c r="AM763" s="226" t="s">
        <v>49</v>
      </c>
      <c r="AN763" s="227" t="s">
        <v>49</v>
      </c>
      <c r="AO763" s="227" t="s">
        <v>49</v>
      </c>
      <c r="AP763" s="227" t="s">
        <v>49</v>
      </c>
      <c r="AQ763" s="228">
        <v>0</v>
      </c>
      <c r="AR763" s="98"/>
      <c r="AS763" s="98"/>
      <c r="AT763" s="98"/>
      <c r="AU763" s="98"/>
      <c r="AV763" s="98"/>
      <c r="AW763" s="98"/>
      <c r="AX763" s="98"/>
      <c r="AY763" s="98"/>
      <c r="AZ763" s="98"/>
      <c r="BA763" s="98"/>
      <c r="BB763" s="98"/>
      <c r="BC763" s="98"/>
      <c r="BD763" s="98"/>
      <c r="BE763" s="98"/>
      <c r="BF763" s="98"/>
      <c r="BG763" s="98"/>
      <c r="BH763" s="98"/>
      <c r="BI763" s="98"/>
      <c r="BJ763" s="98"/>
      <c r="BK763" s="98"/>
      <c r="BL763" s="98"/>
    </row>
    <row r="764" spans="1:64" s="101" customFormat="1" ht="78.75" customHeight="1" thickBot="1">
      <c r="A764" s="231" t="s">
        <v>603</v>
      </c>
      <c r="B764" s="232">
        <v>70</v>
      </c>
      <c r="C764" s="232">
        <v>74</v>
      </c>
      <c r="D764" s="232">
        <v>45.7</v>
      </c>
      <c r="E764" s="232" t="s">
        <v>45</v>
      </c>
      <c r="F764" s="232" t="s">
        <v>45</v>
      </c>
      <c r="G764" s="232" t="s">
        <v>223</v>
      </c>
      <c r="H764" s="232"/>
      <c r="I764" s="232" t="s">
        <v>45</v>
      </c>
      <c r="J764" s="232" t="s">
        <v>47</v>
      </c>
      <c r="K764" s="232" t="s">
        <v>49</v>
      </c>
      <c r="L764" s="232" t="s">
        <v>49</v>
      </c>
      <c r="M764" s="233" t="s">
        <v>50</v>
      </c>
      <c r="N764" s="233" t="s">
        <v>76</v>
      </c>
      <c r="O764" s="233" t="s">
        <v>208</v>
      </c>
      <c r="P764" s="233" t="s">
        <v>94</v>
      </c>
      <c r="Q764" s="234" t="s">
        <v>119</v>
      </c>
      <c r="R764" s="235">
        <v>26</v>
      </c>
      <c r="S764" s="236">
        <v>18.7</v>
      </c>
      <c r="T764" s="237">
        <v>3.5</v>
      </c>
      <c r="U764" s="236">
        <v>26</v>
      </c>
      <c r="V764" s="235">
        <v>20.100000000000001</v>
      </c>
      <c r="W764" s="236">
        <v>3.5</v>
      </c>
      <c r="X764" s="130">
        <f t="shared" si="123"/>
        <v>1.4000000000000021</v>
      </c>
      <c r="Y764" s="16">
        <f t="shared" si="125"/>
        <v>0.68640647298364421</v>
      </c>
      <c r="Z764" s="15">
        <f t="shared" si="126"/>
        <v>2.100000000000005</v>
      </c>
      <c r="AA764" s="16">
        <f t="shared" si="127"/>
        <v>12.590208333333335</v>
      </c>
      <c r="AB764" s="16">
        <f t="shared" si="128"/>
        <v>1.0044056929050984</v>
      </c>
      <c r="AC764" s="66" t="s">
        <v>49</v>
      </c>
      <c r="AD764" s="188" t="s">
        <v>605</v>
      </c>
      <c r="AE764" s="239">
        <v>24</v>
      </c>
      <c r="AF764" s="239">
        <v>3</v>
      </c>
      <c r="AG764" s="239">
        <v>25</v>
      </c>
      <c r="AH764" s="134"/>
      <c r="AI764" s="134"/>
      <c r="AJ764" s="135">
        <f t="shared" si="124"/>
        <v>0</v>
      </c>
      <c r="AK764" s="45">
        <f t="shared" si="129"/>
        <v>0</v>
      </c>
      <c r="AL764" s="136" t="str" cm="1">
        <f t="array" ref="AL764">_xlfn.IFS(
AI764&lt;3,"Ligera",
AI764&lt;=6,"Moderada",
AI764&gt;6,"Vigorosa"
)</f>
        <v>Ligera</v>
      </c>
      <c r="AM764" s="240" t="s">
        <v>48</v>
      </c>
      <c r="AN764" s="240" t="s">
        <v>60</v>
      </c>
      <c r="AO764" s="240" t="s">
        <v>61</v>
      </c>
      <c r="AP764" s="247" t="s">
        <v>155</v>
      </c>
      <c r="AQ764" s="241">
        <v>0</v>
      </c>
      <c r="AR764" s="98"/>
      <c r="AS764" s="98"/>
      <c r="AT764" s="98"/>
      <c r="AU764" s="98"/>
      <c r="AV764" s="98"/>
      <c r="AW764" s="98"/>
      <c r="AX764" s="98"/>
      <c r="AY764" s="98"/>
      <c r="AZ764" s="98"/>
      <c r="BA764" s="98"/>
      <c r="BB764" s="98"/>
      <c r="BC764" s="98"/>
      <c r="BD764" s="98"/>
      <c r="BE764" s="98"/>
      <c r="BF764" s="98"/>
      <c r="BG764" s="98"/>
      <c r="BH764" s="98"/>
      <c r="BI764" s="98"/>
      <c r="BJ764" s="98"/>
      <c r="BK764" s="98"/>
      <c r="BL764" s="98"/>
    </row>
    <row r="765" spans="1:64" s="101" customFormat="1" ht="78.75" customHeight="1" thickBot="1">
      <c r="A765" s="217" t="s">
        <v>606</v>
      </c>
      <c r="B765" s="218">
        <v>113</v>
      </c>
      <c r="C765" s="218">
        <v>82.4</v>
      </c>
      <c r="D765" s="218">
        <v>27.59</v>
      </c>
      <c r="E765" s="218" t="s">
        <v>45</v>
      </c>
      <c r="F765" s="218" t="s">
        <v>45</v>
      </c>
      <c r="G765" s="218" t="s">
        <v>244</v>
      </c>
      <c r="H765" s="218"/>
      <c r="I765" s="218" t="s">
        <v>45</v>
      </c>
      <c r="J765" s="218" t="s">
        <v>47</v>
      </c>
      <c r="K765" s="218" t="s">
        <v>49</v>
      </c>
      <c r="L765" s="218" t="s">
        <v>49</v>
      </c>
      <c r="M765" s="219" t="s">
        <v>50</v>
      </c>
      <c r="N765" s="219" t="s">
        <v>50</v>
      </c>
      <c r="O765" s="219" t="s">
        <v>50</v>
      </c>
      <c r="P765" s="219" t="s">
        <v>51</v>
      </c>
      <c r="Q765" s="220" t="s">
        <v>249</v>
      </c>
      <c r="R765" s="221">
        <v>29</v>
      </c>
      <c r="S765" s="222">
        <v>0.4</v>
      </c>
      <c r="T765" s="223">
        <v>0.21</v>
      </c>
      <c r="U765" s="221">
        <v>29</v>
      </c>
      <c r="V765" s="221">
        <v>0.38</v>
      </c>
      <c r="W765" s="222">
        <v>0.16</v>
      </c>
      <c r="X765" s="130">
        <f t="shared" si="123"/>
        <v>-2.0000000000000018E-2</v>
      </c>
      <c r="Y765" s="16">
        <f t="shared" si="125"/>
        <v>3.5282114253639855E-2</v>
      </c>
      <c r="Z765" s="286" t="s">
        <v>53</v>
      </c>
      <c r="AA765" s="286" t="s">
        <v>53</v>
      </c>
      <c r="AB765" s="16">
        <v>3.5282114253639855E-2</v>
      </c>
      <c r="AC765" s="66" t="s">
        <v>49</v>
      </c>
      <c r="AD765" s="224" t="s">
        <v>607</v>
      </c>
      <c r="AE765" s="225">
        <v>16</v>
      </c>
      <c r="AF765" s="225">
        <v>0</v>
      </c>
      <c r="AG765" s="225">
        <v>0</v>
      </c>
      <c r="AH765" s="134">
        <v>0</v>
      </c>
      <c r="AI765" s="134">
        <v>0</v>
      </c>
      <c r="AJ765" s="135">
        <f t="shared" si="124"/>
        <v>0</v>
      </c>
      <c r="AK765" s="45">
        <f t="shared" si="129"/>
        <v>0</v>
      </c>
      <c r="AL765" s="136" t="str" cm="1">
        <f t="array" ref="AL765">_xlfn.IFS(
AI765&lt;3,"Ligera",
AI765&lt;=6,"Moderada",
AI765&gt;6,"Vigorosa"
)</f>
        <v>Ligera</v>
      </c>
      <c r="AM765" s="226" t="s">
        <v>49</v>
      </c>
      <c r="AN765" s="227" t="s">
        <v>49</v>
      </c>
      <c r="AO765" s="227" t="s">
        <v>49</v>
      </c>
      <c r="AP765" s="227" t="s">
        <v>49</v>
      </c>
      <c r="AQ765" s="228">
        <v>0</v>
      </c>
      <c r="AR765" s="98"/>
      <c r="AS765" s="98"/>
      <c r="AT765" s="98"/>
      <c r="AU765" s="98"/>
      <c r="AV765" s="98"/>
      <c r="AW765" s="98"/>
      <c r="AX765" s="98"/>
      <c r="AY765" s="98"/>
      <c r="AZ765" s="98"/>
      <c r="BA765" s="98"/>
      <c r="BB765" s="98"/>
      <c r="BC765" s="98"/>
      <c r="BD765" s="98"/>
      <c r="BE765" s="98"/>
      <c r="BF765" s="98"/>
      <c r="BG765" s="98"/>
      <c r="BH765" s="98"/>
      <c r="BI765" s="98"/>
      <c r="BJ765" s="98"/>
      <c r="BK765" s="98"/>
      <c r="BL765" s="98"/>
    </row>
    <row r="766" spans="1:64" s="101" customFormat="1" ht="78.75" customHeight="1" thickBot="1">
      <c r="A766" s="231" t="s">
        <v>606</v>
      </c>
      <c r="B766" s="232">
        <v>113</v>
      </c>
      <c r="C766" s="232">
        <v>82.77</v>
      </c>
      <c r="D766" s="232">
        <v>29.33</v>
      </c>
      <c r="E766" s="232" t="s">
        <v>45</v>
      </c>
      <c r="F766" s="232" t="s">
        <v>45</v>
      </c>
      <c r="G766" s="232" t="s">
        <v>244</v>
      </c>
      <c r="H766" s="232"/>
      <c r="I766" s="232" t="s">
        <v>45</v>
      </c>
      <c r="J766" s="232" t="s">
        <v>47</v>
      </c>
      <c r="K766" s="232" t="s">
        <v>49</v>
      </c>
      <c r="L766" s="232" t="s">
        <v>49</v>
      </c>
      <c r="M766" s="233" t="s">
        <v>56</v>
      </c>
      <c r="N766" s="233" t="s">
        <v>162</v>
      </c>
      <c r="O766" s="233" t="s">
        <v>163</v>
      </c>
      <c r="P766" s="233" t="s">
        <v>51</v>
      </c>
      <c r="Q766" s="234" t="s">
        <v>249</v>
      </c>
      <c r="R766" s="235">
        <v>31</v>
      </c>
      <c r="S766" s="236">
        <v>0.42</v>
      </c>
      <c r="T766" s="237">
        <v>0.26</v>
      </c>
      <c r="U766" s="235">
        <v>31</v>
      </c>
      <c r="V766" s="235">
        <v>0.52</v>
      </c>
      <c r="W766" s="236">
        <v>0.22</v>
      </c>
      <c r="X766" s="130">
        <f t="shared" si="123"/>
        <v>0.10000000000000003</v>
      </c>
      <c r="Y766" s="16">
        <f t="shared" si="125"/>
        <v>4.3551971178677866E-2</v>
      </c>
      <c r="Z766" s="15">
        <f t="shared" si="126"/>
        <v>0.12000000000000005</v>
      </c>
      <c r="AA766" s="16">
        <f t="shared" si="127"/>
        <v>3.7393103448275865E-2</v>
      </c>
      <c r="AB766" s="16">
        <f t="shared" si="128"/>
        <v>4.9956446068331807E-2</v>
      </c>
      <c r="AC766" s="66" t="s">
        <v>49</v>
      </c>
      <c r="AD766" s="188" t="s">
        <v>608</v>
      </c>
      <c r="AE766" s="239">
        <v>16</v>
      </c>
      <c r="AF766" s="239">
        <v>5</v>
      </c>
      <c r="AG766" s="239">
        <v>25</v>
      </c>
      <c r="AH766" s="239" t="s">
        <v>609</v>
      </c>
      <c r="AI766" s="239">
        <v>3.25</v>
      </c>
      <c r="AJ766" s="135">
        <v>77.5</v>
      </c>
      <c r="AK766" s="45">
        <f t="shared" si="129"/>
        <v>387.5</v>
      </c>
      <c r="AL766" s="136" t="str" cm="1">
        <f t="array" ref="AL766">_xlfn.IFS(
AI766&lt;3,"Ligera",
AI766&lt;=6,"Moderada",
AI766&gt;6,"Vigorosa"
)</f>
        <v>Moderada</v>
      </c>
      <c r="AM766" s="240" t="s">
        <v>48</v>
      </c>
      <c r="AN766" s="240" t="s">
        <v>60</v>
      </c>
      <c r="AO766" s="240" t="s">
        <v>61</v>
      </c>
      <c r="AP766" s="247" t="s">
        <v>155</v>
      </c>
      <c r="AQ766" s="241">
        <v>0</v>
      </c>
      <c r="AR766" s="98"/>
      <c r="AS766" s="98"/>
      <c r="AT766" s="98"/>
      <c r="AU766" s="98"/>
      <c r="AV766" s="98"/>
      <c r="AW766" s="98"/>
      <c r="AX766" s="98"/>
      <c r="AY766" s="98"/>
      <c r="AZ766" s="98"/>
      <c r="BA766" s="98"/>
      <c r="BB766" s="98"/>
      <c r="BC766" s="98"/>
      <c r="BD766" s="98"/>
      <c r="BE766" s="98"/>
      <c r="BF766" s="98"/>
      <c r="BG766" s="98"/>
      <c r="BH766" s="98"/>
      <c r="BI766" s="98"/>
      <c r="BJ766" s="98"/>
      <c r="BK766" s="98"/>
      <c r="BL766" s="98"/>
    </row>
    <row r="767" spans="1:64" s="101" customFormat="1" ht="78.75" customHeight="1" thickBot="1">
      <c r="A767" s="217" t="s">
        <v>610</v>
      </c>
      <c r="B767" s="218">
        <v>48</v>
      </c>
      <c r="C767" s="218">
        <v>80.3</v>
      </c>
      <c r="D767" s="218">
        <v>45.83</v>
      </c>
      <c r="E767" s="218" t="s">
        <v>45</v>
      </c>
      <c r="F767" s="218" t="s">
        <v>45</v>
      </c>
      <c r="G767" s="218" t="s">
        <v>408</v>
      </c>
      <c r="H767" s="218"/>
      <c r="I767" s="218" t="s">
        <v>45</v>
      </c>
      <c r="J767" s="218">
        <v>3.9</v>
      </c>
      <c r="K767" s="218" t="s">
        <v>49</v>
      </c>
      <c r="L767" s="218" t="s">
        <v>48</v>
      </c>
      <c r="M767" s="219" t="s">
        <v>50</v>
      </c>
      <c r="N767" s="219" t="s">
        <v>50</v>
      </c>
      <c r="O767" s="219" t="s">
        <v>50</v>
      </c>
      <c r="P767" s="219" t="s">
        <v>51</v>
      </c>
      <c r="Q767" s="220" t="s">
        <v>124</v>
      </c>
      <c r="R767" s="221">
        <v>24</v>
      </c>
      <c r="S767" s="222">
        <v>45.3</v>
      </c>
      <c r="T767" s="223">
        <v>34.4</v>
      </c>
      <c r="U767" s="222">
        <v>24</v>
      </c>
      <c r="V767" s="221">
        <v>43.8</v>
      </c>
      <c r="W767" s="222">
        <v>31.5</v>
      </c>
      <c r="X767" s="130">
        <f t="shared" si="123"/>
        <v>-1.5</v>
      </c>
      <c r="Y767" s="16">
        <f t="shared" si="125"/>
        <v>6.7453996669335075</v>
      </c>
      <c r="Z767" s="286" t="s">
        <v>53</v>
      </c>
      <c r="AA767" s="286" t="s">
        <v>53</v>
      </c>
      <c r="AB767" s="16">
        <v>6.7453996669335075</v>
      </c>
      <c r="AC767" s="66" t="s">
        <v>48</v>
      </c>
      <c r="AD767" s="224" t="s">
        <v>611</v>
      </c>
      <c r="AE767" s="225">
        <v>8</v>
      </c>
      <c r="AF767" s="225">
        <v>0</v>
      </c>
      <c r="AG767" s="225">
        <v>0</v>
      </c>
      <c r="AH767" s="134">
        <v>0</v>
      </c>
      <c r="AI767" s="134">
        <v>0</v>
      </c>
      <c r="AJ767" s="135">
        <f t="shared" si="124"/>
        <v>0</v>
      </c>
      <c r="AK767" s="45">
        <f t="shared" si="129"/>
        <v>0</v>
      </c>
      <c r="AL767" s="136" t="str" cm="1">
        <f t="array" ref="AL767">_xlfn.IFS(
AI767&lt;3,"Ligera",
AI767&lt;=6,"Moderada",
AI767&gt;6,"Vigorosa"
)</f>
        <v>Ligera</v>
      </c>
      <c r="AM767" s="226" t="s">
        <v>49</v>
      </c>
      <c r="AN767" s="227" t="s">
        <v>49</v>
      </c>
      <c r="AO767" s="227" t="s">
        <v>49</v>
      </c>
      <c r="AP767" s="227" t="s">
        <v>49</v>
      </c>
      <c r="AQ767" s="228">
        <v>0</v>
      </c>
      <c r="AR767" s="98"/>
      <c r="AS767" s="98"/>
      <c r="AT767" s="98"/>
      <c r="AU767" s="98"/>
      <c r="AV767" s="98"/>
      <c r="AW767" s="98"/>
      <c r="AX767" s="98"/>
      <c r="AY767" s="98"/>
      <c r="AZ767" s="98"/>
      <c r="BA767" s="98"/>
      <c r="BB767" s="98"/>
      <c r="BC767" s="98"/>
      <c r="BD767" s="98"/>
      <c r="BE767" s="98"/>
      <c r="BF767" s="98"/>
      <c r="BG767" s="98"/>
      <c r="BH767" s="98"/>
      <c r="BI767" s="98"/>
      <c r="BJ767" s="98"/>
      <c r="BK767" s="98"/>
      <c r="BL767" s="98"/>
    </row>
    <row r="768" spans="1:64" s="101" customFormat="1" ht="78.75" customHeight="1" thickBot="1">
      <c r="A768" s="229" t="s">
        <v>610</v>
      </c>
      <c r="B768" s="54">
        <v>48</v>
      </c>
      <c r="C768" s="54">
        <v>82.4</v>
      </c>
      <c r="D768" s="54">
        <v>41.67</v>
      </c>
      <c r="E768" s="54" t="s">
        <v>45</v>
      </c>
      <c r="F768" s="54" t="s">
        <v>45</v>
      </c>
      <c r="G768" s="54" t="s">
        <v>408</v>
      </c>
      <c r="H768" s="54"/>
      <c r="I768" s="54" t="s">
        <v>45</v>
      </c>
      <c r="J768" s="54">
        <v>3.5</v>
      </c>
      <c r="K768" s="54" t="s">
        <v>49</v>
      </c>
      <c r="L768" s="54" t="s">
        <v>48</v>
      </c>
      <c r="M768" s="55" t="s">
        <v>56</v>
      </c>
      <c r="N768" s="55" t="s">
        <v>76</v>
      </c>
      <c r="O768" s="55" t="s">
        <v>77</v>
      </c>
      <c r="P768" s="55" t="s">
        <v>51</v>
      </c>
      <c r="Q768" s="94" t="s">
        <v>124</v>
      </c>
      <c r="R768" s="56">
        <v>24</v>
      </c>
      <c r="S768" s="57">
        <v>49.6</v>
      </c>
      <c r="T768" s="58">
        <v>30.5</v>
      </c>
      <c r="U768" s="57">
        <v>24</v>
      </c>
      <c r="V768" s="56">
        <v>47.7</v>
      </c>
      <c r="W768" s="57">
        <v>32.6</v>
      </c>
      <c r="X768" s="130">
        <f t="shared" si="123"/>
        <v>-1.8999999999999986</v>
      </c>
      <c r="Y768" s="16">
        <f t="shared" si="125"/>
        <v>6.4508074430001914</v>
      </c>
      <c r="Z768" s="15">
        <f t="shared" si="126"/>
        <v>-0.39999999999999858</v>
      </c>
      <c r="AA768" s="16">
        <f t="shared" si="127"/>
        <v>1027.5049999999999</v>
      </c>
      <c r="AB768" s="16">
        <f t="shared" si="128"/>
        <v>9.2534002759346059</v>
      </c>
      <c r="AC768" s="66" t="s">
        <v>48</v>
      </c>
      <c r="AD768" s="96" t="s">
        <v>612</v>
      </c>
      <c r="AE768" s="60">
        <v>8</v>
      </c>
      <c r="AF768" s="60">
        <v>3</v>
      </c>
      <c r="AG768" s="60">
        <v>60</v>
      </c>
      <c r="AH768" s="134">
        <v>205160</v>
      </c>
      <c r="AI768" s="134">
        <v>3</v>
      </c>
      <c r="AJ768" s="135">
        <f t="shared" si="124"/>
        <v>180</v>
      </c>
      <c r="AK768" s="45">
        <f t="shared" si="129"/>
        <v>540</v>
      </c>
      <c r="AL768" s="136" t="str" cm="1">
        <f t="array" ref="AL768">_xlfn.IFS(
AI768&lt;3,"Ligera",
AI768&lt;=6,"Moderada",
AI768&gt;6,"Vigorosa"
)</f>
        <v>Moderada</v>
      </c>
      <c r="AM768" s="61" t="s">
        <v>49</v>
      </c>
      <c r="AN768" s="61" t="s">
        <v>49</v>
      </c>
      <c r="AO768" s="61" t="s">
        <v>61</v>
      </c>
      <c r="AP768" s="97" t="s">
        <v>155</v>
      </c>
      <c r="AQ768" s="230">
        <v>0</v>
      </c>
      <c r="AR768" s="98"/>
      <c r="AS768" s="98"/>
      <c r="AT768" s="98"/>
      <c r="AU768" s="98"/>
      <c r="AV768" s="98"/>
      <c r="AW768" s="98"/>
      <c r="AX768" s="98"/>
      <c r="AY768" s="98"/>
      <c r="AZ768" s="98"/>
      <c r="BA768" s="98"/>
      <c r="BB768" s="98"/>
      <c r="BC768" s="98"/>
      <c r="BD768" s="98"/>
      <c r="BE768" s="98"/>
      <c r="BF768" s="98"/>
      <c r="BG768" s="98"/>
      <c r="BH768" s="98"/>
      <c r="BI768" s="98"/>
      <c r="BJ768" s="98"/>
      <c r="BK768" s="98"/>
      <c r="BL768" s="98"/>
    </row>
    <row r="769" spans="1:64" s="101" customFormat="1" ht="78.75" customHeight="1" thickBot="1">
      <c r="A769" s="229" t="s">
        <v>610</v>
      </c>
      <c r="B769" s="54">
        <v>48</v>
      </c>
      <c r="C769" s="54">
        <v>80.3</v>
      </c>
      <c r="D769" s="54">
        <v>45.83</v>
      </c>
      <c r="E769" s="54" t="s">
        <v>45</v>
      </c>
      <c r="F769" s="54" t="s">
        <v>45</v>
      </c>
      <c r="G769" s="54" t="s">
        <v>408</v>
      </c>
      <c r="H769" s="54"/>
      <c r="I769" s="54" t="s">
        <v>45</v>
      </c>
      <c r="J769" s="54">
        <v>3.9</v>
      </c>
      <c r="K769" s="54" t="s">
        <v>49</v>
      </c>
      <c r="L769" s="54" t="s">
        <v>48</v>
      </c>
      <c r="M769" s="55" t="s">
        <v>50</v>
      </c>
      <c r="N769" s="55" t="s">
        <v>50</v>
      </c>
      <c r="O769" s="55" t="s">
        <v>50</v>
      </c>
      <c r="P769" s="55" t="s">
        <v>51</v>
      </c>
      <c r="Q769" s="94" t="s">
        <v>149</v>
      </c>
      <c r="R769" s="56">
        <v>24</v>
      </c>
      <c r="S769" s="57">
        <v>27.1</v>
      </c>
      <c r="T769" s="58">
        <v>10.4</v>
      </c>
      <c r="U769" s="57">
        <v>24</v>
      </c>
      <c r="V769" s="56">
        <v>28.7</v>
      </c>
      <c r="W769" s="57">
        <v>12.3</v>
      </c>
      <c r="X769" s="130">
        <f t="shared" si="123"/>
        <v>1.5999999999999979</v>
      </c>
      <c r="Y769" s="16">
        <f t="shared" si="125"/>
        <v>2.3410289760416609</v>
      </c>
      <c r="Z769" s="286" t="s">
        <v>53</v>
      </c>
      <c r="AA769" s="286" t="s">
        <v>53</v>
      </c>
      <c r="AB769" s="16">
        <v>2.3410289760416609</v>
      </c>
      <c r="AC769" s="66" t="s">
        <v>48</v>
      </c>
      <c r="AD769" s="96" t="s">
        <v>611</v>
      </c>
      <c r="AE769" s="60">
        <v>8</v>
      </c>
      <c r="AF769" s="60">
        <v>0</v>
      </c>
      <c r="AG769" s="60">
        <v>0</v>
      </c>
      <c r="AH769" s="134">
        <v>0</v>
      </c>
      <c r="AI769" s="134">
        <v>0</v>
      </c>
      <c r="AJ769" s="135">
        <f t="shared" si="124"/>
        <v>0</v>
      </c>
      <c r="AK769" s="45">
        <f t="shared" si="129"/>
        <v>0</v>
      </c>
      <c r="AL769" s="136" t="str" cm="1">
        <f t="array" ref="AL769">_xlfn.IFS(
AI769&lt;3,"Ligera",
AI769&lt;=6,"Moderada",
AI769&gt;6,"Vigorosa"
)</f>
        <v>Ligera</v>
      </c>
      <c r="AM769" s="61" t="s">
        <v>49</v>
      </c>
      <c r="AN769" s="97" t="s">
        <v>49</v>
      </c>
      <c r="AO769" s="97" t="s">
        <v>49</v>
      </c>
      <c r="AP769" s="97" t="s">
        <v>49</v>
      </c>
      <c r="AQ769" s="230">
        <v>0</v>
      </c>
      <c r="AR769" s="98"/>
      <c r="AS769" s="98"/>
      <c r="AT769" s="98"/>
      <c r="AU769" s="98"/>
      <c r="AV769" s="98"/>
      <c r="AW769" s="98"/>
      <c r="AX769" s="98"/>
      <c r="AY769" s="98"/>
      <c r="AZ769" s="98"/>
      <c r="BA769" s="98"/>
      <c r="BB769" s="98"/>
      <c r="BC769" s="98"/>
      <c r="BD769" s="98"/>
      <c r="BE769" s="98"/>
      <c r="BF769" s="98"/>
      <c r="BG769" s="98"/>
      <c r="BH769" s="98"/>
      <c r="BI769" s="98"/>
      <c r="BJ769" s="98"/>
      <c r="BK769" s="98"/>
      <c r="BL769" s="98"/>
    </row>
    <row r="770" spans="1:64" s="101" customFormat="1" ht="78.75" customHeight="1" thickBot="1">
      <c r="A770" s="229" t="s">
        <v>610</v>
      </c>
      <c r="B770" s="54">
        <v>48</v>
      </c>
      <c r="C770" s="54">
        <v>82.4</v>
      </c>
      <c r="D770" s="54">
        <v>41.67</v>
      </c>
      <c r="E770" s="54" t="s">
        <v>45</v>
      </c>
      <c r="F770" s="54" t="s">
        <v>45</v>
      </c>
      <c r="G770" s="54" t="s">
        <v>408</v>
      </c>
      <c r="H770" s="54"/>
      <c r="I770" s="54" t="s">
        <v>45</v>
      </c>
      <c r="J770" s="54">
        <v>3.5</v>
      </c>
      <c r="K770" s="54" t="s">
        <v>49</v>
      </c>
      <c r="L770" s="54" t="s">
        <v>48</v>
      </c>
      <c r="M770" s="55" t="s">
        <v>56</v>
      </c>
      <c r="N770" s="55" t="s">
        <v>76</v>
      </c>
      <c r="O770" s="55" t="s">
        <v>77</v>
      </c>
      <c r="P770" s="55" t="s">
        <v>51</v>
      </c>
      <c r="Q770" s="94" t="s">
        <v>149</v>
      </c>
      <c r="R770" s="56">
        <v>24</v>
      </c>
      <c r="S770" s="57">
        <v>35.799999999999997</v>
      </c>
      <c r="T770" s="58">
        <v>16.100000000000001</v>
      </c>
      <c r="U770" s="57">
        <v>24</v>
      </c>
      <c r="V770" s="56">
        <v>29</v>
      </c>
      <c r="W770" s="57">
        <v>9.8000000000000007</v>
      </c>
      <c r="X770" s="130">
        <f t="shared" si="123"/>
        <v>-6.7999999999999972</v>
      </c>
      <c r="Y770" s="16">
        <f t="shared" si="125"/>
        <v>2.8684345324003249</v>
      </c>
      <c r="Z770" s="15">
        <f t="shared" si="126"/>
        <v>-8.399999999999995</v>
      </c>
      <c r="AA770" s="16">
        <f t="shared" si="127"/>
        <v>123.66500000000002</v>
      </c>
      <c r="AB770" s="16">
        <f t="shared" si="128"/>
        <v>3.2102050817146663</v>
      </c>
      <c r="AC770" s="66" t="s">
        <v>48</v>
      </c>
      <c r="AD770" s="96" t="s">
        <v>613</v>
      </c>
      <c r="AE770" s="60">
        <v>8</v>
      </c>
      <c r="AF770" s="60">
        <v>3</v>
      </c>
      <c r="AG770" s="60">
        <v>60</v>
      </c>
      <c r="AH770" s="134">
        <v>205160</v>
      </c>
      <c r="AI770" s="134">
        <v>3</v>
      </c>
      <c r="AJ770" s="135">
        <f t="shared" si="124"/>
        <v>180</v>
      </c>
      <c r="AK770" s="45">
        <f t="shared" si="129"/>
        <v>540</v>
      </c>
      <c r="AL770" s="136" t="str" cm="1">
        <f t="array" ref="AL770">_xlfn.IFS(
AI770&lt;3,"Ligera",
AI770&lt;=6,"Moderada",
AI770&gt;6,"Vigorosa"
)</f>
        <v>Moderada</v>
      </c>
      <c r="AM770" s="61" t="s">
        <v>49</v>
      </c>
      <c r="AN770" s="61" t="s">
        <v>49</v>
      </c>
      <c r="AO770" s="61" t="s">
        <v>61</v>
      </c>
      <c r="AP770" s="97" t="s">
        <v>155</v>
      </c>
      <c r="AQ770" s="230">
        <v>0</v>
      </c>
      <c r="AR770" s="98"/>
      <c r="AS770" s="98"/>
      <c r="AT770" s="98"/>
      <c r="AU770" s="98"/>
      <c r="AV770" s="98"/>
      <c r="AW770" s="98"/>
      <c r="AX770" s="98"/>
      <c r="AY770" s="98"/>
      <c r="AZ770" s="98"/>
      <c r="BA770" s="98"/>
      <c r="BB770" s="98"/>
      <c r="BC770" s="98"/>
      <c r="BD770" s="98"/>
      <c r="BE770" s="98"/>
      <c r="BF770" s="98"/>
      <c r="BG770" s="98"/>
      <c r="BH770" s="98"/>
      <c r="BI770" s="98"/>
      <c r="BJ770" s="98"/>
      <c r="BK770" s="98"/>
      <c r="BL770" s="98"/>
    </row>
    <row r="771" spans="1:64" s="101" customFormat="1" ht="78.75" customHeight="1" thickBot="1">
      <c r="A771" s="229" t="s">
        <v>610</v>
      </c>
      <c r="B771" s="54">
        <v>48</v>
      </c>
      <c r="C771" s="54">
        <v>80.3</v>
      </c>
      <c r="D771" s="54">
        <v>45.83</v>
      </c>
      <c r="E771" s="54" t="s">
        <v>45</v>
      </c>
      <c r="F771" s="54" t="s">
        <v>45</v>
      </c>
      <c r="G771" s="54" t="s">
        <v>408</v>
      </c>
      <c r="H771" s="54"/>
      <c r="I771" s="54" t="s">
        <v>45</v>
      </c>
      <c r="J771" s="54">
        <v>3.9</v>
      </c>
      <c r="K771" s="54" t="s">
        <v>49</v>
      </c>
      <c r="L771" s="54" t="s">
        <v>48</v>
      </c>
      <c r="M771" s="55" t="s">
        <v>50</v>
      </c>
      <c r="N771" s="55" t="s">
        <v>50</v>
      </c>
      <c r="O771" s="55" t="s">
        <v>50</v>
      </c>
      <c r="P771" s="11" t="s">
        <v>86</v>
      </c>
      <c r="Q771" s="94" t="s">
        <v>87</v>
      </c>
      <c r="R771" s="56">
        <v>24</v>
      </c>
      <c r="S771" s="57">
        <v>31</v>
      </c>
      <c r="T771" s="58">
        <v>15.5</v>
      </c>
      <c r="U771" s="57">
        <v>24</v>
      </c>
      <c r="V771" s="56">
        <v>32.1</v>
      </c>
      <c r="W771" s="57">
        <v>15.1</v>
      </c>
      <c r="X771" s="130">
        <f t="shared" si="123"/>
        <v>1.1000000000000014</v>
      </c>
      <c r="Y771" s="16">
        <f t="shared" si="125"/>
        <v>3.1238998063318233</v>
      </c>
      <c r="Z771" s="286" t="s">
        <v>53</v>
      </c>
      <c r="AA771" s="286" t="s">
        <v>53</v>
      </c>
      <c r="AB771" s="16">
        <v>3.1238998063318233</v>
      </c>
      <c r="AC771" s="66" t="s">
        <v>49</v>
      </c>
      <c r="AD771" s="96" t="s">
        <v>611</v>
      </c>
      <c r="AE771" s="60">
        <v>8</v>
      </c>
      <c r="AF771" s="60">
        <v>0</v>
      </c>
      <c r="AG771" s="60">
        <v>0</v>
      </c>
      <c r="AH771" s="134">
        <v>0</v>
      </c>
      <c r="AI771" s="134">
        <v>0</v>
      </c>
      <c r="AJ771" s="135">
        <f t="shared" si="124"/>
        <v>0</v>
      </c>
      <c r="AK771" s="45">
        <f t="shared" si="129"/>
        <v>0</v>
      </c>
      <c r="AL771" s="136" t="str" cm="1">
        <f t="array" ref="AL771">_xlfn.IFS(
AI771&lt;3,"Ligera",
AI771&lt;=6,"Moderada",
AI771&gt;6,"Vigorosa"
)</f>
        <v>Ligera</v>
      </c>
      <c r="AM771" s="61" t="s">
        <v>49</v>
      </c>
      <c r="AN771" s="97" t="s">
        <v>49</v>
      </c>
      <c r="AO771" s="97" t="s">
        <v>49</v>
      </c>
      <c r="AP771" s="97" t="s">
        <v>49</v>
      </c>
      <c r="AQ771" s="230">
        <v>0</v>
      </c>
      <c r="AR771" s="98"/>
      <c r="AS771" s="98"/>
      <c r="AT771" s="98"/>
      <c r="AU771" s="98"/>
      <c r="AV771" s="98"/>
      <c r="AW771" s="98"/>
      <c r="AX771" s="98"/>
      <c r="AY771" s="98"/>
      <c r="AZ771" s="98"/>
      <c r="BA771" s="98"/>
      <c r="BB771" s="98"/>
      <c r="BC771" s="98"/>
      <c r="BD771" s="98"/>
      <c r="BE771" s="98"/>
      <c r="BF771" s="98"/>
      <c r="BG771" s="98"/>
      <c r="BH771" s="98"/>
      <c r="BI771" s="98"/>
      <c r="BJ771" s="98"/>
      <c r="BK771" s="98"/>
      <c r="BL771" s="98"/>
    </row>
    <row r="772" spans="1:64" s="101" customFormat="1" ht="78.75" customHeight="1" thickBot="1">
      <c r="A772" s="229" t="s">
        <v>610</v>
      </c>
      <c r="B772" s="54">
        <v>48</v>
      </c>
      <c r="C772" s="54">
        <v>82.4</v>
      </c>
      <c r="D772" s="54">
        <v>41.67</v>
      </c>
      <c r="E772" s="54" t="s">
        <v>45</v>
      </c>
      <c r="F772" s="54" t="s">
        <v>45</v>
      </c>
      <c r="G772" s="54" t="s">
        <v>408</v>
      </c>
      <c r="H772" s="54"/>
      <c r="I772" s="54" t="s">
        <v>45</v>
      </c>
      <c r="J772" s="54">
        <v>3.5</v>
      </c>
      <c r="K772" s="54" t="s">
        <v>49</v>
      </c>
      <c r="L772" s="54" t="s">
        <v>48</v>
      </c>
      <c r="M772" s="55" t="s">
        <v>56</v>
      </c>
      <c r="N772" s="55" t="s">
        <v>76</v>
      </c>
      <c r="O772" s="55" t="s">
        <v>77</v>
      </c>
      <c r="P772" s="11" t="s">
        <v>86</v>
      </c>
      <c r="Q772" s="94" t="s">
        <v>87</v>
      </c>
      <c r="R772" s="56">
        <v>24</v>
      </c>
      <c r="S772" s="57">
        <v>31.7</v>
      </c>
      <c r="T772" s="58">
        <v>14.4</v>
      </c>
      <c r="U772" s="57">
        <v>24</v>
      </c>
      <c r="V772" s="56">
        <v>34.6</v>
      </c>
      <c r="W772" s="57">
        <v>12.9</v>
      </c>
      <c r="X772" s="130">
        <f t="shared" si="123"/>
        <v>2.9000000000000021</v>
      </c>
      <c r="Y772" s="16">
        <f t="shared" si="125"/>
        <v>2.7988837060513965</v>
      </c>
      <c r="Z772" s="15">
        <f t="shared" si="126"/>
        <v>1.8000000000000007</v>
      </c>
      <c r="AA772" s="16">
        <f t="shared" si="127"/>
        <v>197.21</v>
      </c>
      <c r="AB772" s="16">
        <f t="shared" si="128"/>
        <v>4.0539075799365065</v>
      </c>
      <c r="AC772" s="66" t="s">
        <v>49</v>
      </c>
      <c r="AD772" s="96" t="s">
        <v>613</v>
      </c>
      <c r="AE772" s="60">
        <v>8</v>
      </c>
      <c r="AF772" s="60">
        <v>3</v>
      </c>
      <c r="AG772" s="60">
        <v>60</v>
      </c>
      <c r="AH772" s="134">
        <v>205160</v>
      </c>
      <c r="AI772" s="134">
        <v>3</v>
      </c>
      <c r="AJ772" s="135">
        <f t="shared" si="124"/>
        <v>180</v>
      </c>
      <c r="AK772" s="45">
        <f t="shared" si="129"/>
        <v>540</v>
      </c>
      <c r="AL772" s="136" t="str" cm="1">
        <f t="array" ref="AL772">_xlfn.IFS(
AI772&lt;3,"Ligera",
AI772&lt;=6,"Moderada",
AI772&gt;6,"Vigorosa"
)</f>
        <v>Moderada</v>
      </c>
      <c r="AM772" s="61" t="s">
        <v>49</v>
      </c>
      <c r="AN772" s="61" t="s">
        <v>49</v>
      </c>
      <c r="AO772" s="61" t="s">
        <v>61</v>
      </c>
      <c r="AP772" s="97" t="s">
        <v>155</v>
      </c>
      <c r="AQ772" s="230">
        <v>0</v>
      </c>
      <c r="AR772" s="98"/>
      <c r="AS772" s="98"/>
      <c r="AT772" s="98"/>
      <c r="AU772" s="98"/>
      <c r="AV772" s="98"/>
      <c r="AW772" s="98"/>
      <c r="AX772" s="98"/>
      <c r="AY772" s="98"/>
      <c r="AZ772" s="98"/>
      <c r="BA772" s="98"/>
      <c r="BB772" s="98"/>
      <c r="BC772" s="98"/>
      <c r="BD772" s="98"/>
      <c r="BE772" s="98"/>
      <c r="BF772" s="98"/>
      <c r="BG772" s="98"/>
      <c r="BH772" s="98"/>
      <c r="BI772" s="98"/>
      <c r="BJ772" s="98"/>
      <c r="BK772" s="98"/>
      <c r="BL772" s="98"/>
    </row>
    <row r="773" spans="1:64" s="101" customFormat="1" ht="78.75" customHeight="1" thickBot="1">
      <c r="A773" s="229" t="s">
        <v>610</v>
      </c>
      <c r="B773" s="54">
        <v>48</v>
      </c>
      <c r="C773" s="54">
        <v>80.3</v>
      </c>
      <c r="D773" s="54">
        <v>45.83</v>
      </c>
      <c r="E773" s="54" t="s">
        <v>45</v>
      </c>
      <c r="F773" s="54" t="s">
        <v>45</v>
      </c>
      <c r="G773" s="54" t="s">
        <v>408</v>
      </c>
      <c r="H773" s="54"/>
      <c r="I773" s="54" t="s">
        <v>45</v>
      </c>
      <c r="J773" s="54">
        <v>3.9</v>
      </c>
      <c r="K773" s="54" t="s">
        <v>49</v>
      </c>
      <c r="L773" s="54" t="s">
        <v>48</v>
      </c>
      <c r="M773" s="55" t="s">
        <v>50</v>
      </c>
      <c r="N773" s="55" t="s">
        <v>50</v>
      </c>
      <c r="O773" s="55" t="s">
        <v>50</v>
      </c>
      <c r="P773" s="55" t="s">
        <v>51</v>
      </c>
      <c r="Q773" s="94" t="s">
        <v>82</v>
      </c>
      <c r="R773" s="56">
        <v>24</v>
      </c>
      <c r="S773" s="57">
        <v>120.4</v>
      </c>
      <c r="T773" s="58">
        <v>87.4</v>
      </c>
      <c r="U773" s="57">
        <v>24</v>
      </c>
      <c r="V773" s="56">
        <v>116.1</v>
      </c>
      <c r="W773" s="57">
        <v>92.2</v>
      </c>
      <c r="X773" s="130">
        <f t="shared" si="123"/>
        <v>-4.3000000000000114</v>
      </c>
      <c r="Y773" s="16">
        <f t="shared" si="125"/>
        <v>18.349977293355618</v>
      </c>
      <c r="Z773" s="286" t="s">
        <v>53</v>
      </c>
      <c r="AA773" s="286" t="s">
        <v>53</v>
      </c>
      <c r="AB773" s="16">
        <v>18.349977293355618</v>
      </c>
      <c r="AC773" s="66" t="s">
        <v>49</v>
      </c>
      <c r="AD773" s="96" t="s">
        <v>611</v>
      </c>
      <c r="AE773" s="60">
        <v>8</v>
      </c>
      <c r="AF773" s="60">
        <v>0</v>
      </c>
      <c r="AG773" s="60">
        <v>0</v>
      </c>
      <c r="AH773" s="134">
        <v>0</v>
      </c>
      <c r="AI773" s="134">
        <v>0</v>
      </c>
      <c r="AJ773" s="135">
        <f t="shared" si="124"/>
        <v>0</v>
      </c>
      <c r="AK773" s="45">
        <f t="shared" si="129"/>
        <v>0</v>
      </c>
      <c r="AL773" s="136" t="str" cm="1">
        <f t="array" ref="AL773">_xlfn.IFS(
AI773&lt;3,"Ligera",
AI773&lt;=6,"Moderada",
AI773&gt;6,"Vigorosa"
)</f>
        <v>Ligera</v>
      </c>
      <c r="AM773" s="61" t="s">
        <v>49</v>
      </c>
      <c r="AN773" s="97" t="s">
        <v>49</v>
      </c>
      <c r="AO773" s="97" t="s">
        <v>49</v>
      </c>
      <c r="AP773" s="97" t="s">
        <v>49</v>
      </c>
      <c r="AQ773" s="230">
        <v>0</v>
      </c>
      <c r="AR773" s="98"/>
      <c r="AS773" s="98"/>
      <c r="AT773" s="98"/>
      <c r="AU773" s="98"/>
      <c r="AV773" s="98"/>
      <c r="AW773" s="98"/>
      <c r="AX773" s="98"/>
      <c r="AY773" s="98"/>
      <c r="AZ773" s="98"/>
      <c r="BA773" s="98"/>
      <c r="BB773" s="98"/>
      <c r="BC773" s="98"/>
      <c r="BD773" s="98"/>
      <c r="BE773" s="98"/>
      <c r="BF773" s="98"/>
      <c r="BG773" s="98"/>
      <c r="BH773" s="98"/>
      <c r="BI773" s="98"/>
      <c r="BJ773" s="98"/>
      <c r="BK773" s="98"/>
      <c r="BL773" s="98"/>
    </row>
    <row r="774" spans="1:64" s="101" customFormat="1" ht="78.75" customHeight="1" thickBot="1">
      <c r="A774" s="231" t="s">
        <v>610</v>
      </c>
      <c r="B774" s="232">
        <v>48</v>
      </c>
      <c r="C774" s="232">
        <v>82.4</v>
      </c>
      <c r="D774" s="232">
        <v>41.67</v>
      </c>
      <c r="E774" s="232" t="s">
        <v>45</v>
      </c>
      <c r="F774" s="232" t="s">
        <v>45</v>
      </c>
      <c r="G774" s="232" t="s">
        <v>408</v>
      </c>
      <c r="H774" s="232"/>
      <c r="I774" s="232" t="s">
        <v>45</v>
      </c>
      <c r="J774" s="232">
        <v>3.5</v>
      </c>
      <c r="K774" s="232" t="s">
        <v>49</v>
      </c>
      <c r="L774" s="232" t="s">
        <v>48</v>
      </c>
      <c r="M774" s="233" t="s">
        <v>56</v>
      </c>
      <c r="N774" s="233" t="s">
        <v>76</v>
      </c>
      <c r="O774" s="233" t="s">
        <v>77</v>
      </c>
      <c r="P774" s="233" t="s">
        <v>51</v>
      </c>
      <c r="Q774" s="234" t="s">
        <v>82</v>
      </c>
      <c r="R774" s="235">
        <v>24</v>
      </c>
      <c r="S774" s="236">
        <v>127.8</v>
      </c>
      <c r="T774" s="237">
        <v>104.1</v>
      </c>
      <c r="U774" s="236">
        <v>24</v>
      </c>
      <c r="V774" s="235">
        <v>128.6</v>
      </c>
      <c r="W774" s="236">
        <v>101.9</v>
      </c>
      <c r="X774" s="130">
        <f t="shared" si="123"/>
        <v>0.79999999999999716</v>
      </c>
      <c r="Y774" s="16">
        <f t="shared" si="125"/>
        <v>21.028383596146107</v>
      </c>
      <c r="Z774" s="15">
        <f t="shared" si="126"/>
        <v>5.1000000000000085</v>
      </c>
      <c r="AA774" s="16">
        <f t="shared" si="127"/>
        <v>9442.2250000000004</v>
      </c>
      <c r="AB774" s="16">
        <f t="shared" si="128"/>
        <v>28.050883824459675</v>
      </c>
      <c r="AC774" s="66" t="s">
        <v>49</v>
      </c>
      <c r="AD774" s="188" t="s">
        <v>613</v>
      </c>
      <c r="AE774" s="239">
        <v>8</v>
      </c>
      <c r="AF774" s="239">
        <v>3</v>
      </c>
      <c r="AG774" s="239">
        <v>60</v>
      </c>
      <c r="AH774" s="134">
        <v>205160</v>
      </c>
      <c r="AI774" s="134">
        <v>3</v>
      </c>
      <c r="AJ774" s="135">
        <f t="shared" si="124"/>
        <v>180</v>
      </c>
      <c r="AK774" s="45">
        <f t="shared" si="129"/>
        <v>540</v>
      </c>
      <c r="AL774" s="136" t="str" cm="1">
        <f t="array" ref="AL774">_xlfn.IFS(
AI774&lt;3,"Ligera",
AI774&lt;=6,"Moderada",
AI774&gt;6,"Vigorosa"
)</f>
        <v>Moderada</v>
      </c>
      <c r="AM774" s="240" t="s">
        <v>49</v>
      </c>
      <c r="AN774" s="240" t="s">
        <v>49</v>
      </c>
      <c r="AO774" s="240" t="s">
        <v>61</v>
      </c>
      <c r="AP774" s="247" t="s">
        <v>155</v>
      </c>
      <c r="AQ774" s="241">
        <v>0</v>
      </c>
      <c r="AR774" s="98"/>
      <c r="AS774" s="98"/>
      <c r="AT774" s="98"/>
      <c r="AU774" s="98"/>
      <c r="AV774" s="98"/>
      <c r="AW774" s="98"/>
      <c r="AX774" s="98"/>
      <c r="AY774" s="98"/>
      <c r="AZ774" s="98"/>
      <c r="BA774" s="98"/>
      <c r="BB774" s="98"/>
      <c r="BC774" s="98"/>
      <c r="BD774" s="98"/>
      <c r="BE774" s="98"/>
      <c r="BF774" s="98"/>
      <c r="BG774" s="98"/>
      <c r="BH774" s="98"/>
      <c r="BI774" s="98"/>
      <c r="BJ774" s="98"/>
      <c r="BK774" s="98"/>
      <c r="BL774" s="98"/>
    </row>
    <row r="775" spans="1:64" s="101" customFormat="1" ht="78.75" customHeight="1" thickBot="1">
      <c r="A775" s="217" t="s">
        <v>615</v>
      </c>
      <c r="B775" s="218">
        <v>40</v>
      </c>
      <c r="C775" s="218">
        <v>82.89</v>
      </c>
      <c r="D775" s="218" t="s">
        <v>47</v>
      </c>
      <c r="E775" s="218" t="s">
        <v>45</v>
      </c>
      <c r="F775" s="218" t="s">
        <v>45</v>
      </c>
      <c r="G775" s="218" t="s">
        <v>361</v>
      </c>
      <c r="H775" s="218"/>
      <c r="I775" s="218" t="s">
        <v>45</v>
      </c>
      <c r="J775" s="218" t="s">
        <v>47</v>
      </c>
      <c r="K775" s="218" t="s">
        <v>49</v>
      </c>
      <c r="L775" s="218" t="s">
        <v>49</v>
      </c>
      <c r="M775" s="219" t="s">
        <v>56</v>
      </c>
      <c r="N775" s="219" t="s">
        <v>57</v>
      </c>
      <c r="O775" s="219" t="s">
        <v>126</v>
      </c>
      <c r="P775" s="219" t="s">
        <v>51</v>
      </c>
      <c r="Q775" s="220" t="s">
        <v>210</v>
      </c>
      <c r="R775" s="221">
        <v>22</v>
      </c>
      <c r="S775" s="242">
        <v>0.77</v>
      </c>
      <c r="T775" s="243">
        <v>0.04</v>
      </c>
      <c r="U775" s="222">
        <v>22</v>
      </c>
      <c r="V775" s="244">
        <v>1.1000000000000001</v>
      </c>
      <c r="W775" s="242">
        <v>0.05</v>
      </c>
      <c r="X775" s="130">
        <f t="shared" ref="X775:X802" si="130">V775-S775</f>
        <v>0.33000000000000007</v>
      </c>
      <c r="Y775" s="16">
        <f t="shared" ref="Y775:Y802" si="131">SQRT((T775^2+W775^2-(2*0.5*T775*W775)))/SQRT(U775)</f>
        <v>9.7700842091839445E-3</v>
      </c>
      <c r="Z775" s="286" t="s">
        <v>53</v>
      </c>
      <c r="AA775" s="286" t="s">
        <v>53</v>
      </c>
      <c r="AB775" s="16">
        <v>9.7700842091839445E-3</v>
      </c>
      <c r="AC775" s="66" t="s">
        <v>49</v>
      </c>
      <c r="AD775" s="224" t="s">
        <v>616</v>
      </c>
      <c r="AE775" s="225">
        <v>12</v>
      </c>
      <c r="AF775" s="225">
        <v>3</v>
      </c>
      <c r="AG775" s="225">
        <v>37.5</v>
      </c>
      <c r="AH775" s="225">
        <v>2054460</v>
      </c>
      <c r="AI775" s="225">
        <v>4.3</v>
      </c>
      <c r="AJ775" s="135">
        <f t="shared" ref="AJ775:AJ808" si="132">AI775*AG775</f>
        <v>161.25</v>
      </c>
      <c r="AK775" s="45">
        <f t="shared" si="129"/>
        <v>483.75</v>
      </c>
      <c r="AL775" s="136" t="str" cm="1">
        <f t="array" ref="AL775">_xlfn.IFS(
AI775&lt;3,"Ligera",
AI775&lt;=6,"Moderada",
AI775&gt;6,"Vigorosa"
)</f>
        <v>Moderada</v>
      </c>
      <c r="AM775" s="226" t="s">
        <v>48</v>
      </c>
      <c r="AN775" s="226" t="s">
        <v>60</v>
      </c>
      <c r="AO775" s="226" t="s">
        <v>61</v>
      </c>
      <c r="AP775" s="227" t="s">
        <v>62</v>
      </c>
      <c r="AQ775" s="228">
        <v>0</v>
      </c>
      <c r="AR775" s="98"/>
      <c r="AS775" s="102" t="s">
        <v>617</v>
      </c>
      <c r="AT775" s="98"/>
      <c r="AU775" s="98"/>
      <c r="AV775" s="98"/>
      <c r="AW775" s="98"/>
      <c r="AX775" s="98"/>
      <c r="AY775" s="98"/>
      <c r="AZ775" s="98"/>
      <c r="BA775" s="98"/>
      <c r="BB775" s="98"/>
      <c r="BC775" s="98"/>
      <c r="BD775" s="98"/>
      <c r="BE775" s="98"/>
      <c r="BF775" s="98"/>
      <c r="BG775" s="98"/>
      <c r="BH775" s="98"/>
      <c r="BI775" s="98"/>
      <c r="BJ775" s="98"/>
      <c r="BK775" s="98"/>
      <c r="BL775" s="98"/>
    </row>
    <row r="776" spans="1:64" s="101" customFormat="1" ht="78.75" customHeight="1" thickBot="1">
      <c r="A776" s="231" t="s">
        <v>615</v>
      </c>
      <c r="B776" s="232">
        <v>40</v>
      </c>
      <c r="C776" s="232">
        <v>80.41</v>
      </c>
      <c r="D776" s="232" t="s">
        <v>47</v>
      </c>
      <c r="E776" s="232" t="s">
        <v>45</v>
      </c>
      <c r="F776" s="232" t="s">
        <v>45</v>
      </c>
      <c r="G776" s="232" t="s">
        <v>361</v>
      </c>
      <c r="H776" s="232"/>
      <c r="I776" s="232" t="s">
        <v>45</v>
      </c>
      <c r="J776" s="232" t="s">
        <v>47</v>
      </c>
      <c r="K776" s="232" t="s">
        <v>49</v>
      </c>
      <c r="L776" s="232" t="s">
        <v>49</v>
      </c>
      <c r="M776" s="233" t="s">
        <v>56</v>
      </c>
      <c r="N776" s="233" t="s">
        <v>57</v>
      </c>
      <c r="O776" s="233" t="s">
        <v>126</v>
      </c>
      <c r="P776" s="233" t="s">
        <v>51</v>
      </c>
      <c r="Q776" s="234" t="s">
        <v>210</v>
      </c>
      <c r="R776" s="235">
        <v>18</v>
      </c>
      <c r="S776" s="238">
        <v>0.76</v>
      </c>
      <c r="T776" s="245">
        <v>0.04</v>
      </c>
      <c r="U776" s="236">
        <v>18</v>
      </c>
      <c r="V776" s="246">
        <v>1.26</v>
      </c>
      <c r="W776" s="238">
        <v>7.0000000000000007E-2</v>
      </c>
      <c r="X776" s="130">
        <f t="shared" si="130"/>
        <v>0.5</v>
      </c>
      <c r="Y776" s="16">
        <f t="shared" si="131"/>
        <v>1.433720877840438E-2</v>
      </c>
      <c r="Z776" s="15">
        <f t="shared" ref="Z776:Z801" si="133">X776-X775</f>
        <v>0.16999999999999993</v>
      </c>
      <c r="AA776" s="16">
        <f t="shared" ref="AA776:AA801" si="134">((U776-1)*W776^2+(U775-1)*W775^2)/((U776-1)+(U775-1))</f>
        <v>3.5736842105263166E-3</v>
      </c>
      <c r="AB776" s="16">
        <f t="shared" ref="AB776:AB801" si="135">SQRT(AA776*((1/U776)+(1/U775)))</f>
        <v>1.8999426388274628E-2</v>
      </c>
      <c r="AC776" s="66" t="s">
        <v>49</v>
      </c>
      <c r="AD776" s="188" t="s">
        <v>618</v>
      </c>
      <c r="AE776" s="239">
        <v>12</v>
      </c>
      <c r="AF776" s="239">
        <v>3</v>
      </c>
      <c r="AG776" s="239">
        <v>37.5</v>
      </c>
      <c r="AH776" s="225">
        <v>2054460</v>
      </c>
      <c r="AI776" s="225">
        <v>4.3</v>
      </c>
      <c r="AJ776" s="135">
        <f t="shared" si="132"/>
        <v>161.25</v>
      </c>
      <c r="AK776" s="45">
        <f t="shared" si="129"/>
        <v>483.75</v>
      </c>
      <c r="AL776" s="136" t="str" cm="1">
        <f t="array" ref="AL776">_xlfn.IFS(
AI776&lt;3,"Ligera",
AI776&lt;=6,"Moderada",
AI776&gt;6,"Vigorosa"
)</f>
        <v>Moderada</v>
      </c>
      <c r="AM776" s="240" t="s">
        <v>48</v>
      </c>
      <c r="AN776" s="240" t="s">
        <v>60</v>
      </c>
      <c r="AO776" s="240" t="s">
        <v>61</v>
      </c>
      <c r="AP776" s="247" t="s">
        <v>62</v>
      </c>
      <c r="AQ776" s="241">
        <v>0</v>
      </c>
      <c r="AR776" s="98"/>
      <c r="AS776" s="102" t="s">
        <v>617</v>
      </c>
      <c r="AT776" s="98"/>
      <c r="AU776" s="98"/>
      <c r="AV776" s="98"/>
      <c r="AW776" s="98"/>
      <c r="AX776" s="98"/>
      <c r="AY776" s="98"/>
      <c r="AZ776" s="98"/>
      <c r="BA776" s="98"/>
      <c r="BB776" s="98"/>
      <c r="BC776" s="98"/>
      <c r="BD776" s="98"/>
      <c r="BE776" s="98"/>
      <c r="BF776" s="98"/>
      <c r="BG776" s="98"/>
      <c r="BH776" s="98"/>
      <c r="BI776" s="98"/>
      <c r="BJ776" s="98"/>
      <c r="BK776" s="98"/>
      <c r="BL776" s="98"/>
    </row>
    <row r="777" spans="1:64" s="101" customFormat="1" ht="78.75" customHeight="1" thickBot="1">
      <c r="A777" s="217" t="s">
        <v>619</v>
      </c>
      <c r="B777" s="218">
        <v>28</v>
      </c>
      <c r="C777" s="218">
        <v>82.9</v>
      </c>
      <c r="D777" s="218">
        <v>0</v>
      </c>
      <c r="E777" s="218" t="s">
        <v>45</v>
      </c>
      <c r="F777" s="218" t="s">
        <v>45</v>
      </c>
      <c r="G777" s="218" t="s">
        <v>354</v>
      </c>
      <c r="H777" s="218"/>
      <c r="I777" s="218" t="s">
        <v>145</v>
      </c>
      <c r="J777" s="218" t="s">
        <v>47</v>
      </c>
      <c r="K777" s="218" t="s">
        <v>49</v>
      </c>
      <c r="L777" s="218" t="s">
        <v>49</v>
      </c>
      <c r="M777" s="219" t="s">
        <v>50</v>
      </c>
      <c r="N777" s="219" t="s">
        <v>50</v>
      </c>
      <c r="O777" s="219" t="s">
        <v>50</v>
      </c>
      <c r="P777" s="11" t="s">
        <v>86</v>
      </c>
      <c r="Q777" s="220" t="s">
        <v>87</v>
      </c>
      <c r="R777" s="221">
        <v>7</v>
      </c>
      <c r="S777" s="222">
        <v>44.6</v>
      </c>
      <c r="T777" s="223">
        <v>9.4</v>
      </c>
      <c r="U777" s="222">
        <v>7</v>
      </c>
      <c r="V777" s="221">
        <v>44.9</v>
      </c>
      <c r="W777" s="222">
        <v>10</v>
      </c>
      <c r="X777" s="130">
        <f t="shared" si="130"/>
        <v>0.29999999999999716</v>
      </c>
      <c r="Y777" s="16">
        <f t="shared" si="131"/>
        <v>3.6715119501371638</v>
      </c>
      <c r="Z777" s="286" t="s">
        <v>53</v>
      </c>
      <c r="AA777" s="286" t="s">
        <v>53</v>
      </c>
      <c r="AB777" s="16">
        <v>3.6715119501371638</v>
      </c>
      <c r="AC777" s="66" t="s">
        <v>49</v>
      </c>
      <c r="AD777" s="224" t="s">
        <v>620</v>
      </c>
      <c r="AE777" s="225">
        <v>4</v>
      </c>
      <c r="AF777" s="225">
        <v>0</v>
      </c>
      <c r="AG777" s="225">
        <v>0</v>
      </c>
      <c r="AH777" s="134">
        <v>0</v>
      </c>
      <c r="AI777" s="134">
        <v>0</v>
      </c>
      <c r="AJ777" s="135">
        <f t="shared" si="132"/>
        <v>0</v>
      </c>
      <c r="AK777" s="45">
        <f t="shared" si="129"/>
        <v>0</v>
      </c>
      <c r="AL777" s="136" t="str" cm="1">
        <f t="array" ref="AL777">_xlfn.IFS(
AI777&lt;3,"Ligera",
AI777&lt;=6,"Moderada",
AI777&gt;6,"Vigorosa"
)</f>
        <v>Ligera</v>
      </c>
      <c r="AM777" s="226" t="s">
        <v>49</v>
      </c>
      <c r="AN777" s="227" t="s">
        <v>49</v>
      </c>
      <c r="AO777" s="227" t="s">
        <v>49</v>
      </c>
      <c r="AP777" s="227" t="s">
        <v>49</v>
      </c>
      <c r="AQ777" s="228">
        <v>0</v>
      </c>
      <c r="AR777" s="98"/>
      <c r="AS777" s="98"/>
      <c r="AT777" s="98"/>
      <c r="AU777" s="98"/>
      <c r="AV777" s="98"/>
      <c r="AW777" s="98"/>
      <c r="AX777" s="98"/>
      <c r="AY777" s="98"/>
      <c r="AZ777" s="98"/>
      <c r="BA777" s="98"/>
      <c r="BB777" s="98"/>
      <c r="BC777" s="98"/>
      <c r="BD777" s="98"/>
      <c r="BE777" s="98"/>
      <c r="BF777" s="98"/>
      <c r="BG777" s="98"/>
      <c r="BH777" s="98"/>
      <c r="BI777" s="98"/>
      <c r="BJ777" s="98"/>
      <c r="BK777" s="98"/>
      <c r="BL777" s="98"/>
    </row>
    <row r="778" spans="1:64" s="101" customFormat="1" ht="78.75" customHeight="1" thickBot="1">
      <c r="A778" s="231" t="s">
        <v>619</v>
      </c>
      <c r="B778" s="232">
        <v>28</v>
      </c>
      <c r="C778" s="232">
        <v>80.7</v>
      </c>
      <c r="D778" s="232">
        <v>0</v>
      </c>
      <c r="E778" s="232" t="s">
        <v>45</v>
      </c>
      <c r="F778" s="232" t="s">
        <v>45</v>
      </c>
      <c r="G778" s="232" t="s">
        <v>354</v>
      </c>
      <c r="H778" s="232"/>
      <c r="I778" s="232" t="s">
        <v>145</v>
      </c>
      <c r="J778" s="232" t="s">
        <v>47</v>
      </c>
      <c r="K778" s="232" t="s">
        <v>49</v>
      </c>
      <c r="L778" s="232" t="s">
        <v>49</v>
      </c>
      <c r="M778" s="233" t="s">
        <v>56</v>
      </c>
      <c r="N778" s="233" t="s">
        <v>233</v>
      </c>
      <c r="O778" s="233" t="s">
        <v>233</v>
      </c>
      <c r="P778" s="11" t="s">
        <v>86</v>
      </c>
      <c r="Q778" s="234" t="s">
        <v>87</v>
      </c>
      <c r="R778" s="235">
        <v>20</v>
      </c>
      <c r="S778" s="236">
        <v>48.6</v>
      </c>
      <c r="T778" s="237">
        <v>5.4</v>
      </c>
      <c r="U778" s="236">
        <v>20</v>
      </c>
      <c r="V778" s="235">
        <v>51.95</v>
      </c>
      <c r="W778" s="236">
        <v>4.3</v>
      </c>
      <c r="X778" s="130">
        <f t="shared" si="130"/>
        <v>3.3500000000000014</v>
      </c>
      <c r="Y778" s="16">
        <f t="shared" si="131"/>
        <v>1.1052149112276761</v>
      </c>
      <c r="Z778" s="15">
        <f t="shared" si="133"/>
        <v>3.0500000000000043</v>
      </c>
      <c r="AA778" s="16">
        <f t="shared" si="134"/>
        <v>38.052399999999999</v>
      </c>
      <c r="AB778" s="16">
        <f t="shared" si="135"/>
        <v>2.708999288087234</v>
      </c>
      <c r="AC778" s="66" t="s">
        <v>49</v>
      </c>
      <c r="AD778" s="188" t="s">
        <v>621</v>
      </c>
      <c r="AE778" s="239">
        <v>4</v>
      </c>
      <c r="AF778" s="239">
        <v>3</v>
      </c>
      <c r="AG778" s="239">
        <v>25</v>
      </c>
      <c r="AH778" s="134">
        <v>211360</v>
      </c>
      <c r="AI778" s="134">
        <v>3.5</v>
      </c>
      <c r="AJ778" s="135">
        <f t="shared" si="132"/>
        <v>87.5</v>
      </c>
      <c r="AK778" s="45">
        <f t="shared" si="129"/>
        <v>262.5</v>
      </c>
      <c r="AL778" s="136" t="str" cm="1">
        <f t="array" ref="AL778">_xlfn.IFS(
AI778&lt;3,"Ligera",
AI778&lt;=6,"Moderada",
AI778&gt;6,"Vigorosa"
)</f>
        <v>Moderada</v>
      </c>
      <c r="AM778" s="240" t="s">
        <v>48</v>
      </c>
      <c r="AN778" s="240" t="s">
        <v>60</v>
      </c>
      <c r="AO778" s="240" t="s">
        <v>61</v>
      </c>
      <c r="AP778" s="247" t="s">
        <v>62</v>
      </c>
      <c r="AQ778" s="241">
        <v>0</v>
      </c>
      <c r="AR778" s="98"/>
      <c r="AS778" s="98"/>
      <c r="AT778" s="98"/>
      <c r="AU778" s="98"/>
      <c r="AV778" s="98"/>
      <c r="AW778" s="98"/>
      <c r="AX778" s="98"/>
      <c r="AY778" s="98"/>
      <c r="AZ778" s="98"/>
      <c r="BA778" s="98"/>
      <c r="BB778" s="98"/>
      <c r="BC778" s="98"/>
      <c r="BD778" s="98"/>
      <c r="BE778" s="98"/>
      <c r="BF778" s="98"/>
      <c r="BG778" s="98"/>
      <c r="BH778" s="98"/>
      <c r="BI778" s="98"/>
      <c r="BJ778" s="98"/>
      <c r="BK778" s="98"/>
      <c r="BL778" s="98"/>
    </row>
    <row r="779" spans="1:64" s="101" customFormat="1" ht="78.75" customHeight="1" thickBot="1">
      <c r="A779" s="217" t="s">
        <v>622</v>
      </c>
      <c r="B779" s="218">
        <v>36</v>
      </c>
      <c r="C779" s="218">
        <v>66.75</v>
      </c>
      <c r="D779" s="218">
        <v>41.67</v>
      </c>
      <c r="E779" s="218" t="s">
        <v>45</v>
      </c>
      <c r="F779" s="218" t="s">
        <v>45</v>
      </c>
      <c r="G779" s="218" t="s">
        <v>278</v>
      </c>
      <c r="H779" s="218"/>
      <c r="I779" s="218" t="s">
        <v>45</v>
      </c>
      <c r="J779" s="218" t="s">
        <v>47</v>
      </c>
      <c r="K779" s="218" t="s">
        <v>49</v>
      </c>
      <c r="L779" s="218" t="s">
        <v>49</v>
      </c>
      <c r="M779" s="219" t="s">
        <v>50</v>
      </c>
      <c r="N779" s="219" t="s">
        <v>50</v>
      </c>
      <c r="O779" s="219" t="s">
        <v>50</v>
      </c>
      <c r="P779" s="219" t="s">
        <v>94</v>
      </c>
      <c r="Q779" s="220" t="s">
        <v>119</v>
      </c>
      <c r="R779" s="221">
        <v>12</v>
      </c>
      <c r="S779" s="222">
        <v>24.83</v>
      </c>
      <c r="T779" s="223">
        <v>1.58</v>
      </c>
      <c r="U779" s="221">
        <v>12</v>
      </c>
      <c r="V779" s="221" t="s">
        <v>47</v>
      </c>
      <c r="W779" s="222" t="s">
        <v>47</v>
      </c>
      <c r="X779" s="130"/>
      <c r="Y779" s="16"/>
      <c r="Z779" s="286"/>
      <c r="AA779" s="286"/>
      <c r="AB779" s="16"/>
      <c r="AC779" s="66" t="s">
        <v>49</v>
      </c>
      <c r="AD779" s="224" t="s">
        <v>623</v>
      </c>
      <c r="AE779" s="225">
        <v>9</v>
      </c>
      <c r="AF779" s="225">
        <v>0</v>
      </c>
      <c r="AG779" s="225">
        <v>0</v>
      </c>
      <c r="AH779" s="134">
        <v>0</v>
      </c>
      <c r="AI779" s="134">
        <v>0</v>
      </c>
      <c r="AJ779" s="135">
        <f t="shared" si="132"/>
        <v>0</v>
      </c>
      <c r="AK779" s="45">
        <f t="shared" si="129"/>
        <v>0</v>
      </c>
      <c r="AL779" s="136" t="str" cm="1">
        <f t="array" ref="AL779">_xlfn.IFS(
AI779&lt;3,"Ligera",
AI779&lt;=6,"Moderada",
AI779&gt;6,"Vigorosa"
)</f>
        <v>Ligera</v>
      </c>
      <c r="AM779" s="226" t="s">
        <v>49</v>
      </c>
      <c r="AN779" s="227" t="s">
        <v>49</v>
      </c>
      <c r="AO779" s="227" t="s">
        <v>49</v>
      </c>
      <c r="AP779" s="227" t="s">
        <v>49</v>
      </c>
      <c r="AQ779" s="228">
        <v>0</v>
      </c>
      <c r="AR779" s="98"/>
      <c r="AS779" s="98"/>
      <c r="AT779" s="98"/>
      <c r="AU779" s="98"/>
      <c r="AV779" s="98"/>
      <c r="AW779" s="98"/>
      <c r="AX779" s="98"/>
      <c r="AY779" s="98"/>
      <c r="AZ779" s="98"/>
      <c r="BA779" s="98"/>
      <c r="BB779" s="98"/>
      <c r="BC779" s="98"/>
      <c r="BD779" s="98"/>
      <c r="BE779" s="98"/>
      <c r="BF779" s="98"/>
      <c r="BG779" s="98"/>
      <c r="BH779" s="98"/>
      <c r="BI779" s="98"/>
      <c r="BJ779" s="98"/>
      <c r="BK779" s="98"/>
      <c r="BL779" s="98"/>
    </row>
    <row r="780" spans="1:64" s="101" customFormat="1" ht="78.75" customHeight="1" thickBot="1">
      <c r="A780" s="229" t="s">
        <v>622</v>
      </c>
      <c r="B780" s="54">
        <v>36</v>
      </c>
      <c r="C780" s="54">
        <v>66.5</v>
      </c>
      <c r="D780" s="54">
        <v>50</v>
      </c>
      <c r="E780" s="54" t="s">
        <v>45</v>
      </c>
      <c r="F780" s="54" t="s">
        <v>45</v>
      </c>
      <c r="G780" s="54" t="s">
        <v>278</v>
      </c>
      <c r="H780" s="54"/>
      <c r="I780" s="54" t="s">
        <v>45</v>
      </c>
      <c r="J780" s="54" t="s">
        <v>47</v>
      </c>
      <c r="K780" s="54" t="s">
        <v>49</v>
      </c>
      <c r="L780" s="54" t="s">
        <v>49</v>
      </c>
      <c r="M780" s="55" t="s">
        <v>56</v>
      </c>
      <c r="N780" s="55" t="s">
        <v>152</v>
      </c>
      <c r="O780" s="55" t="s">
        <v>153</v>
      </c>
      <c r="P780" s="55" t="s">
        <v>94</v>
      </c>
      <c r="Q780" s="94" t="s">
        <v>119</v>
      </c>
      <c r="R780" s="56">
        <v>12</v>
      </c>
      <c r="S780" s="57">
        <v>25.33</v>
      </c>
      <c r="T780" s="58">
        <v>1.07</v>
      </c>
      <c r="U780" s="56">
        <v>12</v>
      </c>
      <c r="V780" s="56" t="s">
        <v>47</v>
      </c>
      <c r="W780" s="57" t="s">
        <v>47</v>
      </c>
      <c r="X780" s="130"/>
      <c r="Y780" s="16"/>
      <c r="Z780" s="15"/>
      <c r="AA780" s="16"/>
      <c r="AB780" s="16"/>
      <c r="AC780" s="66" t="s">
        <v>49</v>
      </c>
      <c r="AD780" s="96" t="s">
        <v>624</v>
      </c>
      <c r="AE780" s="60">
        <v>9</v>
      </c>
      <c r="AF780" s="60">
        <v>3</v>
      </c>
      <c r="AG780" s="60">
        <v>60</v>
      </c>
      <c r="AH780" s="134">
        <v>2240060</v>
      </c>
      <c r="AI780" s="134">
        <v>5.5</v>
      </c>
      <c r="AJ780" s="135">
        <f t="shared" si="132"/>
        <v>330</v>
      </c>
      <c r="AK780" s="45">
        <f t="shared" si="129"/>
        <v>990</v>
      </c>
      <c r="AL780" s="136" t="str" cm="1">
        <f t="array" ref="AL780">_xlfn.IFS(
AI780&lt;3,"Ligera",
AI780&lt;=6,"Moderada",
AI780&gt;6,"Vigorosa"
)</f>
        <v>Moderada</v>
      </c>
      <c r="AM780" s="61" t="s">
        <v>49</v>
      </c>
      <c r="AN780" s="61" t="s">
        <v>49</v>
      </c>
      <c r="AO780" s="61" t="s">
        <v>61</v>
      </c>
      <c r="AP780" s="97" t="s">
        <v>62</v>
      </c>
      <c r="AQ780" s="230">
        <v>0</v>
      </c>
      <c r="AR780" s="98"/>
      <c r="AS780" s="98"/>
      <c r="AT780" s="98"/>
      <c r="AU780" s="98"/>
      <c r="AV780" s="98"/>
      <c r="AW780" s="98"/>
      <c r="AX780" s="98"/>
      <c r="AY780" s="98"/>
      <c r="AZ780" s="98"/>
      <c r="BA780" s="98"/>
      <c r="BB780" s="98"/>
      <c r="BC780" s="98"/>
      <c r="BD780" s="98"/>
      <c r="BE780" s="98"/>
      <c r="BF780" s="98"/>
      <c r="BG780" s="98"/>
      <c r="BH780" s="98"/>
      <c r="BI780" s="98"/>
      <c r="BJ780" s="98"/>
      <c r="BK780" s="98"/>
      <c r="BL780" s="98"/>
    </row>
    <row r="781" spans="1:64" s="101" customFormat="1" ht="78.75" customHeight="1" thickBot="1">
      <c r="A781" s="229" t="s">
        <v>622</v>
      </c>
      <c r="B781" s="54">
        <v>36</v>
      </c>
      <c r="C781" s="54">
        <v>67.5</v>
      </c>
      <c r="D781" s="54">
        <v>50</v>
      </c>
      <c r="E781" s="54" t="s">
        <v>45</v>
      </c>
      <c r="F781" s="54" t="s">
        <v>45</v>
      </c>
      <c r="G781" s="54" t="s">
        <v>278</v>
      </c>
      <c r="H781" s="54"/>
      <c r="I781" s="54" t="s">
        <v>45</v>
      </c>
      <c r="J781" s="54" t="s">
        <v>47</v>
      </c>
      <c r="K781" s="54" t="s">
        <v>49</v>
      </c>
      <c r="L781" s="54" t="s">
        <v>49</v>
      </c>
      <c r="M781" s="55" t="s">
        <v>56</v>
      </c>
      <c r="N781" s="55" t="s">
        <v>233</v>
      </c>
      <c r="O781" s="55" t="s">
        <v>233</v>
      </c>
      <c r="P781" s="55" t="s">
        <v>94</v>
      </c>
      <c r="Q781" s="94" t="s">
        <v>119</v>
      </c>
      <c r="R781" s="56">
        <v>12</v>
      </c>
      <c r="S781" s="57">
        <v>26.16</v>
      </c>
      <c r="T781" s="58">
        <v>1.33</v>
      </c>
      <c r="U781" s="56">
        <v>12</v>
      </c>
      <c r="V781" s="56" t="s">
        <v>47</v>
      </c>
      <c r="W781" s="57" t="s">
        <v>47</v>
      </c>
      <c r="X781" s="130"/>
      <c r="Y781" s="16"/>
      <c r="Z781" s="15"/>
      <c r="AA781" s="16"/>
      <c r="AB781" s="16"/>
      <c r="AC781" s="66" t="s">
        <v>49</v>
      </c>
      <c r="AD781" s="96" t="s">
        <v>625</v>
      </c>
      <c r="AE781" s="60">
        <v>9</v>
      </c>
      <c r="AF781" s="60">
        <v>3</v>
      </c>
      <c r="AG781" s="60">
        <v>60</v>
      </c>
      <c r="AH781" s="134">
        <v>211360</v>
      </c>
      <c r="AI781" s="134">
        <v>3.5</v>
      </c>
      <c r="AJ781" s="135">
        <f t="shared" si="132"/>
        <v>210</v>
      </c>
      <c r="AK781" s="45">
        <f t="shared" si="129"/>
        <v>630</v>
      </c>
      <c r="AL781" s="136" t="str" cm="1">
        <f t="array" ref="AL781">_xlfn.IFS(
AI781&lt;3,"Ligera",
AI781&lt;=6,"Moderada",
AI781&gt;6,"Vigorosa"
)</f>
        <v>Moderada</v>
      </c>
      <c r="AM781" s="61" t="s">
        <v>49</v>
      </c>
      <c r="AN781" s="61" t="s">
        <v>49</v>
      </c>
      <c r="AO781" s="61" t="s">
        <v>61</v>
      </c>
      <c r="AP781" s="97" t="s">
        <v>62</v>
      </c>
      <c r="AQ781" s="230">
        <v>0</v>
      </c>
      <c r="AR781" s="98"/>
      <c r="AS781" s="98"/>
      <c r="AT781" s="98"/>
      <c r="AU781" s="98"/>
      <c r="AV781" s="98"/>
      <c r="AW781" s="98"/>
      <c r="AX781" s="98"/>
      <c r="AY781" s="98"/>
      <c r="AZ781" s="98"/>
      <c r="BA781" s="98"/>
      <c r="BB781" s="98"/>
      <c r="BC781" s="98"/>
      <c r="BD781" s="98"/>
      <c r="BE781" s="98"/>
      <c r="BF781" s="98"/>
      <c r="BG781" s="98"/>
      <c r="BH781" s="98"/>
      <c r="BI781" s="98"/>
      <c r="BJ781" s="98"/>
      <c r="BK781" s="98"/>
      <c r="BL781" s="98"/>
    </row>
    <row r="782" spans="1:64" s="101" customFormat="1" ht="78.75" customHeight="1" thickBot="1">
      <c r="A782" s="229" t="s">
        <v>622</v>
      </c>
      <c r="B782" s="54">
        <v>36</v>
      </c>
      <c r="C782" s="54">
        <v>66.75</v>
      </c>
      <c r="D782" s="54">
        <v>41.67</v>
      </c>
      <c r="E782" s="54" t="s">
        <v>45</v>
      </c>
      <c r="F782" s="54" t="s">
        <v>45</v>
      </c>
      <c r="G782" s="54" t="s">
        <v>278</v>
      </c>
      <c r="H782" s="54"/>
      <c r="I782" s="54" t="s">
        <v>45</v>
      </c>
      <c r="J782" s="54" t="s">
        <v>47</v>
      </c>
      <c r="K782" s="54" t="s">
        <v>49</v>
      </c>
      <c r="L782" s="54" t="s">
        <v>49</v>
      </c>
      <c r="M782" s="55" t="s">
        <v>50</v>
      </c>
      <c r="N782" s="55" t="s">
        <v>50</v>
      </c>
      <c r="O782" s="55" t="s">
        <v>50</v>
      </c>
      <c r="P782" s="55" t="s">
        <v>51</v>
      </c>
      <c r="Q782" s="94" t="s">
        <v>626</v>
      </c>
      <c r="R782" s="56">
        <v>12</v>
      </c>
      <c r="S782" s="57">
        <v>21.25</v>
      </c>
      <c r="T782" s="58">
        <v>4</v>
      </c>
      <c r="U782" s="56">
        <v>12</v>
      </c>
      <c r="V782" s="56">
        <v>22</v>
      </c>
      <c r="W782" s="57">
        <v>3.46</v>
      </c>
      <c r="X782" s="130">
        <f t="shared" si="130"/>
        <v>0.75</v>
      </c>
      <c r="Y782" s="16">
        <f t="shared" si="131"/>
        <v>1.0851881557284586</v>
      </c>
      <c r="Z782" s="286" t="s">
        <v>53</v>
      </c>
      <c r="AA782" s="286" t="s">
        <v>53</v>
      </c>
      <c r="AB782" s="16">
        <v>1.0851881557284586</v>
      </c>
      <c r="AC782" s="66" t="s">
        <v>49</v>
      </c>
      <c r="AD782" s="96" t="s">
        <v>623</v>
      </c>
      <c r="AE782" s="60">
        <v>9</v>
      </c>
      <c r="AF782" s="60">
        <v>0</v>
      </c>
      <c r="AG782" s="60">
        <v>0</v>
      </c>
      <c r="AH782" s="134">
        <v>0</v>
      </c>
      <c r="AI782" s="134">
        <v>0</v>
      </c>
      <c r="AJ782" s="135">
        <f t="shared" si="132"/>
        <v>0</v>
      </c>
      <c r="AK782" s="45">
        <f t="shared" ref="AK782:AK816" si="136">AJ782*AF782</f>
        <v>0</v>
      </c>
      <c r="AL782" s="136" t="str" cm="1">
        <f t="array" ref="AL782">_xlfn.IFS(
AI782&lt;3,"Ligera",
AI782&lt;=6,"Moderada",
AI782&gt;6,"Vigorosa"
)</f>
        <v>Ligera</v>
      </c>
      <c r="AM782" s="61" t="s">
        <v>49</v>
      </c>
      <c r="AN782" s="97" t="s">
        <v>49</v>
      </c>
      <c r="AO782" s="97" t="s">
        <v>49</v>
      </c>
      <c r="AP782" s="97" t="s">
        <v>49</v>
      </c>
      <c r="AQ782" s="230">
        <v>0</v>
      </c>
      <c r="AR782" s="98"/>
      <c r="AS782" s="98"/>
      <c r="AT782" s="98"/>
      <c r="AU782" s="98"/>
      <c r="AV782" s="98"/>
      <c r="AW782" s="98"/>
      <c r="AX782" s="98"/>
      <c r="AY782" s="98"/>
      <c r="AZ782" s="98"/>
      <c r="BA782" s="98"/>
      <c r="BB782" s="98"/>
      <c r="BC782" s="98"/>
      <c r="BD782" s="98"/>
      <c r="BE782" s="98"/>
      <c r="BF782" s="98"/>
      <c r="BG782" s="98"/>
      <c r="BH782" s="98"/>
      <c r="BI782" s="98"/>
      <c r="BJ782" s="98"/>
      <c r="BK782" s="98"/>
      <c r="BL782" s="98"/>
    </row>
    <row r="783" spans="1:64" s="101" customFormat="1" ht="78.75" customHeight="1" thickBot="1">
      <c r="A783" s="229" t="s">
        <v>622</v>
      </c>
      <c r="B783" s="54">
        <v>36</v>
      </c>
      <c r="C783" s="54">
        <v>66.5</v>
      </c>
      <c r="D783" s="54">
        <v>50</v>
      </c>
      <c r="E783" s="54" t="s">
        <v>45</v>
      </c>
      <c r="F783" s="54" t="s">
        <v>45</v>
      </c>
      <c r="G783" s="54" t="s">
        <v>278</v>
      </c>
      <c r="H783" s="54"/>
      <c r="I783" s="54" t="s">
        <v>45</v>
      </c>
      <c r="J783" s="54" t="s">
        <v>47</v>
      </c>
      <c r="K783" s="54" t="s">
        <v>49</v>
      </c>
      <c r="L783" s="54" t="s">
        <v>49</v>
      </c>
      <c r="M783" s="55" t="s">
        <v>56</v>
      </c>
      <c r="N783" s="55" t="s">
        <v>152</v>
      </c>
      <c r="O783" s="55" t="s">
        <v>153</v>
      </c>
      <c r="P783" s="55" t="s">
        <v>51</v>
      </c>
      <c r="Q783" s="94" t="s">
        <v>626</v>
      </c>
      <c r="R783" s="56">
        <v>12</v>
      </c>
      <c r="S783" s="57">
        <v>21.58</v>
      </c>
      <c r="T783" s="58">
        <v>5.05</v>
      </c>
      <c r="U783" s="56">
        <v>12</v>
      </c>
      <c r="V783" s="56">
        <v>27.33</v>
      </c>
      <c r="W783" s="57">
        <v>5.31</v>
      </c>
      <c r="X783" s="130">
        <f t="shared" si="130"/>
        <v>5.75</v>
      </c>
      <c r="Y783" s="16">
        <f t="shared" si="131"/>
        <v>1.4967492553308097</v>
      </c>
      <c r="Z783" s="15">
        <f t="shared" si="133"/>
        <v>5</v>
      </c>
      <c r="AA783" s="16">
        <f t="shared" si="134"/>
        <v>20.083849999999998</v>
      </c>
      <c r="AB783" s="16">
        <f t="shared" si="135"/>
        <v>1.8295650667121224</v>
      </c>
      <c r="AC783" s="66" t="s">
        <v>49</v>
      </c>
      <c r="AD783" s="96" t="s">
        <v>624</v>
      </c>
      <c r="AE783" s="60">
        <v>9</v>
      </c>
      <c r="AF783" s="60">
        <v>3</v>
      </c>
      <c r="AG783" s="60">
        <v>60</v>
      </c>
      <c r="AH783" s="134">
        <v>2240060</v>
      </c>
      <c r="AI783" s="134">
        <v>5.5</v>
      </c>
      <c r="AJ783" s="135">
        <f t="shared" si="132"/>
        <v>330</v>
      </c>
      <c r="AK783" s="45">
        <f t="shared" si="136"/>
        <v>990</v>
      </c>
      <c r="AL783" s="136" t="str" cm="1">
        <f t="array" ref="AL783">_xlfn.IFS(
AI783&lt;3,"Ligera",
AI783&lt;=6,"Moderada",
AI783&gt;6,"Vigorosa"
)</f>
        <v>Moderada</v>
      </c>
      <c r="AM783" s="61" t="s">
        <v>49</v>
      </c>
      <c r="AN783" s="61" t="s">
        <v>49</v>
      </c>
      <c r="AO783" s="61" t="s">
        <v>61</v>
      </c>
      <c r="AP783" s="97" t="s">
        <v>62</v>
      </c>
      <c r="AQ783" s="230">
        <v>0</v>
      </c>
      <c r="AR783" s="98"/>
      <c r="AS783" s="98"/>
      <c r="AT783" s="98"/>
      <c r="AU783" s="98"/>
      <c r="AV783" s="98"/>
      <c r="AW783" s="98"/>
      <c r="AX783" s="98"/>
      <c r="AY783" s="98"/>
      <c r="AZ783" s="98"/>
      <c r="BA783" s="98"/>
      <c r="BB783" s="98"/>
      <c r="BC783" s="98"/>
      <c r="BD783" s="98"/>
      <c r="BE783" s="98"/>
      <c r="BF783" s="98"/>
      <c r="BG783" s="98"/>
      <c r="BH783" s="98"/>
      <c r="BI783" s="98"/>
      <c r="BJ783" s="98"/>
      <c r="BK783" s="98"/>
      <c r="BL783" s="98"/>
    </row>
    <row r="784" spans="1:64" s="101" customFormat="1" ht="78.75" customHeight="1" thickBot="1">
      <c r="A784" s="229" t="s">
        <v>622</v>
      </c>
      <c r="B784" s="54">
        <v>36</v>
      </c>
      <c r="C784" s="54">
        <v>67.5</v>
      </c>
      <c r="D784" s="54">
        <v>50</v>
      </c>
      <c r="E784" s="54" t="s">
        <v>45</v>
      </c>
      <c r="F784" s="54" t="s">
        <v>45</v>
      </c>
      <c r="G784" s="54" t="s">
        <v>278</v>
      </c>
      <c r="H784" s="54"/>
      <c r="I784" s="54" t="s">
        <v>45</v>
      </c>
      <c r="J784" s="54" t="s">
        <v>47</v>
      </c>
      <c r="K784" s="54" t="s">
        <v>49</v>
      </c>
      <c r="L784" s="54" t="s">
        <v>49</v>
      </c>
      <c r="M784" s="55" t="s">
        <v>56</v>
      </c>
      <c r="N784" s="55" t="s">
        <v>233</v>
      </c>
      <c r="O784" s="55" t="s">
        <v>233</v>
      </c>
      <c r="P784" s="55" t="s">
        <v>51</v>
      </c>
      <c r="Q784" s="94" t="s">
        <v>626</v>
      </c>
      <c r="R784" s="56">
        <v>12</v>
      </c>
      <c r="S784" s="57">
        <v>20.41</v>
      </c>
      <c r="T784" s="58">
        <v>3.75</v>
      </c>
      <c r="U784" s="56">
        <v>12</v>
      </c>
      <c r="V784" s="56">
        <v>27.41</v>
      </c>
      <c r="W784" s="57">
        <v>5.26</v>
      </c>
      <c r="X784" s="130">
        <f t="shared" si="130"/>
        <v>7</v>
      </c>
      <c r="Y784" s="16">
        <f t="shared" si="131"/>
        <v>1.3541633333292307</v>
      </c>
      <c r="Z784" s="15">
        <f>X784-X782</f>
        <v>6.25</v>
      </c>
      <c r="AA784" s="16">
        <f>((U784-1)*W784^2+(U782-1)*W782^2)/((U784-1)+(U782-1))</f>
        <v>19.819600000000001</v>
      </c>
      <c r="AB784" s="16">
        <f>SQRT(AA784*((1/U784)+(1/U782)))</f>
        <v>1.8174891104671484</v>
      </c>
      <c r="AC784" s="66" t="s">
        <v>49</v>
      </c>
      <c r="AD784" s="96" t="s">
        <v>627</v>
      </c>
      <c r="AE784" s="60">
        <v>9</v>
      </c>
      <c r="AF784" s="60">
        <v>3</v>
      </c>
      <c r="AG784" s="60">
        <v>60</v>
      </c>
      <c r="AH784" s="134">
        <v>211360</v>
      </c>
      <c r="AI784" s="134">
        <v>3.5</v>
      </c>
      <c r="AJ784" s="135">
        <f t="shared" si="132"/>
        <v>210</v>
      </c>
      <c r="AK784" s="45">
        <f t="shared" si="136"/>
        <v>630</v>
      </c>
      <c r="AL784" s="136" t="str" cm="1">
        <f t="array" ref="AL784">_xlfn.IFS(
AI784&lt;3,"Ligera",
AI784&lt;=6,"Moderada",
AI784&gt;6,"Vigorosa"
)</f>
        <v>Moderada</v>
      </c>
      <c r="AM784" s="61" t="s">
        <v>49</v>
      </c>
      <c r="AN784" s="61" t="s">
        <v>49</v>
      </c>
      <c r="AO784" s="61" t="s">
        <v>61</v>
      </c>
      <c r="AP784" s="97" t="s">
        <v>62</v>
      </c>
      <c r="AQ784" s="230">
        <v>0</v>
      </c>
      <c r="AR784" s="98"/>
      <c r="AS784" s="98"/>
      <c r="AT784" s="98"/>
      <c r="AU784" s="98"/>
      <c r="AV784" s="98"/>
      <c r="AW784" s="98"/>
      <c r="AX784" s="98"/>
      <c r="AY784" s="98"/>
      <c r="AZ784" s="98"/>
      <c r="BA784" s="98"/>
      <c r="BB784" s="98"/>
      <c r="BC784" s="98"/>
      <c r="BD784" s="98"/>
      <c r="BE784" s="98"/>
      <c r="BF784" s="98"/>
      <c r="BG784" s="98"/>
      <c r="BH784" s="98"/>
      <c r="BI784" s="98"/>
      <c r="BJ784" s="98"/>
      <c r="BK784" s="98"/>
      <c r="BL784" s="98"/>
    </row>
    <row r="785" spans="1:64" s="101" customFormat="1" ht="78.75" customHeight="1" thickBot="1">
      <c r="A785" s="229" t="s">
        <v>622</v>
      </c>
      <c r="B785" s="54">
        <v>36</v>
      </c>
      <c r="C785" s="54">
        <v>66.75</v>
      </c>
      <c r="D785" s="54">
        <v>41.67</v>
      </c>
      <c r="E785" s="54" t="s">
        <v>45</v>
      </c>
      <c r="F785" s="54" t="s">
        <v>45</v>
      </c>
      <c r="G785" s="54" t="s">
        <v>278</v>
      </c>
      <c r="H785" s="54"/>
      <c r="I785" s="54" t="s">
        <v>45</v>
      </c>
      <c r="J785" s="54" t="s">
        <v>47</v>
      </c>
      <c r="K785" s="54" t="s">
        <v>49</v>
      </c>
      <c r="L785" s="54" t="s">
        <v>49</v>
      </c>
      <c r="M785" s="55" t="s">
        <v>50</v>
      </c>
      <c r="N785" s="55" t="s">
        <v>50</v>
      </c>
      <c r="O785" s="55" t="s">
        <v>50</v>
      </c>
      <c r="P785" s="55" t="s">
        <v>51</v>
      </c>
      <c r="Q785" s="94" t="s">
        <v>124</v>
      </c>
      <c r="R785" s="56">
        <v>12</v>
      </c>
      <c r="S785" s="57">
        <v>8.58</v>
      </c>
      <c r="T785" s="58">
        <v>1.56</v>
      </c>
      <c r="U785" s="56">
        <v>12</v>
      </c>
      <c r="V785" s="56">
        <v>8.5</v>
      </c>
      <c r="W785" s="57">
        <v>1.67</v>
      </c>
      <c r="X785" s="130">
        <f t="shared" si="130"/>
        <v>-8.0000000000000071E-2</v>
      </c>
      <c r="Y785" s="16">
        <f t="shared" si="131"/>
        <v>0.46702069904163068</v>
      </c>
      <c r="Z785" s="286" t="s">
        <v>53</v>
      </c>
      <c r="AA785" s="286" t="s">
        <v>53</v>
      </c>
      <c r="AB785" s="16">
        <v>0.46702069904163068</v>
      </c>
      <c r="AC785" s="66" t="s">
        <v>48</v>
      </c>
      <c r="AD785" s="96" t="s">
        <v>623</v>
      </c>
      <c r="AE785" s="60">
        <v>9</v>
      </c>
      <c r="AF785" s="60">
        <v>0</v>
      </c>
      <c r="AG785" s="60">
        <v>0</v>
      </c>
      <c r="AH785" s="134">
        <v>0</v>
      </c>
      <c r="AI785" s="134">
        <v>0</v>
      </c>
      <c r="AJ785" s="135">
        <f t="shared" si="132"/>
        <v>0</v>
      </c>
      <c r="AK785" s="45">
        <f t="shared" si="136"/>
        <v>0</v>
      </c>
      <c r="AL785" s="136" t="str" cm="1">
        <f t="array" ref="AL785">_xlfn.IFS(
AI785&lt;3,"Ligera",
AI785&lt;=6,"Moderada",
AI785&gt;6,"Vigorosa"
)</f>
        <v>Ligera</v>
      </c>
      <c r="AM785" s="61" t="s">
        <v>49</v>
      </c>
      <c r="AN785" s="97" t="s">
        <v>49</v>
      </c>
      <c r="AO785" s="97" t="s">
        <v>49</v>
      </c>
      <c r="AP785" s="97" t="s">
        <v>49</v>
      </c>
      <c r="AQ785" s="230">
        <v>0</v>
      </c>
      <c r="AR785" s="98"/>
      <c r="AS785" s="98"/>
      <c r="AT785" s="98"/>
      <c r="AU785" s="98"/>
      <c r="AV785" s="98"/>
      <c r="AW785" s="98"/>
      <c r="AX785" s="98"/>
      <c r="AY785" s="98"/>
      <c r="AZ785" s="98"/>
      <c r="BA785" s="98"/>
      <c r="BB785" s="98"/>
      <c r="BC785" s="98"/>
      <c r="BD785" s="98"/>
      <c r="BE785" s="98"/>
      <c r="BF785" s="98"/>
      <c r="BG785" s="98"/>
      <c r="BH785" s="98"/>
      <c r="BI785" s="98"/>
      <c r="BJ785" s="98"/>
      <c r="BK785" s="98"/>
      <c r="BL785" s="98"/>
    </row>
    <row r="786" spans="1:64" s="101" customFormat="1" ht="78.75" customHeight="1" thickBot="1">
      <c r="A786" s="229" t="s">
        <v>622</v>
      </c>
      <c r="B786" s="54">
        <v>36</v>
      </c>
      <c r="C786" s="54">
        <v>66.5</v>
      </c>
      <c r="D786" s="54">
        <v>50</v>
      </c>
      <c r="E786" s="54" t="s">
        <v>45</v>
      </c>
      <c r="F786" s="54" t="s">
        <v>45</v>
      </c>
      <c r="G786" s="54" t="s">
        <v>278</v>
      </c>
      <c r="H786" s="54"/>
      <c r="I786" s="54" t="s">
        <v>45</v>
      </c>
      <c r="J786" s="54" t="s">
        <v>47</v>
      </c>
      <c r="K786" s="54" t="s">
        <v>49</v>
      </c>
      <c r="L786" s="54" t="s">
        <v>49</v>
      </c>
      <c r="M786" s="55" t="s">
        <v>56</v>
      </c>
      <c r="N786" s="55" t="s">
        <v>152</v>
      </c>
      <c r="O786" s="55" t="s">
        <v>153</v>
      </c>
      <c r="P786" s="55" t="s">
        <v>51</v>
      </c>
      <c r="Q786" s="94" t="s">
        <v>124</v>
      </c>
      <c r="R786" s="56">
        <v>12</v>
      </c>
      <c r="S786" s="57">
        <v>9.75</v>
      </c>
      <c r="T786" s="58">
        <v>1.6</v>
      </c>
      <c r="U786" s="56">
        <v>12</v>
      </c>
      <c r="V786" s="56">
        <v>7.25</v>
      </c>
      <c r="W786" s="57">
        <v>1.95</v>
      </c>
      <c r="X786" s="130">
        <f t="shared" si="130"/>
        <v>-2.5</v>
      </c>
      <c r="Y786" s="16">
        <f t="shared" si="131"/>
        <v>0.51981567245835658</v>
      </c>
      <c r="Z786" s="15">
        <f t="shared" si="133"/>
        <v>-2.42</v>
      </c>
      <c r="AA786" s="16">
        <f t="shared" si="134"/>
        <v>3.2957000000000005</v>
      </c>
      <c r="AB786" s="16">
        <f t="shared" si="135"/>
        <v>0.74113651464040908</v>
      </c>
      <c r="AC786" s="66" t="s">
        <v>48</v>
      </c>
      <c r="AD786" s="96" t="s">
        <v>624</v>
      </c>
      <c r="AE786" s="60">
        <v>9</v>
      </c>
      <c r="AF786" s="60">
        <v>3</v>
      </c>
      <c r="AG786" s="60">
        <v>60</v>
      </c>
      <c r="AH786" s="134">
        <v>2240060</v>
      </c>
      <c r="AI786" s="134">
        <v>5.5</v>
      </c>
      <c r="AJ786" s="135">
        <f t="shared" si="132"/>
        <v>330</v>
      </c>
      <c r="AK786" s="45">
        <f t="shared" si="136"/>
        <v>990</v>
      </c>
      <c r="AL786" s="136" t="str" cm="1">
        <f t="array" ref="AL786">_xlfn.IFS(
AI786&lt;3,"Ligera",
AI786&lt;=6,"Moderada",
AI786&gt;6,"Vigorosa"
)</f>
        <v>Moderada</v>
      </c>
      <c r="AM786" s="61" t="s">
        <v>49</v>
      </c>
      <c r="AN786" s="61" t="s">
        <v>49</v>
      </c>
      <c r="AO786" s="61" t="s">
        <v>61</v>
      </c>
      <c r="AP786" s="97" t="s">
        <v>62</v>
      </c>
      <c r="AQ786" s="230">
        <v>0</v>
      </c>
      <c r="AR786" s="98"/>
      <c r="AS786" s="98"/>
      <c r="AT786" s="98"/>
      <c r="AU786" s="98"/>
      <c r="AV786" s="98"/>
      <c r="AW786" s="98"/>
      <c r="AX786" s="98"/>
      <c r="AY786" s="98"/>
      <c r="AZ786" s="98"/>
      <c r="BA786" s="98"/>
      <c r="BB786" s="98"/>
      <c r="BC786" s="98"/>
      <c r="BD786" s="98"/>
      <c r="BE786" s="98"/>
      <c r="BF786" s="98"/>
      <c r="BG786" s="98"/>
      <c r="BH786" s="98"/>
      <c r="BI786" s="98"/>
      <c r="BJ786" s="98"/>
      <c r="BK786" s="98"/>
      <c r="BL786" s="98"/>
    </row>
    <row r="787" spans="1:64" s="101" customFormat="1" ht="78.75" customHeight="1" thickBot="1">
      <c r="A787" s="229" t="s">
        <v>622</v>
      </c>
      <c r="B787" s="54">
        <v>36</v>
      </c>
      <c r="C787" s="54">
        <v>67.5</v>
      </c>
      <c r="D787" s="54">
        <v>50</v>
      </c>
      <c r="E787" s="54" t="s">
        <v>45</v>
      </c>
      <c r="F787" s="54" t="s">
        <v>45</v>
      </c>
      <c r="G787" s="54" t="s">
        <v>278</v>
      </c>
      <c r="H787" s="54"/>
      <c r="I787" s="54" t="s">
        <v>45</v>
      </c>
      <c r="J787" s="54" t="s">
        <v>47</v>
      </c>
      <c r="K787" s="54" t="s">
        <v>49</v>
      </c>
      <c r="L787" s="54" t="s">
        <v>49</v>
      </c>
      <c r="M787" s="55" t="s">
        <v>56</v>
      </c>
      <c r="N787" s="55" t="s">
        <v>233</v>
      </c>
      <c r="O787" s="55" t="s">
        <v>233</v>
      </c>
      <c r="P787" s="55" t="s">
        <v>51</v>
      </c>
      <c r="Q787" s="94" t="s">
        <v>124</v>
      </c>
      <c r="R787" s="56">
        <v>12</v>
      </c>
      <c r="S787" s="57">
        <v>8.91</v>
      </c>
      <c r="T787" s="58">
        <v>1.1599999999999999</v>
      </c>
      <c r="U787" s="56">
        <v>12</v>
      </c>
      <c r="V787" s="56">
        <v>7.08</v>
      </c>
      <c r="W787" s="57">
        <v>1.37</v>
      </c>
      <c r="X787" s="130">
        <f t="shared" si="130"/>
        <v>-1.83</v>
      </c>
      <c r="Y787" s="16">
        <f t="shared" si="131"/>
        <v>0.36892862905084145</v>
      </c>
      <c r="Z787" s="15">
        <f>X787-X785</f>
        <v>-1.75</v>
      </c>
      <c r="AA787" s="16">
        <f>((U787-1)*W787^2+(U785-1)*W785^2)/((U787-1)+(U785-1))</f>
        <v>2.3329000000000004</v>
      </c>
      <c r="AB787" s="16">
        <f>SQRT(AA787*((1/U787)+(1/U785)))</f>
        <v>0.62355165517113875</v>
      </c>
      <c r="AC787" s="66" t="s">
        <v>48</v>
      </c>
      <c r="AD787" s="96" t="s">
        <v>627</v>
      </c>
      <c r="AE787" s="60">
        <v>9</v>
      </c>
      <c r="AF787" s="60">
        <v>3</v>
      </c>
      <c r="AG787" s="60">
        <v>60</v>
      </c>
      <c r="AH787" s="134">
        <v>211360</v>
      </c>
      <c r="AI787" s="134">
        <v>3.5</v>
      </c>
      <c r="AJ787" s="135">
        <f t="shared" si="132"/>
        <v>210</v>
      </c>
      <c r="AK787" s="45">
        <f t="shared" si="136"/>
        <v>630</v>
      </c>
      <c r="AL787" s="136" t="str" cm="1">
        <f t="array" ref="AL787">_xlfn.IFS(
AI787&lt;3,"Ligera",
AI787&lt;=6,"Moderada",
AI787&gt;6,"Vigorosa"
)</f>
        <v>Moderada</v>
      </c>
      <c r="AM787" s="61" t="s">
        <v>49</v>
      </c>
      <c r="AN787" s="61" t="s">
        <v>49</v>
      </c>
      <c r="AO787" s="61" t="s">
        <v>61</v>
      </c>
      <c r="AP787" s="97" t="s">
        <v>62</v>
      </c>
      <c r="AQ787" s="230">
        <v>0</v>
      </c>
      <c r="AR787" s="98"/>
      <c r="AS787" s="98"/>
      <c r="AT787" s="98"/>
      <c r="AU787" s="98"/>
      <c r="AV787" s="98"/>
      <c r="AW787" s="98"/>
      <c r="AX787" s="98"/>
      <c r="AY787" s="98"/>
      <c r="AZ787" s="98"/>
      <c r="BA787" s="98"/>
      <c r="BB787" s="98"/>
      <c r="BC787" s="98"/>
      <c r="BD787" s="98"/>
      <c r="BE787" s="98"/>
      <c r="BF787" s="98"/>
      <c r="BG787" s="98"/>
      <c r="BH787" s="98"/>
      <c r="BI787" s="98"/>
      <c r="BJ787" s="98"/>
      <c r="BK787" s="98"/>
      <c r="BL787" s="98"/>
    </row>
    <row r="788" spans="1:64" s="101" customFormat="1" ht="78.75" customHeight="1" thickBot="1">
      <c r="A788" s="229" t="s">
        <v>622</v>
      </c>
      <c r="B788" s="54">
        <v>36</v>
      </c>
      <c r="C788" s="54">
        <v>66.75</v>
      </c>
      <c r="D788" s="54">
        <v>41.67</v>
      </c>
      <c r="E788" s="54" t="s">
        <v>45</v>
      </c>
      <c r="F788" s="54" t="s">
        <v>45</v>
      </c>
      <c r="G788" s="54" t="s">
        <v>278</v>
      </c>
      <c r="H788" s="54"/>
      <c r="I788" s="54" t="s">
        <v>45</v>
      </c>
      <c r="J788" s="54" t="s">
        <v>47</v>
      </c>
      <c r="K788" s="54" t="s">
        <v>49</v>
      </c>
      <c r="L788" s="54" t="s">
        <v>49</v>
      </c>
      <c r="M788" s="55" t="s">
        <v>50</v>
      </c>
      <c r="N788" s="55" t="s">
        <v>50</v>
      </c>
      <c r="O788" s="55" t="s">
        <v>50</v>
      </c>
      <c r="P788" s="55" t="s">
        <v>51</v>
      </c>
      <c r="Q788" s="94" t="s">
        <v>188</v>
      </c>
      <c r="R788" s="56">
        <v>12</v>
      </c>
      <c r="S788" s="57">
        <v>21.16</v>
      </c>
      <c r="T788" s="58">
        <v>3.27</v>
      </c>
      <c r="U788" s="56">
        <v>12</v>
      </c>
      <c r="V788" s="56">
        <v>21</v>
      </c>
      <c r="W788" s="57">
        <v>3.54</v>
      </c>
      <c r="X788" s="130">
        <f t="shared" si="130"/>
        <v>-0.16000000000000014</v>
      </c>
      <c r="Y788" s="16">
        <f t="shared" si="131"/>
        <v>0.98525377441550555</v>
      </c>
      <c r="Z788" s="286" t="s">
        <v>53</v>
      </c>
      <c r="AA788" s="286" t="s">
        <v>53</v>
      </c>
      <c r="AB788" s="16">
        <v>0.98525377441550555</v>
      </c>
      <c r="AC788" s="66" t="s">
        <v>49</v>
      </c>
      <c r="AD788" s="96" t="s">
        <v>623</v>
      </c>
      <c r="AE788" s="60">
        <v>9</v>
      </c>
      <c r="AF788" s="60">
        <v>0</v>
      </c>
      <c r="AG788" s="60">
        <v>0</v>
      </c>
      <c r="AH788" s="134">
        <v>0</v>
      </c>
      <c r="AI788" s="134">
        <v>0</v>
      </c>
      <c r="AJ788" s="135">
        <f t="shared" si="132"/>
        <v>0</v>
      </c>
      <c r="AK788" s="45">
        <f t="shared" si="136"/>
        <v>0</v>
      </c>
      <c r="AL788" s="136" t="str" cm="1">
        <f t="array" ref="AL788">_xlfn.IFS(
AI788&lt;3,"Ligera",
AI788&lt;=6,"Moderada",
AI788&gt;6,"Vigorosa"
)</f>
        <v>Ligera</v>
      </c>
      <c r="AM788" s="61" t="s">
        <v>49</v>
      </c>
      <c r="AN788" s="97" t="s">
        <v>49</v>
      </c>
      <c r="AO788" s="97" t="s">
        <v>49</v>
      </c>
      <c r="AP788" s="97" t="s">
        <v>49</v>
      </c>
      <c r="AQ788" s="230">
        <v>0</v>
      </c>
      <c r="AR788" s="98"/>
      <c r="AS788" s="98"/>
      <c r="AT788" s="98"/>
      <c r="AU788" s="98"/>
      <c r="AV788" s="98"/>
      <c r="AW788" s="98"/>
      <c r="AX788" s="98"/>
      <c r="AY788" s="98"/>
      <c r="AZ788" s="98"/>
      <c r="BA788" s="98"/>
      <c r="BB788" s="98"/>
      <c r="BC788" s="98"/>
      <c r="BD788" s="98"/>
      <c r="BE788" s="98"/>
      <c r="BF788" s="98"/>
      <c r="BG788" s="98"/>
      <c r="BH788" s="98"/>
      <c r="BI788" s="98"/>
      <c r="BJ788" s="98"/>
      <c r="BK788" s="98"/>
      <c r="BL788" s="98"/>
    </row>
    <row r="789" spans="1:64" s="101" customFormat="1" ht="78.75" customHeight="1" thickBot="1">
      <c r="A789" s="229" t="s">
        <v>622</v>
      </c>
      <c r="B789" s="54">
        <v>36</v>
      </c>
      <c r="C789" s="54">
        <v>66.5</v>
      </c>
      <c r="D789" s="54">
        <v>50</v>
      </c>
      <c r="E789" s="54" t="s">
        <v>45</v>
      </c>
      <c r="F789" s="54" t="s">
        <v>45</v>
      </c>
      <c r="G789" s="54" t="s">
        <v>278</v>
      </c>
      <c r="H789" s="54"/>
      <c r="I789" s="54" t="s">
        <v>45</v>
      </c>
      <c r="J789" s="54" t="s">
        <v>47</v>
      </c>
      <c r="K789" s="54" t="s">
        <v>49</v>
      </c>
      <c r="L789" s="54" t="s">
        <v>49</v>
      </c>
      <c r="M789" s="55" t="s">
        <v>56</v>
      </c>
      <c r="N789" s="55" t="s">
        <v>152</v>
      </c>
      <c r="O789" s="55" t="s">
        <v>153</v>
      </c>
      <c r="P789" s="55" t="s">
        <v>51</v>
      </c>
      <c r="Q789" s="94" t="s">
        <v>188</v>
      </c>
      <c r="R789" s="56">
        <v>12</v>
      </c>
      <c r="S789" s="57">
        <v>19.829999999999998</v>
      </c>
      <c r="T789" s="58">
        <v>1.94</v>
      </c>
      <c r="U789" s="56">
        <v>12</v>
      </c>
      <c r="V789" s="56">
        <v>25.83</v>
      </c>
      <c r="W789" s="57">
        <v>3.8</v>
      </c>
      <c r="X789" s="130">
        <f t="shared" si="130"/>
        <v>6</v>
      </c>
      <c r="Y789" s="16">
        <f t="shared" si="131"/>
        <v>0.95007017284689732</v>
      </c>
      <c r="Z789" s="15">
        <f t="shared" si="133"/>
        <v>6.16</v>
      </c>
      <c r="AA789" s="16">
        <f t="shared" si="134"/>
        <v>13.485799999999999</v>
      </c>
      <c r="AB789" s="16">
        <f t="shared" si="135"/>
        <v>1.4992109035533769</v>
      </c>
      <c r="AC789" s="66" t="s">
        <v>49</v>
      </c>
      <c r="AD789" s="96" t="s">
        <v>624</v>
      </c>
      <c r="AE789" s="60">
        <v>9</v>
      </c>
      <c r="AF789" s="60">
        <v>3</v>
      </c>
      <c r="AG789" s="60">
        <v>60</v>
      </c>
      <c r="AH789" s="134">
        <v>2240060</v>
      </c>
      <c r="AI789" s="134">
        <v>5.5</v>
      </c>
      <c r="AJ789" s="135">
        <f t="shared" si="132"/>
        <v>330</v>
      </c>
      <c r="AK789" s="45">
        <f t="shared" si="136"/>
        <v>990</v>
      </c>
      <c r="AL789" s="136" t="str" cm="1">
        <f t="array" ref="AL789">_xlfn.IFS(
AI789&lt;3,"Ligera",
AI789&lt;=6,"Moderada",
AI789&gt;6,"Vigorosa"
)</f>
        <v>Moderada</v>
      </c>
      <c r="AM789" s="61" t="s">
        <v>49</v>
      </c>
      <c r="AN789" s="61" t="s">
        <v>49</v>
      </c>
      <c r="AO789" s="61" t="s">
        <v>61</v>
      </c>
      <c r="AP789" s="97" t="s">
        <v>62</v>
      </c>
      <c r="AQ789" s="230">
        <v>0</v>
      </c>
      <c r="AR789" s="98"/>
      <c r="AS789" s="98"/>
      <c r="AT789" s="98"/>
      <c r="AU789" s="98"/>
      <c r="AV789" s="98"/>
      <c r="AW789" s="98"/>
      <c r="AX789" s="98"/>
      <c r="AY789" s="98"/>
      <c r="AZ789" s="98"/>
      <c r="BA789" s="98"/>
      <c r="BB789" s="98"/>
      <c r="BC789" s="98"/>
      <c r="BD789" s="98"/>
      <c r="BE789" s="98"/>
      <c r="BF789" s="98"/>
      <c r="BG789" s="98"/>
      <c r="BH789" s="98"/>
      <c r="BI789" s="98"/>
      <c r="BJ789" s="98"/>
      <c r="BK789" s="98"/>
      <c r="BL789" s="98"/>
    </row>
    <row r="790" spans="1:64" s="101" customFormat="1" ht="78.75" customHeight="1" thickBot="1">
      <c r="A790" s="229" t="s">
        <v>622</v>
      </c>
      <c r="B790" s="54">
        <v>36</v>
      </c>
      <c r="C790" s="54">
        <v>67.5</v>
      </c>
      <c r="D790" s="54">
        <v>50</v>
      </c>
      <c r="E790" s="54" t="s">
        <v>45</v>
      </c>
      <c r="F790" s="54" t="s">
        <v>45</v>
      </c>
      <c r="G790" s="54" t="s">
        <v>278</v>
      </c>
      <c r="H790" s="54"/>
      <c r="I790" s="54" t="s">
        <v>45</v>
      </c>
      <c r="J790" s="54" t="s">
        <v>47</v>
      </c>
      <c r="K790" s="54" t="s">
        <v>49</v>
      </c>
      <c r="L790" s="54" t="s">
        <v>49</v>
      </c>
      <c r="M790" s="55" t="s">
        <v>56</v>
      </c>
      <c r="N790" s="55" t="s">
        <v>233</v>
      </c>
      <c r="O790" s="55" t="s">
        <v>233</v>
      </c>
      <c r="P790" s="55" t="s">
        <v>51</v>
      </c>
      <c r="Q790" s="94" t="s">
        <v>188</v>
      </c>
      <c r="R790" s="56">
        <v>12</v>
      </c>
      <c r="S790" s="57">
        <v>19.91</v>
      </c>
      <c r="T790" s="58">
        <v>2.1</v>
      </c>
      <c r="U790" s="56">
        <v>12</v>
      </c>
      <c r="V790" s="56">
        <v>27.75</v>
      </c>
      <c r="W790" s="57">
        <v>3.76</v>
      </c>
      <c r="X790" s="130">
        <f t="shared" si="130"/>
        <v>7.84</v>
      </c>
      <c r="Y790" s="16">
        <f t="shared" si="131"/>
        <v>0.94214294739881876</v>
      </c>
      <c r="Z790" s="15">
        <f>X790-X788</f>
        <v>8</v>
      </c>
      <c r="AA790" s="16">
        <f>((U790-1)*W790^2+(U788-1)*W788^2)/((U790-1)+(U788-1))</f>
        <v>13.3346</v>
      </c>
      <c r="AB790" s="16">
        <f>SQRT(AA790*((1/U790)+(1/U788)))</f>
        <v>1.4907827921375176</v>
      </c>
      <c r="AC790" s="66" t="s">
        <v>49</v>
      </c>
      <c r="AD790" s="96" t="s">
        <v>627</v>
      </c>
      <c r="AE790" s="60">
        <v>9</v>
      </c>
      <c r="AF790" s="60">
        <v>3</v>
      </c>
      <c r="AG790" s="60">
        <v>60</v>
      </c>
      <c r="AH790" s="134">
        <v>211360</v>
      </c>
      <c r="AI790" s="134">
        <v>3.5</v>
      </c>
      <c r="AJ790" s="135">
        <f t="shared" si="132"/>
        <v>210</v>
      </c>
      <c r="AK790" s="45">
        <f t="shared" si="136"/>
        <v>630</v>
      </c>
      <c r="AL790" s="136" t="str" cm="1">
        <f t="array" ref="AL790">_xlfn.IFS(
AI790&lt;3,"Ligera",
AI790&lt;=6,"Moderada",
AI790&gt;6,"Vigorosa"
)</f>
        <v>Moderada</v>
      </c>
      <c r="AM790" s="61" t="s">
        <v>49</v>
      </c>
      <c r="AN790" s="61" t="s">
        <v>49</v>
      </c>
      <c r="AO790" s="61" t="s">
        <v>61</v>
      </c>
      <c r="AP790" s="97" t="s">
        <v>62</v>
      </c>
      <c r="AQ790" s="230">
        <v>0</v>
      </c>
      <c r="AR790" s="98"/>
      <c r="AS790" s="98"/>
      <c r="AT790" s="98"/>
      <c r="AU790" s="98"/>
      <c r="AV790" s="98"/>
      <c r="AW790" s="98"/>
      <c r="AX790" s="98"/>
      <c r="AY790" s="98"/>
      <c r="AZ790" s="98"/>
      <c r="BA790" s="98"/>
      <c r="BB790" s="98"/>
      <c r="BC790" s="98"/>
      <c r="BD790" s="98"/>
      <c r="BE790" s="98"/>
      <c r="BF790" s="98"/>
      <c r="BG790" s="98"/>
      <c r="BH790" s="98"/>
      <c r="BI790" s="98"/>
      <c r="BJ790" s="98"/>
      <c r="BK790" s="98"/>
      <c r="BL790" s="98"/>
    </row>
    <row r="791" spans="1:64" s="101" customFormat="1" ht="78.75" customHeight="1" thickBot="1">
      <c r="A791" s="229" t="s">
        <v>622</v>
      </c>
      <c r="B791" s="54">
        <v>36</v>
      </c>
      <c r="C791" s="54">
        <v>66.75</v>
      </c>
      <c r="D791" s="54">
        <v>41.67</v>
      </c>
      <c r="E791" s="54" t="s">
        <v>45</v>
      </c>
      <c r="F791" s="54" t="s">
        <v>45</v>
      </c>
      <c r="G791" s="54" t="s">
        <v>278</v>
      </c>
      <c r="H791" s="54"/>
      <c r="I791" s="54" t="s">
        <v>45</v>
      </c>
      <c r="J791" s="54" t="s">
        <v>47</v>
      </c>
      <c r="K791" s="54" t="s">
        <v>49</v>
      </c>
      <c r="L791" s="54" t="s">
        <v>49</v>
      </c>
      <c r="M791" s="55" t="s">
        <v>50</v>
      </c>
      <c r="N791" s="55" t="s">
        <v>50</v>
      </c>
      <c r="O791" s="55" t="s">
        <v>50</v>
      </c>
      <c r="P791" s="55" t="s">
        <v>51</v>
      </c>
      <c r="Q791" s="94" t="s">
        <v>284</v>
      </c>
      <c r="R791" s="56">
        <v>12</v>
      </c>
      <c r="S791" s="57">
        <v>18</v>
      </c>
      <c r="T791" s="58">
        <v>11.06</v>
      </c>
      <c r="U791" s="56">
        <v>12</v>
      </c>
      <c r="V791" s="56">
        <v>18.16</v>
      </c>
      <c r="W791" s="57">
        <v>11.91</v>
      </c>
      <c r="X791" s="130">
        <f t="shared" si="130"/>
        <v>0.16000000000000014</v>
      </c>
      <c r="Y791" s="16">
        <f t="shared" si="131"/>
        <v>3.3222369471988804</v>
      </c>
      <c r="Z791" s="286" t="s">
        <v>53</v>
      </c>
      <c r="AA791" s="286" t="s">
        <v>53</v>
      </c>
      <c r="AB791" s="16">
        <v>3.3222369471988804</v>
      </c>
      <c r="AC791" s="66" t="s">
        <v>49</v>
      </c>
      <c r="AD791" s="96" t="s">
        <v>623</v>
      </c>
      <c r="AE791" s="60">
        <v>9</v>
      </c>
      <c r="AF791" s="60">
        <v>0</v>
      </c>
      <c r="AG791" s="60">
        <v>0</v>
      </c>
      <c r="AH791" s="134">
        <v>0</v>
      </c>
      <c r="AI791" s="134">
        <v>0</v>
      </c>
      <c r="AJ791" s="135">
        <f t="shared" si="132"/>
        <v>0</v>
      </c>
      <c r="AK791" s="45">
        <f t="shared" si="136"/>
        <v>0</v>
      </c>
      <c r="AL791" s="136" t="str" cm="1">
        <f t="array" ref="AL791">_xlfn.IFS(
AI791&lt;3,"Ligera",
AI791&lt;=6,"Moderada",
AI791&gt;6,"Vigorosa"
)</f>
        <v>Ligera</v>
      </c>
      <c r="AM791" s="61" t="s">
        <v>49</v>
      </c>
      <c r="AN791" s="97" t="s">
        <v>49</v>
      </c>
      <c r="AO791" s="97" t="s">
        <v>49</v>
      </c>
      <c r="AP791" s="97" t="s">
        <v>49</v>
      </c>
      <c r="AQ791" s="230">
        <v>0</v>
      </c>
      <c r="AR791" s="98"/>
      <c r="AS791" s="98"/>
      <c r="AT791" s="98"/>
      <c r="AU791" s="98"/>
      <c r="AV791" s="98"/>
      <c r="AW791" s="98"/>
      <c r="AX791" s="98"/>
      <c r="AY791" s="98"/>
      <c r="AZ791" s="98"/>
      <c r="BA791" s="98"/>
      <c r="BB791" s="98"/>
      <c r="BC791" s="98"/>
      <c r="BD791" s="98"/>
      <c r="BE791" s="98"/>
      <c r="BF791" s="98"/>
      <c r="BG791" s="98"/>
      <c r="BH791" s="98"/>
      <c r="BI791" s="98"/>
      <c r="BJ791" s="98"/>
      <c r="BK791" s="98"/>
      <c r="BL791" s="98"/>
    </row>
    <row r="792" spans="1:64" s="101" customFormat="1" ht="78.75" customHeight="1" thickBot="1">
      <c r="A792" s="229" t="s">
        <v>622</v>
      </c>
      <c r="B792" s="54">
        <v>36</v>
      </c>
      <c r="C792" s="54">
        <v>66.5</v>
      </c>
      <c r="D792" s="54">
        <v>50</v>
      </c>
      <c r="E792" s="54" t="s">
        <v>45</v>
      </c>
      <c r="F792" s="54" t="s">
        <v>45</v>
      </c>
      <c r="G792" s="54" t="s">
        <v>278</v>
      </c>
      <c r="H792" s="54"/>
      <c r="I792" s="54" t="s">
        <v>45</v>
      </c>
      <c r="J792" s="54" t="s">
        <v>47</v>
      </c>
      <c r="K792" s="54" t="s">
        <v>49</v>
      </c>
      <c r="L792" s="54" t="s">
        <v>49</v>
      </c>
      <c r="M792" s="55" t="s">
        <v>56</v>
      </c>
      <c r="N792" s="55" t="s">
        <v>152</v>
      </c>
      <c r="O792" s="55" t="s">
        <v>153</v>
      </c>
      <c r="P792" s="55" t="s">
        <v>51</v>
      </c>
      <c r="Q792" s="94" t="s">
        <v>284</v>
      </c>
      <c r="R792" s="56">
        <v>12</v>
      </c>
      <c r="S792" s="57">
        <v>16.829999999999998</v>
      </c>
      <c r="T792" s="58">
        <v>9.91</v>
      </c>
      <c r="U792" s="56">
        <v>12</v>
      </c>
      <c r="V792" s="56">
        <v>24.33</v>
      </c>
      <c r="W792" s="57">
        <v>11.07</v>
      </c>
      <c r="X792" s="130">
        <f t="shared" si="130"/>
        <v>7.5</v>
      </c>
      <c r="Y792" s="16">
        <f t="shared" si="131"/>
        <v>3.0420565960108852</v>
      </c>
      <c r="Z792" s="15">
        <f t="shared" si="133"/>
        <v>7.34</v>
      </c>
      <c r="AA792" s="16">
        <f t="shared" si="134"/>
        <v>132.19650000000001</v>
      </c>
      <c r="AB792" s="16">
        <f t="shared" si="135"/>
        <v>4.6939056232523466</v>
      </c>
      <c r="AC792" s="66" t="s">
        <v>49</v>
      </c>
      <c r="AD792" s="96" t="s">
        <v>624</v>
      </c>
      <c r="AE792" s="60">
        <v>9</v>
      </c>
      <c r="AF792" s="60">
        <v>3</v>
      </c>
      <c r="AG792" s="60">
        <v>60</v>
      </c>
      <c r="AH792" s="134">
        <v>2240060</v>
      </c>
      <c r="AI792" s="134">
        <v>5.5</v>
      </c>
      <c r="AJ792" s="135">
        <f t="shared" si="132"/>
        <v>330</v>
      </c>
      <c r="AK792" s="45">
        <f t="shared" si="136"/>
        <v>990</v>
      </c>
      <c r="AL792" s="136" t="str" cm="1">
        <f t="array" ref="AL792">_xlfn.IFS(
AI792&lt;3,"Ligera",
AI792&lt;=6,"Moderada",
AI792&gt;6,"Vigorosa"
)</f>
        <v>Moderada</v>
      </c>
      <c r="AM792" s="61" t="s">
        <v>49</v>
      </c>
      <c r="AN792" s="61" t="s">
        <v>49</v>
      </c>
      <c r="AO792" s="61" t="s">
        <v>61</v>
      </c>
      <c r="AP792" s="97" t="s">
        <v>62</v>
      </c>
      <c r="AQ792" s="230">
        <v>0</v>
      </c>
      <c r="AR792" s="98"/>
      <c r="AS792" s="98"/>
      <c r="AT792" s="98"/>
      <c r="AU792" s="98"/>
      <c r="AV792" s="98"/>
      <c r="AW792" s="98"/>
      <c r="AX792" s="98"/>
      <c r="AY792" s="98"/>
      <c r="AZ792" s="98"/>
      <c r="BA792" s="98"/>
      <c r="BB792" s="98"/>
      <c r="BC792" s="98"/>
      <c r="BD792" s="98"/>
      <c r="BE792" s="98"/>
      <c r="BF792" s="98"/>
      <c r="BG792" s="98"/>
      <c r="BH792" s="98"/>
      <c r="BI792" s="98"/>
      <c r="BJ792" s="98"/>
      <c r="BK792" s="98"/>
      <c r="BL792" s="98"/>
    </row>
    <row r="793" spans="1:64" s="101" customFormat="1" ht="78.75" customHeight="1" thickBot="1">
      <c r="A793" s="229" t="s">
        <v>622</v>
      </c>
      <c r="B793" s="54">
        <v>36</v>
      </c>
      <c r="C793" s="54">
        <v>67.5</v>
      </c>
      <c r="D793" s="54">
        <v>50</v>
      </c>
      <c r="E793" s="54" t="s">
        <v>45</v>
      </c>
      <c r="F793" s="54" t="s">
        <v>45</v>
      </c>
      <c r="G793" s="54" t="s">
        <v>278</v>
      </c>
      <c r="H793" s="54"/>
      <c r="I793" s="54" t="s">
        <v>45</v>
      </c>
      <c r="J793" s="54" t="s">
        <v>47</v>
      </c>
      <c r="K793" s="54" t="s">
        <v>49</v>
      </c>
      <c r="L793" s="54" t="s">
        <v>49</v>
      </c>
      <c r="M793" s="55" t="s">
        <v>56</v>
      </c>
      <c r="N793" s="55" t="s">
        <v>233</v>
      </c>
      <c r="O793" s="55" t="s">
        <v>233</v>
      </c>
      <c r="P793" s="55" t="s">
        <v>51</v>
      </c>
      <c r="Q793" s="94" t="s">
        <v>284</v>
      </c>
      <c r="R793" s="56">
        <v>12</v>
      </c>
      <c r="S793" s="57">
        <v>20.58</v>
      </c>
      <c r="T793" s="58">
        <v>10.56</v>
      </c>
      <c r="U793" s="56">
        <v>12</v>
      </c>
      <c r="V793" s="56">
        <v>29.25</v>
      </c>
      <c r="W793" s="57">
        <v>11.35</v>
      </c>
      <c r="X793" s="130">
        <f t="shared" si="130"/>
        <v>8.6700000000000017</v>
      </c>
      <c r="Y793" s="16">
        <f t="shared" si="131"/>
        <v>3.1685972185390385</v>
      </c>
      <c r="Z793" s="15">
        <f>X793-X791</f>
        <v>8.5100000000000016</v>
      </c>
      <c r="AA793" s="16">
        <f>((U793-1)*W793^2+(U791-1)*W791^2)/((U793-1)+(U791-1))</f>
        <v>135.33529999999999</v>
      </c>
      <c r="AB793" s="16">
        <f t="shared" si="135"/>
        <v>4.7493034577012798</v>
      </c>
      <c r="AC793" s="66" t="s">
        <v>49</v>
      </c>
      <c r="AD793" s="96" t="s">
        <v>627</v>
      </c>
      <c r="AE793" s="60">
        <v>9</v>
      </c>
      <c r="AF793" s="60">
        <v>3</v>
      </c>
      <c r="AG793" s="60">
        <v>60</v>
      </c>
      <c r="AH793" s="134">
        <v>211360</v>
      </c>
      <c r="AI793" s="134">
        <v>3.5</v>
      </c>
      <c r="AJ793" s="135">
        <f t="shared" si="132"/>
        <v>210</v>
      </c>
      <c r="AK793" s="45">
        <f t="shared" si="136"/>
        <v>630</v>
      </c>
      <c r="AL793" s="136" t="str" cm="1">
        <f t="array" ref="AL793">_xlfn.IFS(
AI793&lt;3,"Ligera",
AI793&lt;=6,"Moderada",
AI793&gt;6,"Vigorosa"
)</f>
        <v>Moderada</v>
      </c>
      <c r="AM793" s="61" t="s">
        <v>49</v>
      </c>
      <c r="AN793" s="61" t="s">
        <v>49</v>
      </c>
      <c r="AO793" s="61" t="s">
        <v>61</v>
      </c>
      <c r="AP793" s="97" t="s">
        <v>62</v>
      </c>
      <c r="AQ793" s="230">
        <v>0</v>
      </c>
      <c r="AR793" s="98"/>
      <c r="AS793" s="98"/>
      <c r="AT793" s="98"/>
      <c r="AU793" s="98"/>
      <c r="AV793" s="98"/>
      <c r="AW793" s="98"/>
      <c r="AX793" s="98"/>
      <c r="AY793" s="98"/>
      <c r="AZ793" s="98"/>
      <c r="BA793" s="98"/>
      <c r="BB793" s="98"/>
      <c r="BC793" s="98"/>
      <c r="BD793" s="98"/>
      <c r="BE793" s="98"/>
      <c r="BF793" s="98"/>
      <c r="BG793" s="98"/>
      <c r="BH793" s="98"/>
      <c r="BI793" s="98"/>
      <c r="BJ793" s="98"/>
      <c r="BK793" s="98"/>
      <c r="BL793" s="98"/>
    </row>
    <row r="794" spans="1:64" s="101" customFormat="1" ht="78.75" customHeight="1" thickBot="1">
      <c r="A794" s="229" t="s">
        <v>622</v>
      </c>
      <c r="B794" s="54">
        <v>36</v>
      </c>
      <c r="C794" s="54">
        <v>66.75</v>
      </c>
      <c r="D794" s="54">
        <v>41.67</v>
      </c>
      <c r="E794" s="54" t="s">
        <v>45</v>
      </c>
      <c r="F794" s="54" t="s">
        <v>45</v>
      </c>
      <c r="G794" s="54" t="s">
        <v>278</v>
      </c>
      <c r="H794" s="54"/>
      <c r="I794" s="54" t="s">
        <v>45</v>
      </c>
      <c r="J794" s="54" t="s">
        <v>47</v>
      </c>
      <c r="K794" s="54" t="s">
        <v>49</v>
      </c>
      <c r="L794" s="54" t="s">
        <v>49</v>
      </c>
      <c r="M794" s="55" t="s">
        <v>50</v>
      </c>
      <c r="N794" s="55" t="s">
        <v>50</v>
      </c>
      <c r="O794" s="55" t="s">
        <v>50</v>
      </c>
      <c r="P794" s="55" t="s">
        <v>51</v>
      </c>
      <c r="Q794" s="94" t="s">
        <v>286</v>
      </c>
      <c r="R794" s="56">
        <v>12</v>
      </c>
      <c r="S794" s="57">
        <v>16.75</v>
      </c>
      <c r="T794" s="58">
        <v>10.61</v>
      </c>
      <c r="U794" s="56">
        <v>12</v>
      </c>
      <c r="V794" s="56">
        <v>17.5</v>
      </c>
      <c r="W794" s="57">
        <v>11.53</v>
      </c>
      <c r="X794" s="130">
        <f t="shared" si="130"/>
        <v>0.75</v>
      </c>
      <c r="Y794" s="16">
        <f t="shared" si="131"/>
        <v>3.2038999672274415</v>
      </c>
      <c r="Z794" s="286" t="s">
        <v>53</v>
      </c>
      <c r="AA794" s="286" t="s">
        <v>53</v>
      </c>
      <c r="AB794" s="16">
        <v>3.2038999672274415</v>
      </c>
      <c r="AC794" s="66" t="s">
        <v>49</v>
      </c>
      <c r="AD794" s="96" t="s">
        <v>623</v>
      </c>
      <c r="AE794" s="60">
        <v>9</v>
      </c>
      <c r="AF794" s="60">
        <v>0</v>
      </c>
      <c r="AG794" s="60">
        <v>0</v>
      </c>
      <c r="AH794" s="134">
        <v>0</v>
      </c>
      <c r="AI794" s="134">
        <v>0</v>
      </c>
      <c r="AJ794" s="135">
        <f t="shared" si="132"/>
        <v>0</v>
      </c>
      <c r="AK794" s="45">
        <f t="shared" si="136"/>
        <v>0</v>
      </c>
      <c r="AL794" s="136" t="str" cm="1">
        <f t="array" ref="AL794">_xlfn.IFS(
AI794&lt;3,"Ligera",
AI794&lt;=6,"Moderada",
AI794&gt;6,"Vigorosa"
)</f>
        <v>Ligera</v>
      </c>
      <c r="AM794" s="61" t="s">
        <v>49</v>
      </c>
      <c r="AN794" s="97" t="s">
        <v>49</v>
      </c>
      <c r="AO794" s="97" t="s">
        <v>49</v>
      </c>
      <c r="AP794" s="97" t="s">
        <v>49</v>
      </c>
      <c r="AQ794" s="230">
        <v>0</v>
      </c>
      <c r="AR794" s="98"/>
      <c r="AS794" s="98"/>
      <c r="AT794" s="98"/>
      <c r="AU794" s="98"/>
      <c r="AV794" s="98"/>
      <c r="AW794" s="98"/>
      <c r="AX794" s="98"/>
      <c r="AY794" s="98"/>
      <c r="AZ794" s="98"/>
      <c r="BA794" s="98"/>
      <c r="BB794" s="98"/>
      <c r="BC794" s="98"/>
      <c r="BD794" s="98"/>
      <c r="BE794" s="98"/>
      <c r="BF794" s="98"/>
      <c r="BG794" s="98"/>
      <c r="BH794" s="98"/>
      <c r="BI794" s="98"/>
      <c r="BJ794" s="98"/>
      <c r="BK794" s="98"/>
      <c r="BL794" s="98"/>
    </row>
    <row r="795" spans="1:64" s="101" customFormat="1" ht="78.75" customHeight="1" thickBot="1">
      <c r="A795" s="229" t="s">
        <v>622</v>
      </c>
      <c r="B795" s="54">
        <v>36</v>
      </c>
      <c r="C795" s="54">
        <v>66.5</v>
      </c>
      <c r="D795" s="54">
        <v>50</v>
      </c>
      <c r="E795" s="54" t="s">
        <v>45</v>
      </c>
      <c r="F795" s="54" t="s">
        <v>45</v>
      </c>
      <c r="G795" s="54" t="s">
        <v>278</v>
      </c>
      <c r="H795" s="54"/>
      <c r="I795" s="54" t="s">
        <v>45</v>
      </c>
      <c r="J795" s="54" t="s">
        <v>47</v>
      </c>
      <c r="K795" s="54" t="s">
        <v>49</v>
      </c>
      <c r="L795" s="54" t="s">
        <v>49</v>
      </c>
      <c r="M795" s="55" t="s">
        <v>56</v>
      </c>
      <c r="N795" s="55" t="s">
        <v>152</v>
      </c>
      <c r="O795" s="55" t="s">
        <v>153</v>
      </c>
      <c r="P795" s="55" t="s">
        <v>51</v>
      </c>
      <c r="Q795" s="94" t="s">
        <v>286</v>
      </c>
      <c r="R795" s="56">
        <v>12</v>
      </c>
      <c r="S795" s="57">
        <v>15.41</v>
      </c>
      <c r="T795" s="58">
        <v>9.7200000000000006</v>
      </c>
      <c r="U795" s="56">
        <v>12</v>
      </c>
      <c r="V795" s="56">
        <v>19.25</v>
      </c>
      <c r="W795" s="57">
        <v>9.18</v>
      </c>
      <c r="X795" s="130">
        <f t="shared" si="130"/>
        <v>3.84</v>
      </c>
      <c r="Y795" s="16">
        <f t="shared" si="131"/>
        <v>2.7313183629888336</v>
      </c>
      <c r="Z795" s="15">
        <f t="shared" si="133"/>
        <v>3.09</v>
      </c>
      <c r="AA795" s="16">
        <f t="shared" si="134"/>
        <v>108.60664999999999</v>
      </c>
      <c r="AB795" s="16">
        <f t="shared" si="135"/>
        <v>4.2545397322546332</v>
      </c>
      <c r="AC795" s="66" t="s">
        <v>49</v>
      </c>
      <c r="AD795" s="96" t="s">
        <v>624</v>
      </c>
      <c r="AE795" s="60">
        <v>9</v>
      </c>
      <c r="AF795" s="60">
        <v>3</v>
      </c>
      <c r="AG795" s="60">
        <v>60</v>
      </c>
      <c r="AH795" s="134">
        <v>2240060</v>
      </c>
      <c r="AI795" s="134">
        <v>5.5</v>
      </c>
      <c r="AJ795" s="135">
        <f t="shared" si="132"/>
        <v>330</v>
      </c>
      <c r="AK795" s="45">
        <f t="shared" si="136"/>
        <v>990</v>
      </c>
      <c r="AL795" s="136" t="str" cm="1">
        <f t="array" ref="AL795">_xlfn.IFS(
AI795&lt;3,"Ligera",
AI795&lt;=6,"Moderada",
AI795&gt;6,"Vigorosa"
)</f>
        <v>Moderada</v>
      </c>
      <c r="AM795" s="61" t="s">
        <v>49</v>
      </c>
      <c r="AN795" s="61" t="s">
        <v>49</v>
      </c>
      <c r="AO795" s="61" t="s">
        <v>61</v>
      </c>
      <c r="AP795" s="97" t="s">
        <v>62</v>
      </c>
      <c r="AQ795" s="230">
        <v>0</v>
      </c>
      <c r="AR795" s="98"/>
      <c r="AS795" s="98"/>
      <c r="AT795" s="98"/>
      <c r="AU795" s="98"/>
      <c r="AV795" s="98"/>
      <c r="AW795" s="98"/>
      <c r="AX795" s="98"/>
      <c r="AY795" s="98"/>
      <c r="AZ795" s="98"/>
      <c r="BA795" s="98"/>
      <c r="BB795" s="98"/>
      <c r="BC795" s="98"/>
      <c r="BD795" s="98"/>
      <c r="BE795" s="98"/>
      <c r="BF795" s="98"/>
      <c r="BG795" s="98"/>
      <c r="BH795" s="98"/>
      <c r="BI795" s="98"/>
      <c r="BJ795" s="98"/>
      <c r="BK795" s="98"/>
      <c r="BL795" s="98"/>
    </row>
    <row r="796" spans="1:64" s="101" customFormat="1" ht="78.75" customHeight="1" thickBot="1">
      <c r="A796" s="229" t="s">
        <v>622</v>
      </c>
      <c r="B796" s="54">
        <v>36</v>
      </c>
      <c r="C796" s="54">
        <v>67.5</v>
      </c>
      <c r="D796" s="54">
        <v>50</v>
      </c>
      <c r="E796" s="54" t="s">
        <v>45</v>
      </c>
      <c r="F796" s="54" t="s">
        <v>45</v>
      </c>
      <c r="G796" s="54" t="s">
        <v>278</v>
      </c>
      <c r="H796" s="54"/>
      <c r="I796" s="54" t="s">
        <v>45</v>
      </c>
      <c r="J796" s="54" t="s">
        <v>47</v>
      </c>
      <c r="K796" s="54" t="s">
        <v>49</v>
      </c>
      <c r="L796" s="54" t="s">
        <v>49</v>
      </c>
      <c r="M796" s="55" t="s">
        <v>56</v>
      </c>
      <c r="N796" s="55" t="s">
        <v>233</v>
      </c>
      <c r="O796" s="55" t="s">
        <v>233</v>
      </c>
      <c r="P796" s="55" t="s">
        <v>51</v>
      </c>
      <c r="Q796" s="94" t="s">
        <v>286</v>
      </c>
      <c r="R796" s="56">
        <v>12</v>
      </c>
      <c r="S796" s="57">
        <v>19.829999999999998</v>
      </c>
      <c r="T796" s="58">
        <v>10.029999999999999</v>
      </c>
      <c r="U796" s="56">
        <v>12</v>
      </c>
      <c r="V796" s="56">
        <v>24.83</v>
      </c>
      <c r="W796" s="57">
        <v>10.53</v>
      </c>
      <c r="X796" s="130">
        <f t="shared" si="130"/>
        <v>5</v>
      </c>
      <c r="Y796" s="16">
        <f t="shared" si="131"/>
        <v>2.9702118330740879</v>
      </c>
      <c r="Z796" s="15">
        <f>X796-X794</f>
        <v>4.25</v>
      </c>
      <c r="AA796" s="16">
        <f>((U796-1)*W796^2+(U794-1)*W794^2)/((U796-1)+(U794-1))</f>
        <v>121.91089999999998</v>
      </c>
      <c r="AB796" s="16">
        <f>SQRT(AA796*((1/U796)+(1/U794)))</f>
        <v>4.5076028366897329</v>
      </c>
      <c r="AC796" s="66" t="s">
        <v>49</v>
      </c>
      <c r="AD796" s="96" t="s">
        <v>627</v>
      </c>
      <c r="AE796" s="60">
        <v>9</v>
      </c>
      <c r="AF796" s="60">
        <v>3</v>
      </c>
      <c r="AG796" s="60">
        <v>60</v>
      </c>
      <c r="AH796" s="134">
        <v>211360</v>
      </c>
      <c r="AI796" s="134">
        <v>3.5</v>
      </c>
      <c r="AJ796" s="135">
        <f t="shared" si="132"/>
        <v>210</v>
      </c>
      <c r="AK796" s="45">
        <f t="shared" si="136"/>
        <v>630</v>
      </c>
      <c r="AL796" s="136" t="str" cm="1">
        <f t="array" ref="AL796">_xlfn.IFS(
AI796&lt;3,"Ligera",
AI796&lt;=6,"Moderada",
AI796&gt;6,"Vigorosa"
)</f>
        <v>Moderada</v>
      </c>
      <c r="AM796" s="61" t="s">
        <v>49</v>
      </c>
      <c r="AN796" s="61" t="s">
        <v>49</v>
      </c>
      <c r="AO796" s="61" t="s">
        <v>61</v>
      </c>
      <c r="AP796" s="97" t="s">
        <v>62</v>
      </c>
      <c r="AQ796" s="230">
        <v>0</v>
      </c>
      <c r="AR796" s="98"/>
      <c r="AS796" s="98"/>
      <c r="AT796" s="98"/>
      <c r="AU796" s="98"/>
      <c r="AV796" s="98"/>
      <c r="AW796" s="98"/>
      <c r="AX796" s="98"/>
      <c r="AY796" s="98"/>
      <c r="AZ796" s="98"/>
      <c r="BA796" s="98"/>
      <c r="BB796" s="98"/>
      <c r="BC796" s="98"/>
      <c r="BD796" s="98"/>
      <c r="BE796" s="98"/>
      <c r="BF796" s="98"/>
      <c r="BG796" s="98"/>
      <c r="BH796" s="98"/>
      <c r="BI796" s="98"/>
      <c r="BJ796" s="98"/>
      <c r="BK796" s="98"/>
      <c r="BL796" s="98"/>
    </row>
    <row r="797" spans="1:64" s="101" customFormat="1" ht="78.75" customHeight="1" thickBot="1">
      <c r="A797" s="229" t="s">
        <v>622</v>
      </c>
      <c r="B797" s="54">
        <v>36</v>
      </c>
      <c r="C797" s="54">
        <v>66.75</v>
      </c>
      <c r="D797" s="54">
        <v>41.67</v>
      </c>
      <c r="E797" s="54" t="s">
        <v>45</v>
      </c>
      <c r="F797" s="54" t="s">
        <v>45</v>
      </c>
      <c r="G797" s="54" t="s">
        <v>278</v>
      </c>
      <c r="H797" s="54"/>
      <c r="I797" s="54" t="s">
        <v>45</v>
      </c>
      <c r="J797" s="54" t="s">
        <v>47</v>
      </c>
      <c r="K797" s="54" t="s">
        <v>49</v>
      </c>
      <c r="L797" s="54" t="s">
        <v>49</v>
      </c>
      <c r="M797" s="55" t="s">
        <v>50</v>
      </c>
      <c r="N797" s="55" t="s">
        <v>50</v>
      </c>
      <c r="O797" s="55" t="s">
        <v>50</v>
      </c>
      <c r="P797" s="55" t="s">
        <v>51</v>
      </c>
      <c r="Q797" s="94" t="s">
        <v>287</v>
      </c>
      <c r="R797" s="56">
        <v>12</v>
      </c>
      <c r="S797" s="57">
        <v>4</v>
      </c>
      <c r="T797" s="58">
        <v>2.89</v>
      </c>
      <c r="U797" s="56">
        <v>12</v>
      </c>
      <c r="V797" s="56">
        <v>4.16</v>
      </c>
      <c r="W797" s="57">
        <v>3.21</v>
      </c>
      <c r="X797" s="130">
        <f t="shared" si="130"/>
        <v>0.16000000000000014</v>
      </c>
      <c r="Y797" s="16">
        <f t="shared" si="131"/>
        <v>0.88408615718906791</v>
      </c>
      <c r="Z797" s="286" t="s">
        <v>53</v>
      </c>
      <c r="AA797" s="286" t="s">
        <v>53</v>
      </c>
      <c r="AB797" s="16">
        <v>0.88408615718906791</v>
      </c>
      <c r="AC797" s="66" t="s">
        <v>49</v>
      </c>
      <c r="AD797" s="96" t="s">
        <v>623</v>
      </c>
      <c r="AE797" s="60">
        <v>9</v>
      </c>
      <c r="AF797" s="60">
        <v>0</v>
      </c>
      <c r="AG797" s="60">
        <v>0</v>
      </c>
      <c r="AH797" s="134">
        <v>0</v>
      </c>
      <c r="AI797" s="134">
        <v>0</v>
      </c>
      <c r="AJ797" s="135">
        <f t="shared" si="132"/>
        <v>0</v>
      </c>
      <c r="AK797" s="45">
        <f t="shared" si="136"/>
        <v>0</v>
      </c>
      <c r="AL797" s="136" t="str" cm="1">
        <f t="array" ref="AL797">_xlfn.IFS(
AI797&lt;3,"Ligera",
AI797&lt;=6,"Moderada",
AI797&gt;6,"Vigorosa"
)</f>
        <v>Ligera</v>
      </c>
      <c r="AM797" s="61" t="s">
        <v>49</v>
      </c>
      <c r="AN797" s="97" t="s">
        <v>49</v>
      </c>
      <c r="AO797" s="97" t="s">
        <v>49</v>
      </c>
      <c r="AP797" s="97" t="s">
        <v>49</v>
      </c>
      <c r="AQ797" s="230">
        <v>0</v>
      </c>
      <c r="AR797" s="98"/>
      <c r="AS797" s="98"/>
      <c r="AT797" s="98"/>
      <c r="AU797" s="98"/>
      <c r="AV797" s="98"/>
      <c r="AW797" s="98"/>
      <c r="AX797" s="98"/>
      <c r="AY797" s="98"/>
      <c r="AZ797" s="98"/>
      <c r="BA797" s="98"/>
      <c r="BB797" s="98"/>
      <c r="BC797" s="98"/>
      <c r="BD797" s="98"/>
      <c r="BE797" s="98"/>
      <c r="BF797" s="98"/>
      <c r="BG797" s="98"/>
      <c r="BH797" s="98"/>
      <c r="BI797" s="98"/>
      <c r="BJ797" s="98"/>
      <c r="BK797" s="98"/>
      <c r="BL797" s="98"/>
    </row>
    <row r="798" spans="1:64" s="101" customFormat="1" ht="78.75" customHeight="1" thickBot="1">
      <c r="A798" s="229" t="s">
        <v>622</v>
      </c>
      <c r="B798" s="54">
        <v>36</v>
      </c>
      <c r="C798" s="54">
        <v>66.5</v>
      </c>
      <c r="D798" s="54">
        <v>50</v>
      </c>
      <c r="E798" s="54" t="s">
        <v>45</v>
      </c>
      <c r="F798" s="54" t="s">
        <v>45</v>
      </c>
      <c r="G798" s="54" t="s">
        <v>278</v>
      </c>
      <c r="H798" s="54"/>
      <c r="I798" s="54" t="s">
        <v>45</v>
      </c>
      <c r="J798" s="54" t="s">
        <v>47</v>
      </c>
      <c r="K798" s="54" t="s">
        <v>49</v>
      </c>
      <c r="L798" s="54" t="s">
        <v>49</v>
      </c>
      <c r="M798" s="55" t="s">
        <v>56</v>
      </c>
      <c r="N798" s="55" t="s">
        <v>152</v>
      </c>
      <c r="O798" s="55" t="s">
        <v>153</v>
      </c>
      <c r="P798" s="55" t="s">
        <v>51</v>
      </c>
      <c r="Q798" s="94" t="s">
        <v>287</v>
      </c>
      <c r="R798" s="56">
        <v>12</v>
      </c>
      <c r="S798" s="57">
        <v>4.66</v>
      </c>
      <c r="T798" s="58">
        <v>3.28</v>
      </c>
      <c r="U798" s="56">
        <v>12</v>
      </c>
      <c r="V798" s="56">
        <v>10.41</v>
      </c>
      <c r="W798" s="57">
        <v>4.4800000000000004</v>
      </c>
      <c r="X798" s="130">
        <f t="shared" si="130"/>
        <v>5.75</v>
      </c>
      <c r="Y798" s="16">
        <f t="shared" si="131"/>
        <v>1.1595401387331674</v>
      </c>
      <c r="Z798" s="15">
        <f t="shared" si="133"/>
        <v>5.59</v>
      </c>
      <c r="AA798" s="16">
        <f t="shared" si="134"/>
        <v>15.187250000000001</v>
      </c>
      <c r="AB798" s="16">
        <f t="shared" si="135"/>
        <v>1.5909771630458225</v>
      </c>
      <c r="AC798" s="66" t="s">
        <v>49</v>
      </c>
      <c r="AD798" s="96" t="s">
        <v>624</v>
      </c>
      <c r="AE798" s="60">
        <v>9</v>
      </c>
      <c r="AF798" s="60">
        <v>3</v>
      </c>
      <c r="AG798" s="60">
        <v>60</v>
      </c>
      <c r="AH798" s="134">
        <v>2240060</v>
      </c>
      <c r="AI798" s="134">
        <v>5.5</v>
      </c>
      <c r="AJ798" s="135">
        <f t="shared" si="132"/>
        <v>330</v>
      </c>
      <c r="AK798" s="45">
        <f t="shared" si="136"/>
        <v>990</v>
      </c>
      <c r="AL798" s="136" t="str" cm="1">
        <f t="array" ref="AL798">_xlfn.IFS(
AI798&lt;3,"Ligera",
AI798&lt;=6,"Moderada",
AI798&gt;6,"Vigorosa"
)</f>
        <v>Moderada</v>
      </c>
      <c r="AM798" s="61" t="s">
        <v>49</v>
      </c>
      <c r="AN798" s="61" t="s">
        <v>49</v>
      </c>
      <c r="AO798" s="61" t="s">
        <v>61</v>
      </c>
      <c r="AP798" s="97" t="s">
        <v>62</v>
      </c>
      <c r="AQ798" s="230">
        <v>0</v>
      </c>
      <c r="AR798" s="98"/>
      <c r="AS798" s="98"/>
      <c r="AT798" s="98"/>
      <c r="AU798" s="98"/>
      <c r="AV798" s="98"/>
      <c r="AW798" s="98"/>
      <c r="AX798" s="98"/>
      <c r="AY798" s="98"/>
      <c r="AZ798" s="98"/>
      <c r="BA798" s="98"/>
      <c r="BB798" s="98"/>
      <c r="BC798" s="98"/>
      <c r="BD798" s="98"/>
      <c r="BE798" s="98"/>
      <c r="BF798" s="98"/>
      <c r="BG798" s="98"/>
      <c r="BH798" s="98"/>
      <c r="BI798" s="98"/>
      <c r="BJ798" s="98"/>
      <c r="BK798" s="98"/>
      <c r="BL798" s="98"/>
    </row>
    <row r="799" spans="1:64" s="101" customFormat="1" ht="78.75" customHeight="1" thickBot="1">
      <c r="A799" s="229" t="s">
        <v>622</v>
      </c>
      <c r="B799" s="54">
        <v>36</v>
      </c>
      <c r="C799" s="54">
        <v>67.5</v>
      </c>
      <c r="D799" s="54">
        <v>50</v>
      </c>
      <c r="E799" s="54" t="s">
        <v>45</v>
      </c>
      <c r="F799" s="54" t="s">
        <v>45</v>
      </c>
      <c r="G799" s="54" t="s">
        <v>278</v>
      </c>
      <c r="H799" s="54"/>
      <c r="I799" s="54" t="s">
        <v>45</v>
      </c>
      <c r="J799" s="54" t="s">
        <v>47</v>
      </c>
      <c r="K799" s="54" t="s">
        <v>49</v>
      </c>
      <c r="L799" s="54" t="s">
        <v>49</v>
      </c>
      <c r="M799" s="55" t="s">
        <v>56</v>
      </c>
      <c r="N799" s="55" t="s">
        <v>233</v>
      </c>
      <c r="O799" s="55" t="s">
        <v>233</v>
      </c>
      <c r="P799" s="55" t="s">
        <v>51</v>
      </c>
      <c r="Q799" s="94" t="s">
        <v>287</v>
      </c>
      <c r="R799" s="56">
        <v>12</v>
      </c>
      <c r="S799" s="57">
        <v>4.83</v>
      </c>
      <c r="T799" s="58">
        <v>2.79</v>
      </c>
      <c r="U799" s="56">
        <v>12</v>
      </c>
      <c r="V799" s="56">
        <v>12</v>
      </c>
      <c r="W799" s="57">
        <v>5.18</v>
      </c>
      <c r="X799" s="130">
        <f t="shared" si="130"/>
        <v>7.17</v>
      </c>
      <c r="Y799" s="16">
        <f t="shared" si="131"/>
        <v>1.2962863623957992</v>
      </c>
      <c r="Z799" s="15">
        <f>X799-X797</f>
        <v>7.01</v>
      </c>
      <c r="AA799" s="16">
        <f>((U799-1)*W799^2+(U797-1)*W797^2)/((U799-1)+(U797-1))</f>
        <v>18.568249999999999</v>
      </c>
      <c r="AB799" s="16">
        <f>SQRT(AA799*((1/U799)+(1/U797)))</f>
        <v>1.7591783119778772</v>
      </c>
      <c r="AC799" s="66" t="s">
        <v>49</v>
      </c>
      <c r="AD799" s="96" t="s">
        <v>627</v>
      </c>
      <c r="AE799" s="60">
        <v>9</v>
      </c>
      <c r="AF799" s="60">
        <v>3</v>
      </c>
      <c r="AG799" s="60">
        <v>60</v>
      </c>
      <c r="AH799" s="134">
        <v>211360</v>
      </c>
      <c r="AI799" s="134">
        <v>3.5</v>
      </c>
      <c r="AJ799" s="135">
        <f t="shared" si="132"/>
        <v>210</v>
      </c>
      <c r="AK799" s="45">
        <f t="shared" si="136"/>
        <v>630</v>
      </c>
      <c r="AL799" s="136" t="str" cm="1">
        <f t="array" ref="AL799">_xlfn.IFS(
AI799&lt;3,"Ligera",
AI799&lt;=6,"Moderada",
AI799&gt;6,"Vigorosa"
)</f>
        <v>Moderada</v>
      </c>
      <c r="AM799" s="61" t="s">
        <v>49</v>
      </c>
      <c r="AN799" s="61" t="s">
        <v>49</v>
      </c>
      <c r="AO799" s="61" t="s">
        <v>61</v>
      </c>
      <c r="AP799" s="97" t="s">
        <v>62</v>
      </c>
      <c r="AQ799" s="230">
        <v>0</v>
      </c>
      <c r="AR799" s="98"/>
      <c r="AS799" s="98"/>
      <c r="AT799" s="98"/>
      <c r="AU799" s="98"/>
      <c r="AV799" s="98"/>
      <c r="AW799" s="98"/>
      <c r="AX799" s="98"/>
      <c r="AY799" s="98"/>
      <c r="AZ799" s="98"/>
      <c r="BA799" s="98"/>
      <c r="BB799" s="98"/>
      <c r="BC799" s="98"/>
      <c r="BD799" s="98"/>
      <c r="BE799" s="98"/>
      <c r="BF799" s="98"/>
      <c r="BG799" s="98"/>
      <c r="BH799" s="98"/>
      <c r="BI799" s="98"/>
      <c r="BJ799" s="98"/>
      <c r="BK799" s="98"/>
      <c r="BL799" s="98"/>
    </row>
    <row r="800" spans="1:64" s="101" customFormat="1" ht="78.75" customHeight="1" thickBot="1">
      <c r="A800" s="229" t="s">
        <v>622</v>
      </c>
      <c r="B800" s="54">
        <v>36</v>
      </c>
      <c r="C800" s="54">
        <v>66.75</v>
      </c>
      <c r="D800" s="54">
        <v>41.67</v>
      </c>
      <c r="E800" s="54" t="s">
        <v>45</v>
      </c>
      <c r="F800" s="54" t="s">
        <v>45</v>
      </c>
      <c r="G800" s="54" t="s">
        <v>278</v>
      </c>
      <c r="H800" s="54"/>
      <c r="I800" s="54" t="s">
        <v>45</v>
      </c>
      <c r="J800" s="54" t="s">
        <v>47</v>
      </c>
      <c r="K800" s="54" t="s">
        <v>49</v>
      </c>
      <c r="L800" s="54" t="s">
        <v>49</v>
      </c>
      <c r="M800" s="55" t="s">
        <v>50</v>
      </c>
      <c r="N800" s="55" t="s">
        <v>50</v>
      </c>
      <c r="O800" s="55" t="s">
        <v>50</v>
      </c>
      <c r="P800" s="55" t="s">
        <v>51</v>
      </c>
      <c r="Q800" s="94" t="s">
        <v>288</v>
      </c>
      <c r="R800" s="56">
        <v>12</v>
      </c>
      <c r="S800" s="57">
        <v>3.5</v>
      </c>
      <c r="T800" s="58">
        <v>2.67</v>
      </c>
      <c r="U800" s="56">
        <v>12</v>
      </c>
      <c r="V800" s="56">
        <v>3.75</v>
      </c>
      <c r="W800" s="57">
        <v>2.76</v>
      </c>
      <c r="X800" s="130">
        <f t="shared" si="130"/>
        <v>0.25</v>
      </c>
      <c r="Y800" s="16">
        <f t="shared" si="131"/>
        <v>0.78407588918420379</v>
      </c>
      <c r="Z800" s="286" t="s">
        <v>53</v>
      </c>
      <c r="AA800" s="286" t="s">
        <v>53</v>
      </c>
      <c r="AB800" s="16">
        <v>0.78407588918420379</v>
      </c>
      <c r="AC800" s="66" t="s">
        <v>49</v>
      </c>
      <c r="AD800" s="96" t="s">
        <v>623</v>
      </c>
      <c r="AE800" s="60">
        <v>9</v>
      </c>
      <c r="AF800" s="60">
        <v>0</v>
      </c>
      <c r="AG800" s="60">
        <v>0</v>
      </c>
      <c r="AH800" s="134">
        <v>0</v>
      </c>
      <c r="AI800" s="134">
        <v>0</v>
      </c>
      <c r="AJ800" s="135">
        <f t="shared" si="132"/>
        <v>0</v>
      </c>
      <c r="AK800" s="45">
        <f t="shared" si="136"/>
        <v>0</v>
      </c>
      <c r="AL800" s="136" t="str" cm="1">
        <f t="array" ref="AL800">_xlfn.IFS(
AI800&lt;3,"Ligera",
AI800&lt;=6,"Moderada",
AI800&gt;6,"Vigorosa"
)</f>
        <v>Ligera</v>
      </c>
      <c r="AM800" s="61" t="s">
        <v>49</v>
      </c>
      <c r="AN800" s="97" t="s">
        <v>49</v>
      </c>
      <c r="AO800" s="97" t="s">
        <v>49</v>
      </c>
      <c r="AP800" s="97" t="s">
        <v>49</v>
      </c>
      <c r="AQ800" s="230">
        <v>0</v>
      </c>
      <c r="AR800" s="98"/>
      <c r="AS800" s="98"/>
      <c r="AT800" s="98"/>
      <c r="AU800" s="98"/>
      <c r="AV800" s="98"/>
      <c r="AW800" s="98"/>
      <c r="AX800" s="98"/>
      <c r="AY800" s="98"/>
      <c r="AZ800" s="98"/>
      <c r="BA800" s="98"/>
      <c r="BB800" s="98"/>
      <c r="BC800" s="98"/>
      <c r="BD800" s="98"/>
      <c r="BE800" s="98"/>
      <c r="BF800" s="98"/>
      <c r="BG800" s="98"/>
      <c r="BH800" s="98"/>
      <c r="BI800" s="98"/>
      <c r="BJ800" s="98"/>
      <c r="BK800" s="98"/>
      <c r="BL800" s="98"/>
    </row>
    <row r="801" spans="1:64" s="101" customFormat="1" ht="78.75" customHeight="1" thickBot="1">
      <c r="A801" s="229" t="s">
        <v>622</v>
      </c>
      <c r="B801" s="54">
        <v>36</v>
      </c>
      <c r="C801" s="54">
        <v>66.5</v>
      </c>
      <c r="D801" s="54">
        <v>50</v>
      </c>
      <c r="E801" s="54" t="s">
        <v>45</v>
      </c>
      <c r="F801" s="54" t="s">
        <v>45</v>
      </c>
      <c r="G801" s="54" t="s">
        <v>278</v>
      </c>
      <c r="H801" s="54"/>
      <c r="I801" s="54" t="s">
        <v>45</v>
      </c>
      <c r="J801" s="54" t="s">
        <v>47</v>
      </c>
      <c r="K801" s="54" t="s">
        <v>49</v>
      </c>
      <c r="L801" s="54" t="s">
        <v>49</v>
      </c>
      <c r="M801" s="55" t="s">
        <v>56</v>
      </c>
      <c r="N801" s="55" t="s">
        <v>152</v>
      </c>
      <c r="O801" s="55" t="s">
        <v>153</v>
      </c>
      <c r="P801" s="55" t="s">
        <v>51</v>
      </c>
      <c r="Q801" s="94" t="s">
        <v>288</v>
      </c>
      <c r="R801" s="56">
        <v>12</v>
      </c>
      <c r="S801" s="57">
        <v>3.83</v>
      </c>
      <c r="T801" s="58">
        <v>1.89</v>
      </c>
      <c r="U801" s="56">
        <v>12</v>
      </c>
      <c r="V801" s="56">
        <v>8.5</v>
      </c>
      <c r="W801" s="57">
        <v>3.84</v>
      </c>
      <c r="X801" s="130">
        <f t="shared" si="130"/>
        <v>4.67</v>
      </c>
      <c r="Y801" s="16">
        <f t="shared" si="131"/>
        <v>0.96003906170530373</v>
      </c>
      <c r="Z801" s="15">
        <f t="shared" si="133"/>
        <v>4.42</v>
      </c>
      <c r="AA801" s="16">
        <f t="shared" si="134"/>
        <v>11.181599999999998</v>
      </c>
      <c r="AB801" s="16">
        <f t="shared" si="135"/>
        <v>1.3651373557265216</v>
      </c>
      <c r="AC801" s="66" t="s">
        <v>49</v>
      </c>
      <c r="AD801" s="96" t="s">
        <v>624</v>
      </c>
      <c r="AE801" s="60">
        <v>9</v>
      </c>
      <c r="AF801" s="60">
        <v>3</v>
      </c>
      <c r="AG801" s="60">
        <v>60</v>
      </c>
      <c r="AH801" s="134">
        <v>2240060</v>
      </c>
      <c r="AI801" s="134">
        <v>5.5</v>
      </c>
      <c r="AJ801" s="135">
        <f t="shared" si="132"/>
        <v>330</v>
      </c>
      <c r="AK801" s="45">
        <f t="shared" si="136"/>
        <v>990</v>
      </c>
      <c r="AL801" s="136" t="str" cm="1">
        <f t="array" ref="AL801">_xlfn.IFS(
AI801&lt;3,"Ligera",
AI801&lt;=6,"Moderada",
AI801&gt;6,"Vigorosa"
)</f>
        <v>Moderada</v>
      </c>
      <c r="AM801" s="61" t="s">
        <v>49</v>
      </c>
      <c r="AN801" s="61" t="s">
        <v>49</v>
      </c>
      <c r="AO801" s="61" t="s">
        <v>61</v>
      </c>
      <c r="AP801" s="97" t="s">
        <v>62</v>
      </c>
      <c r="AQ801" s="230">
        <v>0</v>
      </c>
      <c r="AR801" s="98"/>
      <c r="AS801" s="98"/>
      <c r="AT801" s="98"/>
      <c r="AU801" s="98"/>
      <c r="AV801" s="98"/>
      <c r="AW801" s="98"/>
      <c r="AX801" s="98"/>
      <c r="AY801" s="98"/>
      <c r="AZ801" s="98"/>
      <c r="BA801" s="98"/>
      <c r="BB801" s="98"/>
      <c r="BC801" s="98"/>
      <c r="BD801" s="98"/>
      <c r="BE801" s="98"/>
      <c r="BF801" s="98"/>
      <c r="BG801" s="98"/>
      <c r="BH801" s="98"/>
      <c r="BI801" s="98"/>
      <c r="BJ801" s="98"/>
      <c r="BK801" s="98"/>
      <c r="BL801" s="98"/>
    </row>
    <row r="802" spans="1:64" s="101" customFormat="1" ht="78.75" customHeight="1" thickBot="1">
      <c r="A802" s="229" t="s">
        <v>622</v>
      </c>
      <c r="B802" s="54">
        <v>36</v>
      </c>
      <c r="C802" s="54">
        <v>67.5</v>
      </c>
      <c r="D802" s="54">
        <v>50</v>
      </c>
      <c r="E802" s="54" t="s">
        <v>45</v>
      </c>
      <c r="F802" s="54" t="s">
        <v>45</v>
      </c>
      <c r="G802" s="54" t="s">
        <v>278</v>
      </c>
      <c r="H802" s="54"/>
      <c r="I802" s="54" t="s">
        <v>45</v>
      </c>
      <c r="J802" s="54" t="s">
        <v>47</v>
      </c>
      <c r="K802" s="54" t="s">
        <v>49</v>
      </c>
      <c r="L802" s="54" t="s">
        <v>49</v>
      </c>
      <c r="M802" s="55" t="s">
        <v>56</v>
      </c>
      <c r="N802" s="55" t="s">
        <v>233</v>
      </c>
      <c r="O802" s="55" t="s">
        <v>233</v>
      </c>
      <c r="P802" s="55" t="s">
        <v>51</v>
      </c>
      <c r="Q802" s="94" t="s">
        <v>288</v>
      </c>
      <c r="R802" s="56">
        <v>12</v>
      </c>
      <c r="S802" s="57">
        <v>4</v>
      </c>
      <c r="T802" s="58">
        <v>2.5499999999999998</v>
      </c>
      <c r="U802" s="56">
        <v>12</v>
      </c>
      <c r="V802" s="56">
        <v>11.41</v>
      </c>
      <c r="W802" s="57">
        <v>4.9000000000000004</v>
      </c>
      <c r="X802" s="130">
        <f t="shared" si="130"/>
        <v>7.41</v>
      </c>
      <c r="Y802" s="16">
        <f t="shared" si="131"/>
        <v>1.2253400888460861</v>
      </c>
      <c r="Z802" s="15">
        <f>X802-X800</f>
        <v>7.16</v>
      </c>
      <c r="AA802" s="16">
        <f>((U802-1)*W802^2+(U800-1)*W800^2)/((U802-1)+(U800-1))</f>
        <v>15.813800000000002</v>
      </c>
      <c r="AB802" s="16">
        <f>SQRT(AA802*((1/U802)+(1/U800)))</f>
        <v>1.623463376036963</v>
      </c>
      <c r="AC802" s="66" t="s">
        <v>49</v>
      </c>
      <c r="AD802" s="96" t="s">
        <v>627</v>
      </c>
      <c r="AE802" s="60">
        <v>9</v>
      </c>
      <c r="AF802" s="60">
        <v>3</v>
      </c>
      <c r="AG802" s="60">
        <v>60</v>
      </c>
      <c r="AH802" s="134">
        <v>211360</v>
      </c>
      <c r="AI802" s="134">
        <v>3.5</v>
      </c>
      <c r="AJ802" s="135">
        <f t="shared" si="132"/>
        <v>210</v>
      </c>
      <c r="AK802" s="45">
        <f t="shared" si="136"/>
        <v>630</v>
      </c>
      <c r="AL802" s="136" t="str" cm="1">
        <f t="array" ref="AL802">_xlfn.IFS(
AI802&lt;3,"Ligera",
AI802&lt;=6,"Moderada",
AI802&gt;6,"Vigorosa"
)</f>
        <v>Moderada</v>
      </c>
      <c r="AM802" s="61" t="s">
        <v>49</v>
      </c>
      <c r="AN802" s="61" t="s">
        <v>49</v>
      </c>
      <c r="AO802" s="61" t="s">
        <v>61</v>
      </c>
      <c r="AP802" s="97" t="s">
        <v>62</v>
      </c>
      <c r="AQ802" s="230">
        <v>0</v>
      </c>
      <c r="AR802" s="98"/>
      <c r="AS802" s="98"/>
      <c r="AT802" s="98"/>
      <c r="AU802" s="98"/>
      <c r="AV802" s="98"/>
      <c r="AW802" s="98"/>
      <c r="AX802" s="98"/>
      <c r="AY802" s="98"/>
      <c r="AZ802" s="98"/>
      <c r="BA802" s="98"/>
      <c r="BB802" s="98"/>
      <c r="BC802" s="98"/>
      <c r="BD802" s="98"/>
      <c r="BE802" s="98"/>
      <c r="BF802" s="98"/>
      <c r="BG802" s="98"/>
      <c r="BH802" s="98"/>
      <c r="BI802" s="98"/>
      <c r="BJ802" s="98"/>
      <c r="BK802" s="98"/>
      <c r="BL802" s="98"/>
    </row>
    <row r="803" spans="1:64" s="101" customFormat="1" ht="78.75" customHeight="1" thickBot="1">
      <c r="A803" s="217" t="s">
        <v>630</v>
      </c>
      <c r="B803" s="218">
        <v>191</v>
      </c>
      <c r="C803" s="218">
        <v>84.2</v>
      </c>
      <c r="D803" s="218">
        <v>28</v>
      </c>
      <c r="E803" s="218" t="s">
        <v>45</v>
      </c>
      <c r="F803" s="218" t="s">
        <v>45</v>
      </c>
      <c r="G803" s="218" t="s">
        <v>416</v>
      </c>
      <c r="H803" s="218"/>
      <c r="I803" s="218" t="s">
        <v>45</v>
      </c>
      <c r="J803" s="218" t="s">
        <v>47</v>
      </c>
      <c r="K803" s="218" t="s">
        <v>48</v>
      </c>
      <c r="L803" s="218" t="s">
        <v>48</v>
      </c>
      <c r="M803" s="219" t="s">
        <v>50</v>
      </c>
      <c r="N803" s="219" t="s">
        <v>50</v>
      </c>
      <c r="O803" s="219" t="s">
        <v>50</v>
      </c>
      <c r="P803" s="219" t="s">
        <v>94</v>
      </c>
      <c r="Q803" s="220" t="s">
        <v>119</v>
      </c>
      <c r="R803" s="221">
        <v>100</v>
      </c>
      <c r="S803" s="222">
        <v>18</v>
      </c>
      <c r="T803" s="223">
        <v>5.3</v>
      </c>
      <c r="U803" s="222">
        <v>96</v>
      </c>
      <c r="V803" s="221" t="s">
        <v>47</v>
      </c>
      <c r="W803" s="222" t="s">
        <v>47</v>
      </c>
      <c r="X803" s="130"/>
      <c r="Y803" s="16"/>
      <c r="Z803" s="286"/>
      <c r="AA803" s="286"/>
      <c r="AB803" s="16"/>
      <c r="AC803" s="66" t="s">
        <v>49</v>
      </c>
      <c r="AD803" s="224" t="s">
        <v>631</v>
      </c>
      <c r="AE803" s="225">
        <v>12</v>
      </c>
      <c r="AF803" s="225">
        <v>0</v>
      </c>
      <c r="AG803" s="225">
        <v>0</v>
      </c>
      <c r="AH803" s="134">
        <v>0</v>
      </c>
      <c r="AI803" s="134">
        <v>0</v>
      </c>
      <c r="AJ803" s="135">
        <f t="shared" si="132"/>
        <v>0</v>
      </c>
      <c r="AK803" s="45">
        <f t="shared" si="136"/>
        <v>0</v>
      </c>
      <c r="AL803" s="136" t="str" cm="1">
        <f t="array" ref="AL803">_xlfn.IFS(
AI803&lt;3,"Ligera",
AI803&lt;=6,"Moderada",
AI803&gt;6,"Vigorosa"
)</f>
        <v>Ligera</v>
      </c>
      <c r="AM803" s="226" t="s">
        <v>49</v>
      </c>
      <c r="AN803" s="227" t="s">
        <v>49</v>
      </c>
      <c r="AO803" s="227" t="s">
        <v>49</v>
      </c>
      <c r="AP803" s="227" t="s">
        <v>49</v>
      </c>
      <c r="AQ803" s="228">
        <v>0</v>
      </c>
    </row>
    <row r="804" spans="1:64" s="101" customFormat="1" ht="78.75" customHeight="1" thickBot="1">
      <c r="A804" s="229" t="s">
        <v>630</v>
      </c>
      <c r="B804" s="54">
        <v>191</v>
      </c>
      <c r="C804" s="54">
        <v>85.3</v>
      </c>
      <c r="D804" s="54">
        <v>26</v>
      </c>
      <c r="E804" s="54" t="s">
        <v>45</v>
      </c>
      <c r="F804" s="54" t="s">
        <v>45</v>
      </c>
      <c r="G804" s="54" t="s">
        <v>416</v>
      </c>
      <c r="H804" s="54"/>
      <c r="I804" s="54" t="s">
        <v>45</v>
      </c>
      <c r="J804" s="54" t="s">
        <v>47</v>
      </c>
      <c r="K804" s="54" t="s">
        <v>48</v>
      </c>
      <c r="L804" s="54" t="s">
        <v>48</v>
      </c>
      <c r="M804" s="55" t="s">
        <v>56</v>
      </c>
      <c r="N804" s="55" t="s">
        <v>76</v>
      </c>
      <c r="O804" s="55" t="s">
        <v>103</v>
      </c>
      <c r="P804" s="55" t="s">
        <v>94</v>
      </c>
      <c r="Q804" s="94" t="s">
        <v>119</v>
      </c>
      <c r="R804" s="56">
        <v>91</v>
      </c>
      <c r="S804" s="58">
        <v>17.5</v>
      </c>
      <c r="T804" s="58">
        <v>5</v>
      </c>
      <c r="U804" s="57">
        <v>87</v>
      </c>
      <c r="V804" s="56" t="s">
        <v>47</v>
      </c>
      <c r="W804" s="57" t="s">
        <v>47</v>
      </c>
      <c r="X804" s="130"/>
      <c r="Y804" s="16"/>
      <c r="Z804" s="15"/>
      <c r="AA804" s="16"/>
      <c r="AB804" s="16"/>
      <c r="AC804" s="66" t="s">
        <v>49</v>
      </c>
      <c r="AD804" s="96" t="s">
        <v>632</v>
      </c>
      <c r="AE804" s="60">
        <v>12</v>
      </c>
      <c r="AF804" s="60">
        <v>2.5</v>
      </c>
      <c r="AG804" s="60">
        <v>45</v>
      </c>
      <c r="AH804" s="134">
        <v>211360</v>
      </c>
      <c r="AI804" s="134">
        <v>3.5</v>
      </c>
      <c r="AJ804" s="135">
        <f t="shared" si="132"/>
        <v>157.5</v>
      </c>
      <c r="AK804" s="45">
        <f t="shared" si="136"/>
        <v>393.75</v>
      </c>
      <c r="AL804" s="136" t="str" cm="1">
        <f t="array" ref="AL804">_xlfn.IFS(
AI804&lt;3,"Ligera",
AI804&lt;=6,"Moderada",
AI804&gt;6,"Vigorosa"
)</f>
        <v>Moderada</v>
      </c>
      <c r="AM804" s="61" t="s">
        <v>48</v>
      </c>
      <c r="AN804" s="61" t="s">
        <v>60</v>
      </c>
      <c r="AO804" s="61" t="s">
        <v>61</v>
      </c>
      <c r="AP804" s="97" t="s">
        <v>155</v>
      </c>
      <c r="AQ804" s="230">
        <v>0</v>
      </c>
    </row>
    <row r="805" spans="1:64" s="101" customFormat="1" ht="78.75" customHeight="1" thickBot="1">
      <c r="A805" s="229" t="s">
        <v>630</v>
      </c>
      <c r="B805" s="54">
        <v>191</v>
      </c>
      <c r="C805" s="54">
        <v>84.2</v>
      </c>
      <c r="D805" s="54">
        <v>28</v>
      </c>
      <c r="E805" s="54" t="s">
        <v>45</v>
      </c>
      <c r="F805" s="54" t="s">
        <v>45</v>
      </c>
      <c r="G805" s="54" t="s">
        <v>416</v>
      </c>
      <c r="H805" s="54"/>
      <c r="I805" s="54" t="s">
        <v>45</v>
      </c>
      <c r="J805" s="54" t="s">
        <v>47</v>
      </c>
      <c r="K805" s="54" t="s">
        <v>48</v>
      </c>
      <c r="L805" s="54" t="s">
        <v>48</v>
      </c>
      <c r="M805" s="55" t="s">
        <v>50</v>
      </c>
      <c r="N805" s="55" t="s">
        <v>50</v>
      </c>
      <c r="O805" s="55" t="s">
        <v>50</v>
      </c>
      <c r="P805" s="11" t="s">
        <v>86</v>
      </c>
      <c r="Q805" s="94" t="s">
        <v>87</v>
      </c>
      <c r="R805" s="56">
        <v>100</v>
      </c>
      <c r="S805" s="57">
        <v>26.6</v>
      </c>
      <c r="T805" s="58">
        <v>14.4</v>
      </c>
      <c r="U805" s="57">
        <v>96</v>
      </c>
      <c r="V805" s="56" t="s">
        <v>47</v>
      </c>
      <c r="W805" s="57" t="s">
        <v>47</v>
      </c>
      <c r="X805" s="130"/>
      <c r="Y805" s="16"/>
      <c r="Z805" s="286"/>
      <c r="AA805" s="286"/>
      <c r="AB805" s="16"/>
      <c r="AC805" s="66" t="s">
        <v>49</v>
      </c>
      <c r="AD805" s="96" t="s">
        <v>631</v>
      </c>
      <c r="AE805" s="60">
        <v>12</v>
      </c>
      <c r="AF805" s="60">
        <v>0</v>
      </c>
      <c r="AG805" s="60">
        <v>0</v>
      </c>
      <c r="AH805" s="134">
        <v>0</v>
      </c>
      <c r="AI805" s="134">
        <v>0</v>
      </c>
      <c r="AJ805" s="135">
        <f t="shared" si="132"/>
        <v>0</v>
      </c>
      <c r="AK805" s="45">
        <f t="shared" si="136"/>
        <v>0</v>
      </c>
      <c r="AL805" s="136" t="str" cm="1">
        <f t="array" ref="AL805">_xlfn.IFS(
AI805&lt;3,"Ligera",
AI805&lt;=6,"Moderada",
AI805&gt;6,"Vigorosa"
)</f>
        <v>Ligera</v>
      </c>
      <c r="AM805" s="61" t="s">
        <v>49</v>
      </c>
      <c r="AN805" s="97" t="s">
        <v>49</v>
      </c>
      <c r="AO805" s="97" t="s">
        <v>49</v>
      </c>
      <c r="AP805" s="97" t="s">
        <v>49</v>
      </c>
      <c r="AQ805" s="230">
        <v>0</v>
      </c>
    </row>
    <row r="806" spans="1:64" s="101" customFormat="1" ht="78.75" customHeight="1" thickBot="1">
      <c r="A806" s="229" t="s">
        <v>630</v>
      </c>
      <c r="B806" s="54">
        <v>191</v>
      </c>
      <c r="C806" s="54">
        <v>85.3</v>
      </c>
      <c r="D806" s="54">
        <v>26</v>
      </c>
      <c r="E806" s="54" t="s">
        <v>45</v>
      </c>
      <c r="F806" s="54" t="s">
        <v>45</v>
      </c>
      <c r="G806" s="54" t="s">
        <v>416</v>
      </c>
      <c r="H806" s="54"/>
      <c r="I806" s="54" t="s">
        <v>45</v>
      </c>
      <c r="J806" s="54" t="s">
        <v>47</v>
      </c>
      <c r="K806" s="54" t="s">
        <v>48</v>
      </c>
      <c r="L806" s="54" t="s">
        <v>48</v>
      </c>
      <c r="M806" s="55" t="s">
        <v>56</v>
      </c>
      <c r="N806" s="55" t="s">
        <v>76</v>
      </c>
      <c r="O806" s="55" t="s">
        <v>103</v>
      </c>
      <c r="P806" s="11" t="s">
        <v>86</v>
      </c>
      <c r="Q806" s="94" t="s">
        <v>87</v>
      </c>
      <c r="R806" s="56">
        <v>91</v>
      </c>
      <c r="S806" s="58">
        <v>26.6</v>
      </c>
      <c r="T806" s="58">
        <v>15.3</v>
      </c>
      <c r="U806" s="57">
        <v>87</v>
      </c>
      <c r="V806" s="56" t="s">
        <v>47</v>
      </c>
      <c r="W806" s="57" t="s">
        <v>47</v>
      </c>
      <c r="X806" s="130"/>
      <c r="Y806" s="16"/>
      <c r="Z806" s="15"/>
      <c r="AA806" s="16"/>
      <c r="AB806" s="16"/>
      <c r="AC806" s="66" t="s">
        <v>49</v>
      </c>
      <c r="AD806" s="96" t="s">
        <v>632</v>
      </c>
      <c r="AE806" s="60">
        <v>12</v>
      </c>
      <c r="AF806" s="60">
        <v>2.5</v>
      </c>
      <c r="AG806" s="60">
        <v>45</v>
      </c>
      <c r="AH806" s="134">
        <v>211360</v>
      </c>
      <c r="AI806" s="134">
        <v>3.5</v>
      </c>
      <c r="AJ806" s="135">
        <f t="shared" si="132"/>
        <v>157.5</v>
      </c>
      <c r="AK806" s="45">
        <f t="shared" si="136"/>
        <v>393.75</v>
      </c>
      <c r="AL806" s="136" t="str" cm="1">
        <f t="array" ref="AL806">_xlfn.IFS(
AI806&lt;3,"Ligera",
AI806&lt;=6,"Moderada",
AI806&gt;6,"Vigorosa"
)</f>
        <v>Moderada</v>
      </c>
      <c r="AM806" s="61" t="s">
        <v>48</v>
      </c>
      <c r="AN806" s="61" t="s">
        <v>60</v>
      </c>
      <c r="AO806" s="61" t="s">
        <v>61</v>
      </c>
      <c r="AP806" s="97" t="s">
        <v>155</v>
      </c>
      <c r="AQ806" s="230">
        <v>0</v>
      </c>
    </row>
    <row r="807" spans="1:64" s="101" customFormat="1" ht="78.75" customHeight="1" thickBot="1">
      <c r="A807" s="295" t="s">
        <v>633</v>
      </c>
      <c r="B807" s="218">
        <v>162</v>
      </c>
      <c r="C807" s="218">
        <v>82.85</v>
      </c>
      <c r="D807" s="218">
        <v>7.6</v>
      </c>
      <c r="E807" s="218" t="s">
        <v>45</v>
      </c>
      <c r="F807" s="218" t="s">
        <v>45</v>
      </c>
      <c r="G807" s="218" t="s">
        <v>403</v>
      </c>
      <c r="H807" s="218"/>
      <c r="I807" s="218" t="s">
        <v>45</v>
      </c>
      <c r="J807" s="218" t="s">
        <v>47</v>
      </c>
      <c r="K807" s="218" t="s">
        <v>49</v>
      </c>
      <c r="L807" s="218" t="s">
        <v>49</v>
      </c>
      <c r="M807" s="219" t="s">
        <v>50</v>
      </c>
      <c r="N807" s="219" t="s">
        <v>50</v>
      </c>
      <c r="O807" s="219" t="s">
        <v>50</v>
      </c>
      <c r="P807" s="219" t="s">
        <v>94</v>
      </c>
      <c r="Q807" s="220" t="s">
        <v>119</v>
      </c>
      <c r="R807" s="221">
        <v>83</v>
      </c>
      <c r="S807" s="222">
        <v>24.8</v>
      </c>
      <c r="T807" s="223">
        <v>3.78</v>
      </c>
      <c r="U807" s="221">
        <v>83</v>
      </c>
      <c r="V807" s="221" t="s">
        <v>47</v>
      </c>
      <c r="W807" s="222" t="s">
        <v>47</v>
      </c>
      <c r="X807" s="130"/>
      <c r="Y807" s="16"/>
      <c r="Z807" s="286"/>
      <c r="AA807" s="286"/>
      <c r="AB807" s="16"/>
      <c r="AC807" s="66" t="s">
        <v>49</v>
      </c>
      <c r="AD807" s="224" t="s">
        <v>634</v>
      </c>
      <c r="AE807" s="225">
        <v>12</v>
      </c>
      <c r="AF807" s="225">
        <v>0</v>
      </c>
      <c r="AG807" s="225">
        <v>0</v>
      </c>
      <c r="AH807" s="134">
        <v>0</v>
      </c>
      <c r="AI807" s="134">
        <v>0</v>
      </c>
      <c r="AJ807" s="135">
        <f t="shared" si="132"/>
        <v>0</v>
      </c>
      <c r="AK807" s="45">
        <f t="shared" si="136"/>
        <v>0</v>
      </c>
      <c r="AL807" s="136" t="str" cm="1">
        <f t="array" ref="AL807">_xlfn.IFS(
AI807&lt;3,"Ligera",
AI807&lt;=6,"Moderada",
AI807&gt;6,"Vigorosa"
)</f>
        <v>Ligera</v>
      </c>
      <c r="AM807" s="226" t="s">
        <v>49</v>
      </c>
      <c r="AN807" s="227" t="s">
        <v>49</v>
      </c>
      <c r="AO807" s="227" t="s">
        <v>49</v>
      </c>
      <c r="AP807" s="227" t="s">
        <v>49</v>
      </c>
      <c r="AQ807" s="228">
        <v>0</v>
      </c>
    </row>
    <row r="808" spans="1:64" s="101" customFormat="1" ht="78.75" customHeight="1" thickBot="1">
      <c r="A808" s="296" t="s">
        <v>633</v>
      </c>
      <c r="B808" s="54">
        <v>162</v>
      </c>
      <c r="C808" s="54">
        <v>83.38</v>
      </c>
      <c r="D808" s="54">
        <v>8.4</v>
      </c>
      <c r="E808" s="54" t="s">
        <v>45</v>
      </c>
      <c r="F808" s="54" t="s">
        <v>45</v>
      </c>
      <c r="G808" s="54" t="s">
        <v>403</v>
      </c>
      <c r="H808" s="54"/>
      <c r="I808" s="54" t="s">
        <v>45</v>
      </c>
      <c r="J808" s="54" t="s">
        <v>47</v>
      </c>
      <c r="K808" s="54" t="s">
        <v>49</v>
      </c>
      <c r="L808" s="54" t="s">
        <v>49</v>
      </c>
      <c r="M808" s="55" t="s">
        <v>56</v>
      </c>
      <c r="N808" s="55" t="s">
        <v>162</v>
      </c>
      <c r="O808" s="55" t="s">
        <v>297</v>
      </c>
      <c r="P808" s="55" t="s">
        <v>94</v>
      </c>
      <c r="Q808" s="94" t="s">
        <v>119</v>
      </c>
      <c r="R808" s="56">
        <v>79</v>
      </c>
      <c r="S808" s="57">
        <v>24.78</v>
      </c>
      <c r="T808" s="58">
        <v>4.08</v>
      </c>
      <c r="U808" s="56">
        <v>79</v>
      </c>
      <c r="V808" s="56" t="s">
        <v>47</v>
      </c>
      <c r="W808" s="57" t="s">
        <v>47</v>
      </c>
      <c r="X808" s="130"/>
      <c r="Y808" s="16"/>
      <c r="Z808" s="15"/>
      <c r="AA808" s="16"/>
      <c r="AB808" s="16"/>
      <c r="AC808" s="66" t="s">
        <v>49</v>
      </c>
      <c r="AD808" s="96" t="s">
        <v>635</v>
      </c>
      <c r="AE808" s="60">
        <v>12</v>
      </c>
      <c r="AF808" s="60">
        <v>1</v>
      </c>
      <c r="AG808" s="60">
        <v>60</v>
      </c>
      <c r="AH808" s="13">
        <v>303060</v>
      </c>
      <c r="AI808" s="13">
        <v>6</v>
      </c>
      <c r="AJ808" s="135">
        <f t="shared" si="132"/>
        <v>360</v>
      </c>
      <c r="AK808" s="45">
        <f t="shared" si="136"/>
        <v>360</v>
      </c>
      <c r="AL808" s="136" t="str" cm="1">
        <f t="array" ref="AL808">_xlfn.IFS(
AI808&lt;3,"Ligera",
AI808&lt;=6,"Moderada",
AI808&gt;6,"Vigorosa"
)</f>
        <v>Moderada</v>
      </c>
      <c r="AM808" s="61" t="s">
        <v>48</v>
      </c>
      <c r="AN808" s="61" t="s">
        <v>60</v>
      </c>
      <c r="AO808" s="61" t="s">
        <v>61</v>
      </c>
      <c r="AP808" s="97" t="s">
        <v>173</v>
      </c>
      <c r="AQ808" s="230">
        <v>0</v>
      </c>
    </row>
    <row r="809" spans="1:64" s="101" customFormat="1" ht="78.75" customHeight="1" thickBot="1">
      <c r="A809" s="217" t="s">
        <v>636</v>
      </c>
      <c r="B809" s="218">
        <v>84</v>
      </c>
      <c r="C809" s="218">
        <v>80.930000000000007</v>
      </c>
      <c r="D809" s="218">
        <v>0</v>
      </c>
      <c r="E809" s="218" t="s">
        <v>45</v>
      </c>
      <c r="F809" s="218" t="s">
        <v>45</v>
      </c>
      <c r="G809" s="218" t="s">
        <v>592</v>
      </c>
      <c r="H809" s="218"/>
      <c r="I809" s="218" t="s">
        <v>98</v>
      </c>
      <c r="J809" s="218" t="s">
        <v>47</v>
      </c>
      <c r="K809" s="218" t="s">
        <v>48</v>
      </c>
      <c r="L809" s="218" t="s">
        <v>48</v>
      </c>
      <c r="M809" s="219" t="s">
        <v>50</v>
      </c>
      <c r="N809" s="219" t="s">
        <v>50</v>
      </c>
      <c r="O809" s="219" t="s">
        <v>50</v>
      </c>
      <c r="P809" s="219" t="s">
        <v>94</v>
      </c>
      <c r="Q809" s="220" t="s">
        <v>119</v>
      </c>
      <c r="R809" s="222">
        <v>19</v>
      </c>
      <c r="S809" s="222">
        <v>21.08</v>
      </c>
      <c r="T809" s="223">
        <v>5.5</v>
      </c>
      <c r="U809" s="222">
        <v>19</v>
      </c>
      <c r="V809" s="221" t="s">
        <v>47</v>
      </c>
      <c r="W809" s="222" t="s">
        <v>47</v>
      </c>
      <c r="X809" s="130"/>
      <c r="Y809" s="16"/>
      <c r="Z809" s="286"/>
      <c r="AA809" s="286"/>
      <c r="AB809" s="16"/>
      <c r="AC809" s="66" t="s">
        <v>49</v>
      </c>
      <c r="AD809" s="224" t="s">
        <v>637</v>
      </c>
      <c r="AE809" s="225">
        <v>28</v>
      </c>
      <c r="AF809" s="225">
        <v>0</v>
      </c>
      <c r="AG809" s="225">
        <v>0</v>
      </c>
      <c r="AH809" s="134">
        <v>0</v>
      </c>
      <c r="AI809" s="134">
        <v>0</v>
      </c>
      <c r="AJ809" s="135">
        <f t="shared" ref="AJ809:AJ857" si="137">AI809*AG809</f>
        <v>0</v>
      </c>
      <c r="AK809" s="45">
        <f t="shared" si="136"/>
        <v>0</v>
      </c>
      <c r="AL809" s="136" t="str" cm="1">
        <f t="array" ref="AL809">_xlfn.IFS(
AI809&lt;3,"Ligera",
AI809&lt;=6,"Moderada",
AI809&gt;6,"Vigorosa"
)</f>
        <v>Ligera</v>
      </c>
      <c r="AM809" s="226" t="s">
        <v>49</v>
      </c>
      <c r="AN809" s="227" t="s">
        <v>49</v>
      </c>
      <c r="AO809" s="227" t="s">
        <v>49</v>
      </c>
      <c r="AP809" s="227" t="s">
        <v>49</v>
      </c>
      <c r="AQ809" s="228">
        <v>0</v>
      </c>
    </row>
    <row r="810" spans="1:64" s="101" customFormat="1" ht="78.75" customHeight="1" thickBot="1">
      <c r="A810" s="229" t="s">
        <v>636</v>
      </c>
      <c r="B810" s="54">
        <v>84</v>
      </c>
      <c r="C810" s="54">
        <v>80.14</v>
      </c>
      <c r="D810" s="54">
        <v>0</v>
      </c>
      <c r="E810" s="54" t="s">
        <v>45</v>
      </c>
      <c r="F810" s="54" t="s">
        <v>45</v>
      </c>
      <c r="G810" s="54" t="s">
        <v>592</v>
      </c>
      <c r="H810" s="54"/>
      <c r="I810" s="54" t="s">
        <v>98</v>
      </c>
      <c r="J810" s="54" t="s">
        <v>47</v>
      </c>
      <c r="K810" s="54" t="s">
        <v>48</v>
      </c>
      <c r="L810" s="54" t="s">
        <v>48</v>
      </c>
      <c r="M810" s="55" t="s">
        <v>56</v>
      </c>
      <c r="N810" s="55" t="s">
        <v>76</v>
      </c>
      <c r="O810" s="55" t="s">
        <v>100</v>
      </c>
      <c r="P810" s="55" t="s">
        <v>94</v>
      </c>
      <c r="Q810" s="94" t="s">
        <v>119</v>
      </c>
      <c r="R810" s="57">
        <v>21</v>
      </c>
      <c r="S810" s="57">
        <v>21.42</v>
      </c>
      <c r="T810" s="58">
        <v>5.0999999999999996</v>
      </c>
      <c r="U810" s="57">
        <v>21</v>
      </c>
      <c r="V810" s="56" t="s">
        <v>47</v>
      </c>
      <c r="W810" s="57" t="s">
        <v>47</v>
      </c>
      <c r="X810" s="130"/>
      <c r="Y810" s="16"/>
      <c r="Z810" s="15"/>
      <c r="AA810" s="16"/>
      <c r="AB810" s="16"/>
      <c r="AC810" s="66" t="s">
        <v>49</v>
      </c>
      <c r="AD810" s="96" t="s">
        <v>638</v>
      </c>
      <c r="AE810" s="60">
        <v>28</v>
      </c>
      <c r="AF810" s="60">
        <v>2.5</v>
      </c>
      <c r="AG810" s="60">
        <v>45</v>
      </c>
      <c r="AH810" s="134" t="s">
        <v>639</v>
      </c>
      <c r="AI810" s="134">
        <v>3</v>
      </c>
      <c r="AJ810" s="135">
        <v>147.5</v>
      </c>
      <c r="AK810" s="45">
        <f t="shared" si="136"/>
        <v>368.75</v>
      </c>
      <c r="AL810" s="136" t="str" cm="1">
        <f t="array" ref="AL810">_xlfn.IFS(
AI810&lt;3,"Ligera",
AI810&lt;=6,"Moderada",
AI810&gt;6,"Vigorosa"
)</f>
        <v>Moderada</v>
      </c>
      <c r="AM810" s="61" t="s">
        <v>48</v>
      </c>
      <c r="AN810" s="61" t="s">
        <v>60</v>
      </c>
      <c r="AO810" s="97" t="s">
        <v>61</v>
      </c>
      <c r="AP810" s="97" t="s">
        <v>173</v>
      </c>
      <c r="AQ810" s="248">
        <v>0</v>
      </c>
    </row>
    <row r="811" spans="1:64" s="101" customFormat="1" ht="78.75" customHeight="1" thickBot="1">
      <c r="A811" s="229" t="s">
        <v>636</v>
      </c>
      <c r="B811" s="54">
        <v>84</v>
      </c>
      <c r="C811" s="54">
        <v>81</v>
      </c>
      <c r="D811" s="54">
        <v>0</v>
      </c>
      <c r="E811" s="54" t="s">
        <v>45</v>
      </c>
      <c r="F811" s="54" t="s">
        <v>45</v>
      </c>
      <c r="G811" s="54" t="s">
        <v>592</v>
      </c>
      <c r="H811" s="54"/>
      <c r="I811" s="54" t="s">
        <v>98</v>
      </c>
      <c r="J811" s="54" t="s">
        <v>47</v>
      </c>
      <c r="K811" s="54" t="s">
        <v>48</v>
      </c>
      <c r="L811" s="54" t="s">
        <v>48</v>
      </c>
      <c r="M811" s="55" t="s">
        <v>56</v>
      </c>
      <c r="N811" s="55" t="s">
        <v>57</v>
      </c>
      <c r="O811" s="55" t="s">
        <v>147</v>
      </c>
      <c r="P811" s="55" t="s">
        <v>94</v>
      </c>
      <c r="Q811" s="94" t="s">
        <v>119</v>
      </c>
      <c r="R811" s="57">
        <v>20</v>
      </c>
      <c r="S811" s="57">
        <v>19.28</v>
      </c>
      <c r="T811" s="58">
        <v>5.53</v>
      </c>
      <c r="U811" s="57">
        <v>20</v>
      </c>
      <c r="V811" s="56" t="s">
        <v>47</v>
      </c>
      <c r="W811" s="57" t="s">
        <v>47</v>
      </c>
      <c r="X811" s="130"/>
      <c r="Y811" s="16"/>
      <c r="Z811" s="15"/>
      <c r="AA811" s="16"/>
      <c r="AB811" s="16"/>
      <c r="AC811" s="66" t="s">
        <v>49</v>
      </c>
      <c r="AD811" s="96" t="s">
        <v>640</v>
      </c>
      <c r="AE811" s="60">
        <v>28</v>
      </c>
      <c r="AF811" s="60">
        <v>2.5</v>
      </c>
      <c r="AG811" s="60">
        <v>45</v>
      </c>
      <c r="AH811" s="134">
        <v>205160</v>
      </c>
      <c r="AI811" s="134">
        <v>3</v>
      </c>
      <c r="AJ811" s="135">
        <f t="shared" si="137"/>
        <v>135</v>
      </c>
      <c r="AK811" s="45">
        <f t="shared" si="136"/>
        <v>337.5</v>
      </c>
      <c r="AL811" s="136" t="str" cm="1">
        <f t="array" ref="AL811">_xlfn.IFS(
AI811&lt;3,"Ligera",
AI811&lt;=6,"Moderada",
AI811&gt;6,"Vigorosa"
)</f>
        <v>Moderada</v>
      </c>
      <c r="AM811" s="61" t="s">
        <v>48</v>
      </c>
      <c r="AN811" s="61" t="s">
        <v>60</v>
      </c>
      <c r="AO811" s="97" t="s">
        <v>61</v>
      </c>
      <c r="AP811" s="97" t="s">
        <v>173</v>
      </c>
      <c r="AQ811" s="248">
        <v>0</v>
      </c>
    </row>
    <row r="812" spans="1:64" s="101" customFormat="1" ht="78.75" customHeight="1" thickBot="1">
      <c r="A812" s="229" t="s">
        <v>636</v>
      </c>
      <c r="B812" s="54">
        <v>84</v>
      </c>
      <c r="C812" s="54">
        <v>80.930000000000007</v>
      </c>
      <c r="D812" s="54">
        <v>0</v>
      </c>
      <c r="E812" s="54" t="s">
        <v>45</v>
      </c>
      <c r="F812" s="54" t="s">
        <v>45</v>
      </c>
      <c r="G812" s="54" t="s">
        <v>592</v>
      </c>
      <c r="H812" s="54"/>
      <c r="I812" s="54" t="s">
        <v>98</v>
      </c>
      <c r="J812" s="54" t="s">
        <v>47</v>
      </c>
      <c r="K812" s="54" t="s">
        <v>48</v>
      </c>
      <c r="L812" s="54" t="s">
        <v>48</v>
      </c>
      <c r="M812" s="55" t="s">
        <v>50</v>
      </c>
      <c r="N812" s="55" t="s">
        <v>50</v>
      </c>
      <c r="O812" s="55" t="s">
        <v>50</v>
      </c>
      <c r="P812" s="55" t="s">
        <v>197</v>
      </c>
      <c r="Q812" s="94" t="s">
        <v>374</v>
      </c>
      <c r="R812" s="57">
        <v>19</v>
      </c>
      <c r="S812" s="57">
        <v>45.73</v>
      </c>
      <c r="T812" s="58">
        <v>28.73</v>
      </c>
      <c r="U812" s="57">
        <v>19</v>
      </c>
      <c r="V812" s="56">
        <v>39.67</v>
      </c>
      <c r="W812" s="57">
        <v>20.87</v>
      </c>
      <c r="X812" s="130">
        <f t="shared" ref="X812:X857" si="138">V812-S812</f>
        <v>-6.0599999999999952</v>
      </c>
      <c r="Y812" s="16">
        <f t="shared" ref="Y812:Y857" si="139">SQRT((T812^2+W812^2-(2*0.5*T812*W812)))/SQRT(U812)</f>
        <v>5.89993175696483</v>
      </c>
      <c r="Z812" s="286" t="s">
        <v>53</v>
      </c>
      <c r="AA812" s="286" t="s">
        <v>53</v>
      </c>
      <c r="AB812" s="16">
        <v>5.89993175696483</v>
      </c>
      <c r="AC812" s="66" t="s">
        <v>48</v>
      </c>
      <c r="AD812" s="96" t="s">
        <v>637</v>
      </c>
      <c r="AE812" s="60">
        <v>28</v>
      </c>
      <c r="AF812" s="60">
        <v>0</v>
      </c>
      <c r="AG812" s="60">
        <v>0</v>
      </c>
      <c r="AH812" s="134">
        <v>0</v>
      </c>
      <c r="AI812" s="134">
        <v>0</v>
      </c>
      <c r="AJ812" s="135">
        <f t="shared" si="137"/>
        <v>0</v>
      </c>
      <c r="AK812" s="45">
        <f t="shared" si="136"/>
        <v>0</v>
      </c>
      <c r="AL812" s="136" t="str" cm="1">
        <f t="array" ref="AL812">_xlfn.IFS(
AI812&lt;3,"Ligera",
AI812&lt;=6,"Moderada",
AI812&gt;6,"Vigorosa"
)</f>
        <v>Ligera</v>
      </c>
      <c r="AM812" s="61" t="s">
        <v>49</v>
      </c>
      <c r="AN812" s="97" t="s">
        <v>49</v>
      </c>
      <c r="AO812" s="97" t="s">
        <v>49</v>
      </c>
      <c r="AP812" s="97" t="s">
        <v>49</v>
      </c>
      <c r="AQ812" s="230">
        <v>0</v>
      </c>
    </row>
    <row r="813" spans="1:64" s="101" customFormat="1" ht="78.75" customHeight="1" thickBot="1">
      <c r="A813" s="229" t="s">
        <v>636</v>
      </c>
      <c r="B813" s="54">
        <v>84</v>
      </c>
      <c r="C813" s="54">
        <v>80.14</v>
      </c>
      <c r="D813" s="54">
        <v>0</v>
      </c>
      <c r="E813" s="54" t="s">
        <v>45</v>
      </c>
      <c r="F813" s="54" t="s">
        <v>45</v>
      </c>
      <c r="G813" s="54" t="s">
        <v>592</v>
      </c>
      <c r="H813" s="54"/>
      <c r="I813" s="54" t="s">
        <v>98</v>
      </c>
      <c r="J813" s="54" t="s">
        <v>47</v>
      </c>
      <c r="K813" s="54" t="s">
        <v>48</v>
      </c>
      <c r="L813" s="54" t="s">
        <v>48</v>
      </c>
      <c r="M813" s="55" t="s">
        <v>56</v>
      </c>
      <c r="N813" s="55" t="s">
        <v>76</v>
      </c>
      <c r="O813" s="55" t="s">
        <v>100</v>
      </c>
      <c r="P813" s="55" t="s">
        <v>197</v>
      </c>
      <c r="Q813" s="94" t="s">
        <v>374</v>
      </c>
      <c r="R813" s="57">
        <v>21</v>
      </c>
      <c r="S813" s="57">
        <v>59.08</v>
      </c>
      <c r="T813" s="58">
        <v>26.66</v>
      </c>
      <c r="U813" s="57">
        <v>21</v>
      </c>
      <c r="V813" s="56">
        <v>32.08</v>
      </c>
      <c r="W813" s="57">
        <v>15.43</v>
      </c>
      <c r="X813" s="130">
        <f t="shared" si="138"/>
        <v>-27</v>
      </c>
      <c r="Y813" s="16">
        <f t="shared" si="139"/>
        <v>5.059064001515357</v>
      </c>
      <c r="Z813" s="15">
        <f t="shared" ref="Z813:Z859" si="140">X813-X812</f>
        <v>-20.940000000000005</v>
      </c>
      <c r="AA813" s="16">
        <f t="shared" ref="AA813:AA857" si="141">((U813-1)*W813^2+(U812-1)*W812^2)/((U813-1)+(U812-1))</f>
        <v>331.62426842105265</v>
      </c>
      <c r="AB813" s="16">
        <f t="shared" ref="AB813:AB857" si="142">SQRT(AA813*((1/U813)+(1/U812)))</f>
        <v>5.7658946134871272</v>
      </c>
      <c r="AC813" s="66" t="s">
        <v>48</v>
      </c>
      <c r="AD813" s="96" t="s">
        <v>641</v>
      </c>
      <c r="AE813" s="60">
        <v>28</v>
      </c>
      <c r="AF813" s="60">
        <v>2.5</v>
      </c>
      <c r="AG813" s="60">
        <v>45</v>
      </c>
      <c r="AH813" s="134" t="s">
        <v>639</v>
      </c>
      <c r="AI813" s="134">
        <v>3</v>
      </c>
      <c r="AJ813" s="135">
        <v>147.5</v>
      </c>
      <c r="AK813" s="45">
        <f t="shared" si="136"/>
        <v>368.75</v>
      </c>
      <c r="AL813" s="136" t="str" cm="1">
        <f t="array" ref="AL813">_xlfn.IFS(
AI813&lt;3,"Ligera",
AI813&lt;=6,"Moderada",
AI813&gt;6,"Vigorosa"
)</f>
        <v>Moderada</v>
      </c>
      <c r="AM813" s="61" t="s">
        <v>48</v>
      </c>
      <c r="AN813" s="61" t="s">
        <v>60</v>
      </c>
      <c r="AO813" s="97" t="s">
        <v>61</v>
      </c>
      <c r="AP813" s="97" t="s">
        <v>173</v>
      </c>
      <c r="AQ813" s="248">
        <v>0</v>
      </c>
    </row>
    <row r="814" spans="1:64" s="101" customFormat="1" ht="78.75" customHeight="1" thickBot="1">
      <c r="A814" s="229" t="s">
        <v>636</v>
      </c>
      <c r="B814" s="54">
        <v>84</v>
      </c>
      <c r="C814" s="54">
        <v>81</v>
      </c>
      <c r="D814" s="54">
        <v>0</v>
      </c>
      <c r="E814" s="54" t="s">
        <v>45</v>
      </c>
      <c r="F814" s="54" t="s">
        <v>45</v>
      </c>
      <c r="G814" s="54" t="s">
        <v>592</v>
      </c>
      <c r="H814" s="54"/>
      <c r="I814" s="54" t="s">
        <v>98</v>
      </c>
      <c r="J814" s="54" t="s">
        <v>47</v>
      </c>
      <c r="K814" s="54" t="s">
        <v>48</v>
      </c>
      <c r="L814" s="54" t="s">
        <v>48</v>
      </c>
      <c r="M814" s="55" t="s">
        <v>56</v>
      </c>
      <c r="N814" s="55" t="s">
        <v>57</v>
      </c>
      <c r="O814" s="55" t="s">
        <v>147</v>
      </c>
      <c r="P814" s="55" t="s">
        <v>197</v>
      </c>
      <c r="Q814" s="94" t="s">
        <v>374</v>
      </c>
      <c r="R814" s="57">
        <v>20</v>
      </c>
      <c r="S814" s="57">
        <v>38.17</v>
      </c>
      <c r="T814" s="58">
        <v>21.31</v>
      </c>
      <c r="U814" s="57">
        <v>20</v>
      </c>
      <c r="V814" s="56">
        <v>18.11</v>
      </c>
      <c r="W814" s="57">
        <v>16.3</v>
      </c>
      <c r="X814" s="130">
        <f t="shared" si="138"/>
        <v>-20.060000000000002</v>
      </c>
      <c r="Y814" s="16">
        <f t="shared" si="139"/>
        <v>4.3153974324504567</v>
      </c>
      <c r="Z814" s="15">
        <f>X814-X812</f>
        <v>-14.000000000000007</v>
      </c>
      <c r="AA814" s="16">
        <f>((U814-1)*W814^2+(U812-1)*W812^2)/((U814-1)+(U812-1))</f>
        <v>348.32795135135137</v>
      </c>
      <c r="AB814" s="16">
        <f>SQRT(AA814*((1/U814)+(1/U812)))</f>
        <v>5.9790841805991759</v>
      </c>
      <c r="AC814" s="66" t="s">
        <v>48</v>
      </c>
      <c r="AD814" s="96" t="s">
        <v>640</v>
      </c>
      <c r="AE814" s="60">
        <v>28</v>
      </c>
      <c r="AF814" s="60">
        <v>2.5</v>
      </c>
      <c r="AG814" s="60">
        <v>45</v>
      </c>
      <c r="AH814" s="134">
        <v>205160</v>
      </c>
      <c r="AI814" s="134">
        <v>3</v>
      </c>
      <c r="AJ814" s="135">
        <f t="shared" ref="AJ814" si="143">AI814*AG814</f>
        <v>135</v>
      </c>
      <c r="AK814" s="45">
        <f t="shared" si="136"/>
        <v>337.5</v>
      </c>
      <c r="AL814" s="136" t="str" cm="1">
        <f t="array" ref="AL814">_xlfn.IFS(
AI814&lt;3,"Ligera",
AI814&lt;=6,"Moderada",
AI814&gt;6,"Vigorosa"
)</f>
        <v>Moderada</v>
      </c>
      <c r="AM814" s="61" t="s">
        <v>48</v>
      </c>
      <c r="AN814" s="61" t="s">
        <v>60</v>
      </c>
      <c r="AO814" s="97" t="s">
        <v>61</v>
      </c>
      <c r="AP814" s="97" t="s">
        <v>173</v>
      </c>
      <c r="AQ814" s="248">
        <v>0</v>
      </c>
    </row>
    <row r="815" spans="1:64" s="101" customFormat="1" ht="78.75" customHeight="1" thickBot="1">
      <c r="A815" s="229" t="s">
        <v>636</v>
      </c>
      <c r="B815" s="54">
        <v>84</v>
      </c>
      <c r="C815" s="54">
        <v>80.930000000000007</v>
      </c>
      <c r="D815" s="54">
        <v>0</v>
      </c>
      <c r="E815" s="54" t="s">
        <v>45</v>
      </c>
      <c r="F815" s="54" t="s">
        <v>45</v>
      </c>
      <c r="G815" s="54" t="s">
        <v>592</v>
      </c>
      <c r="H815" s="54"/>
      <c r="I815" s="54" t="s">
        <v>98</v>
      </c>
      <c r="J815" s="54" t="s">
        <v>47</v>
      </c>
      <c r="K815" s="54" t="s">
        <v>48</v>
      </c>
      <c r="L815" s="54" t="s">
        <v>48</v>
      </c>
      <c r="M815" s="55" t="s">
        <v>50</v>
      </c>
      <c r="N815" s="55" t="s">
        <v>50</v>
      </c>
      <c r="O815" s="55" t="s">
        <v>50</v>
      </c>
      <c r="P815" s="55" t="s">
        <v>51</v>
      </c>
      <c r="Q815" s="94" t="s">
        <v>289</v>
      </c>
      <c r="R815" s="57">
        <v>19</v>
      </c>
      <c r="S815" s="57">
        <v>3.36</v>
      </c>
      <c r="T815" s="58">
        <v>4.91</v>
      </c>
      <c r="U815" s="57">
        <v>19</v>
      </c>
      <c r="V815" s="56">
        <v>3.31</v>
      </c>
      <c r="W815" s="57">
        <v>4.3600000000000003</v>
      </c>
      <c r="X815" s="130">
        <f t="shared" si="138"/>
        <v>-4.9999999999999822E-2</v>
      </c>
      <c r="Y815" s="16">
        <f t="shared" si="139"/>
        <v>1.0689419264418731</v>
      </c>
      <c r="Z815" s="286" t="s">
        <v>53</v>
      </c>
      <c r="AA815" s="286" t="s">
        <v>53</v>
      </c>
      <c r="AB815" s="16">
        <v>1.0689419264418731</v>
      </c>
      <c r="AC815" s="66" t="s">
        <v>49</v>
      </c>
      <c r="AD815" s="96" t="s">
        <v>637</v>
      </c>
      <c r="AE815" s="60">
        <v>28</v>
      </c>
      <c r="AF815" s="60">
        <v>0</v>
      </c>
      <c r="AG815" s="60">
        <v>0</v>
      </c>
      <c r="AH815" s="134">
        <v>0</v>
      </c>
      <c r="AI815" s="134">
        <v>0</v>
      </c>
      <c r="AJ815" s="135">
        <f t="shared" si="137"/>
        <v>0</v>
      </c>
      <c r="AK815" s="45">
        <f t="shared" si="136"/>
        <v>0</v>
      </c>
      <c r="AL815" s="136" t="str" cm="1">
        <f t="array" ref="AL815">_xlfn.IFS(
AI815&lt;3,"Ligera",
AI815&lt;=6,"Moderada",
AI815&gt;6,"Vigorosa"
)</f>
        <v>Ligera</v>
      </c>
      <c r="AM815" s="61" t="s">
        <v>49</v>
      </c>
      <c r="AN815" s="97" t="s">
        <v>49</v>
      </c>
      <c r="AO815" s="97" t="s">
        <v>49</v>
      </c>
      <c r="AP815" s="97" t="s">
        <v>49</v>
      </c>
      <c r="AQ815" s="230">
        <v>0</v>
      </c>
    </row>
    <row r="816" spans="1:64" s="101" customFormat="1" ht="78.75" customHeight="1" thickBot="1">
      <c r="A816" s="229" t="s">
        <v>636</v>
      </c>
      <c r="B816" s="54">
        <v>84</v>
      </c>
      <c r="C816" s="54">
        <v>80.14</v>
      </c>
      <c r="D816" s="54">
        <v>0</v>
      </c>
      <c r="E816" s="54" t="s">
        <v>45</v>
      </c>
      <c r="F816" s="54" t="s">
        <v>45</v>
      </c>
      <c r="G816" s="54" t="s">
        <v>592</v>
      </c>
      <c r="H816" s="54"/>
      <c r="I816" s="54" t="s">
        <v>98</v>
      </c>
      <c r="J816" s="54" t="s">
        <v>47</v>
      </c>
      <c r="K816" s="54" t="s">
        <v>48</v>
      </c>
      <c r="L816" s="54" t="s">
        <v>48</v>
      </c>
      <c r="M816" s="55" t="s">
        <v>56</v>
      </c>
      <c r="N816" s="55" t="s">
        <v>76</v>
      </c>
      <c r="O816" s="55" t="s">
        <v>100</v>
      </c>
      <c r="P816" s="55" t="s">
        <v>51</v>
      </c>
      <c r="Q816" s="94" t="s">
        <v>289</v>
      </c>
      <c r="R816" s="57">
        <v>21</v>
      </c>
      <c r="S816" s="57">
        <v>2.38</v>
      </c>
      <c r="T816" s="58">
        <v>6.02</v>
      </c>
      <c r="U816" s="57">
        <v>21</v>
      </c>
      <c r="V816" s="56">
        <v>10.3</v>
      </c>
      <c r="W816" s="57">
        <v>11.65</v>
      </c>
      <c r="X816" s="130">
        <f t="shared" si="138"/>
        <v>7.9200000000000008</v>
      </c>
      <c r="Y816" s="16">
        <f t="shared" si="139"/>
        <v>2.2020542357405408</v>
      </c>
      <c r="Z816" s="15">
        <f t="shared" si="140"/>
        <v>7.9700000000000006</v>
      </c>
      <c r="AA816" s="16">
        <f t="shared" si="141"/>
        <v>80.437442105263159</v>
      </c>
      <c r="AB816" s="16">
        <f t="shared" si="142"/>
        <v>2.8397013875498329</v>
      </c>
      <c r="AC816" s="66" t="s">
        <v>49</v>
      </c>
      <c r="AD816" s="96" t="s">
        <v>641</v>
      </c>
      <c r="AE816" s="60">
        <v>28</v>
      </c>
      <c r="AF816" s="60">
        <v>2.5</v>
      </c>
      <c r="AG816" s="60">
        <v>45</v>
      </c>
      <c r="AH816" s="134" t="s">
        <v>639</v>
      </c>
      <c r="AI816" s="134">
        <v>3</v>
      </c>
      <c r="AJ816" s="135">
        <v>147.5</v>
      </c>
      <c r="AK816" s="45">
        <f t="shared" si="136"/>
        <v>368.75</v>
      </c>
      <c r="AL816" s="136" t="str" cm="1">
        <f t="array" ref="AL816">_xlfn.IFS(
AI816&lt;3,"Ligera",
AI816&lt;=6,"Moderada",
AI816&gt;6,"Vigorosa"
)</f>
        <v>Moderada</v>
      </c>
      <c r="AM816" s="61" t="s">
        <v>48</v>
      </c>
      <c r="AN816" s="61" t="s">
        <v>60</v>
      </c>
      <c r="AO816" s="97" t="s">
        <v>61</v>
      </c>
      <c r="AP816" s="97" t="s">
        <v>173</v>
      </c>
      <c r="AQ816" s="248">
        <v>0</v>
      </c>
    </row>
    <row r="817" spans="1:46" s="101" customFormat="1" ht="78.75" customHeight="1" thickBot="1">
      <c r="A817" s="229" t="s">
        <v>636</v>
      </c>
      <c r="B817" s="54">
        <v>84</v>
      </c>
      <c r="C817" s="54">
        <v>81</v>
      </c>
      <c r="D817" s="54">
        <v>0</v>
      </c>
      <c r="E817" s="54" t="s">
        <v>45</v>
      </c>
      <c r="F817" s="54" t="s">
        <v>45</v>
      </c>
      <c r="G817" s="54" t="s">
        <v>592</v>
      </c>
      <c r="H817" s="54"/>
      <c r="I817" s="54" t="s">
        <v>98</v>
      </c>
      <c r="J817" s="54" t="s">
        <v>47</v>
      </c>
      <c r="K817" s="54" t="s">
        <v>48</v>
      </c>
      <c r="L817" s="54" t="s">
        <v>48</v>
      </c>
      <c r="M817" s="55" t="s">
        <v>56</v>
      </c>
      <c r="N817" s="55" t="s">
        <v>57</v>
      </c>
      <c r="O817" s="55" t="s">
        <v>147</v>
      </c>
      <c r="P817" s="55" t="s">
        <v>51</v>
      </c>
      <c r="Q817" s="94" t="s">
        <v>289</v>
      </c>
      <c r="R817" s="57">
        <v>20</v>
      </c>
      <c r="S817" s="57">
        <v>2.83</v>
      </c>
      <c r="T817" s="58">
        <v>6.91</v>
      </c>
      <c r="U817" s="57">
        <v>20</v>
      </c>
      <c r="V817" s="56">
        <v>8.4600000000000009</v>
      </c>
      <c r="W817" s="57">
        <v>6.47</v>
      </c>
      <c r="X817" s="130">
        <f t="shared" si="138"/>
        <v>5.6300000000000008</v>
      </c>
      <c r="Y817" s="16">
        <f t="shared" si="139"/>
        <v>1.4983540970011058</v>
      </c>
      <c r="Z817" s="15">
        <f>X817-X815</f>
        <v>5.6800000000000006</v>
      </c>
      <c r="AA817" s="16">
        <f>((U817-1)*W817^2+(U815-1)*W815^2)/((U817-1)+(U815-1))</f>
        <v>30.744051351351352</v>
      </c>
      <c r="AB817" s="16">
        <f>SQRT(AA817*((1/U817)+(1/U815)))</f>
        <v>1.7763193782167004</v>
      </c>
      <c r="AC817" s="66" t="s">
        <v>49</v>
      </c>
      <c r="AD817" s="96" t="s">
        <v>640</v>
      </c>
      <c r="AE817" s="60">
        <v>28</v>
      </c>
      <c r="AF817" s="60">
        <v>2.5</v>
      </c>
      <c r="AG817" s="60">
        <v>45</v>
      </c>
      <c r="AH817" s="134">
        <v>205160</v>
      </c>
      <c r="AI817" s="134">
        <v>3</v>
      </c>
      <c r="AJ817" s="135">
        <f t="shared" ref="AJ817" si="144">AI817*AG817</f>
        <v>135</v>
      </c>
      <c r="AK817" s="45">
        <f t="shared" ref="AK817:AK870" si="145">AJ817*AF817</f>
        <v>337.5</v>
      </c>
      <c r="AL817" s="136" t="str" cm="1">
        <f t="array" ref="AL817">_xlfn.IFS(
AI817&lt;3,"Ligera",
AI817&lt;=6,"Moderada",
AI817&gt;6,"Vigorosa"
)</f>
        <v>Moderada</v>
      </c>
      <c r="AM817" s="61" t="s">
        <v>48</v>
      </c>
      <c r="AN817" s="61" t="s">
        <v>60</v>
      </c>
      <c r="AO817" s="97" t="s">
        <v>61</v>
      </c>
      <c r="AP817" s="97" t="s">
        <v>173</v>
      </c>
      <c r="AQ817" s="248">
        <v>0</v>
      </c>
    </row>
    <row r="818" spans="1:46" s="273" customFormat="1" ht="75.75" customHeight="1" thickBot="1">
      <c r="A818" s="124" t="s">
        <v>642</v>
      </c>
      <c r="B818" s="125">
        <v>56</v>
      </c>
      <c r="C818" s="297">
        <v>75.56</v>
      </c>
      <c r="D818" s="125">
        <v>52.3</v>
      </c>
      <c r="E818" s="125" t="s">
        <v>45</v>
      </c>
      <c r="F818" s="125" t="s">
        <v>45</v>
      </c>
      <c r="G818" s="125" t="s">
        <v>223</v>
      </c>
      <c r="H818" s="125"/>
      <c r="I818" s="125" t="s">
        <v>45</v>
      </c>
      <c r="J818" s="125" t="s">
        <v>47</v>
      </c>
      <c r="K818" s="125" t="s">
        <v>49</v>
      </c>
      <c r="L818" s="125" t="s">
        <v>49</v>
      </c>
      <c r="M818" s="126" t="s">
        <v>50</v>
      </c>
      <c r="N818" s="126" t="s">
        <v>50</v>
      </c>
      <c r="O818" s="126" t="s">
        <v>50</v>
      </c>
      <c r="P818" s="126" t="s">
        <v>86</v>
      </c>
      <c r="Q818" s="159" t="s">
        <v>156</v>
      </c>
      <c r="R818" s="167">
        <v>30</v>
      </c>
      <c r="S818" s="168">
        <v>9.5</v>
      </c>
      <c r="T818" s="272">
        <v>8.2200000000000006</v>
      </c>
      <c r="U818" s="168">
        <v>24</v>
      </c>
      <c r="V818" s="167">
        <v>9.33</v>
      </c>
      <c r="W818" s="191">
        <v>8.48</v>
      </c>
      <c r="X818" s="130">
        <f>V818-S818</f>
        <v>-0.16999999999999993</v>
      </c>
      <c r="Y818" s="16">
        <f t="shared" si="139"/>
        <v>1.7050562063071903</v>
      </c>
      <c r="Z818" s="286" t="s">
        <v>53</v>
      </c>
      <c r="AA818" s="286" t="s">
        <v>53</v>
      </c>
      <c r="AB818" s="16">
        <v>1.7050562063071903</v>
      </c>
      <c r="AC818" s="66" t="s">
        <v>49</v>
      </c>
      <c r="AD818" s="133" t="s">
        <v>643</v>
      </c>
      <c r="AE818" s="134">
        <v>12</v>
      </c>
      <c r="AF818" s="134">
        <v>0</v>
      </c>
      <c r="AG818" s="136">
        <v>0</v>
      </c>
      <c r="AH818" s="134">
        <v>0</v>
      </c>
      <c r="AI818" s="134">
        <v>0</v>
      </c>
      <c r="AJ818" s="135">
        <f t="shared" si="137"/>
        <v>0</v>
      </c>
      <c r="AK818" s="45">
        <f t="shared" si="145"/>
        <v>0</v>
      </c>
      <c r="AL818" s="136" t="str" cm="1">
        <f t="array" ref="AL818">_xlfn.IFS(
AI818&lt;3,"Ligera",
AI818&lt;=6,"Moderada",
AI818&gt;6,"Vigorosa"
)</f>
        <v>Ligera</v>
      </c>
      <c r="AM818" s="288" t="s">
        <v>49</v>
      </c>
      <c r="AN818" s="288" t="s">
        <v>49</v>
      </c>
      <c r="AO818" s="288" t="s">
        <v>49</v>
      </c>
      <c r="AP818" s="288" t="s">
        <v>49</v>
      </c>
      <c r="AQ818" s="298">
        <v>0</v>
      </c>
      <c r="AR818" s="299"/>
      <c r="AS818" s="300" t="s">
        <v>644</v>
      </c>
    </row>
    <row r="819" spans="1:46" s="273" customFormat="1" ht="54" customHeight="1" thickBot="1">
      <c r="A819" s="140" t="s">
        <v>642</v>
      </c>
      <c r="B819" s="141">
        <v>56</v>
      </c>
      <c r="C819" s="141">
        <v>75.56</v>
      </c>
      <c r="D819" s="141">
        <v>52.3</v>
      </c>
      <c r="E819" s="141" t="s">
        <v>45</v>
      </c>
      <c r="F819" s="141" t="s">
        <v>45</v>
      </c>
      <c r="G819" s="141" t="s">
        <v>223</v>
      </c>
      <c r="H819" s="141"/>
      <c r="I819" s="141" t="s">
        <v>45</v>
      </c>
      <c r="J819" s="141" t="s">
        <v>47</v>
      </c>
      <c r="K819" s="141" t="s">
        <v>49</v>
      </c>
      <c r="L819" s="141" t="s">
        <v>49</v>
      </c>
      <c r="M819" s="142" t="s">
        <v>56</v>
      </c>
      <c r="N819" s="142" t="s">
        <v>410</v>
      </c>
      <c r="O819" s="158" t="s">
        <v>411</v>
      </c>
      <c r="P819" s="142" t="s">
        <v>86</v>
      </c>
      <c r="Q819" s="158" t="s">
        <v>156</v>
      </c>
      <c r="R819" s="169">
        <v>26</v>
      </c>
      <c r="S819" s="170">
        <v>9.75</v>
      </c>
      <c r="T819" s="172">
        <v>9.59</v>
      </c>
      <c r="U819" s="170">
        <v>20</v>
      </c>
      <c r="V819" s="169">
        <v>12.9</v>
      </c>
      <c r="W819" s="172">
        <v>8.18</v>
      </c>
      <c r="X819" s="130">
        <f t="shared" si="138"/>
        <v>3.1500000000000004</v>
      </c>
      <c r="Y819" s="16">
        <f>SQRT((T819^2+W819^2-(2*0.5*T819*W819)))/SQRT(U819)</f>
        <v>2.005421402099818</v>
      </c>
      <c r="Z819" s="15">
        <f>X819-X818</f>
        <v>3.3200000000000003</v>
      </c>
      <c r="AA819" s="16">
        <f t="shared" si="141"/>
        <v>69.6494</v>
      </c>
      <c r="AB819" s="16">
        <f t="shared" si="142"/>
        <v>2.5267624212286628</v>
      </c>
      <c r="AC819" s="66" t="s">
        <v>49</v>
      </c>
      <c r="AD819" s="151" t="s">
        <v>645</v>
      </c>
      <c r="AE819" s="146">
        <v>12</v>
      </c>
      <c r="AF819" s="146">
        <v>2</v>
      </c>
      <c r="AG819" s="146">
        <v>40</v>
      </c>
      <c r="AH819" s="134">
        <v>221060</v>
      </c>
      <c r="AI819" s="134">
        <v>3.8</v>
      </c>
      <c r="AJ819" s="135">
        <f t="shared" si="137"/>
        <v>152</v>
      </c>
      <c r="AK819" s="45">
        <f t="shared" si="145"/>
        <v>304</v>
      </c>
      <c r="AL819" s="136" t="str" cm="1">
        <f t="array" ref="AL819">_xlfn.IFS(
AI819&lt;3,"Ligera",
AI819&lt;=6,"Moderada",
AI819&gt;6,"Vigorosa"
)</f>
        <v>Moderada</v>
      </c>
      <c r="AM819" s="147" t="s">
        <v>49</v>
      </c>
      <c r="AN819" s="290" t="s">
        <v>49</v>
      </c>
      <c r="AO819" s="290" t="s">
        <v>646</v>
      </c>
      <c r="AP819" s="290" t="s">
        <v>647</v>
      </c>
      <c r="AQ819" s="301">
        <v>0</v>
      </c>
      <c r="AR819" s="299"/>
      <c r="AS819" s="300" t="s">
        <v>644</v>
      </c>
    </row>
    <row r="820" spans="1:46" s="273" customFormat="1" ht="75.75" customHeight="1" thickBot="1">
      <c r="A820" s="138" t="s">
        <v>648</v>
      </c>
      <c r="B820" s="12">
        <v>21</v>
      </c>
      <c r="C820" s="12" t="s">
        <v>649</v>
      </c>
      <c r="D820" s="12">
        <v>40</v>
      </c>
      <c r="E820" s="12" t="s">
        <v>45</v>
      </c>
      <c r="F820" s="12" t="s">
        <v>45</v>
      </c>
      <c r="G820" s="12" t="s">
        <v>212</v>
      </c>
      <c r="H820" s="12"/>
      <c r="I820" s="12" t="s">
        <v>98</v>
      </c>
      <c r="J820" s="12" t="s">
        <v>47</v>
      </c>
      <c r="K820" s="12" t="s">
        <v>49</v>
      </c>
      <c r="L820" s="12" t="s">
        <v>49</v>
      </c>
      <c r="M820" s="11" t="s">
        <v>50</v>
      </c>
      <c r="N820" s="11" t="s">
        <v>50</v>
      </c>
      <c r="O820" s="11" t="s">
        <v>50</v>
      </c>
      <c r="P820" s="11" t="s">
        <v>94</v>
      </c>
      <c r="Q820" s="50" t="s">
        <v>119</v>
      </c>
      <c r="R820" s="302">
        <v>10</v>
      </c>
      <c r="S820" s="47">
        <v>27</v>
      </c>
      <c r="T820" s="48">
        <v>2.94</v>
      </c>
      <c r="U820" s="302">
        <v>10</v>
      </c>
      <c r="V820" s="47" t="s">
        <v>47</v>
      </c>
      <c r="W820" s="48" t="s">
        <v>47</v>
      </c>
      <c r="X820" s="130"/>
      <c r="Y820" s="16"/>
      <c r="Z820" s="286"/>
      <c r="AA820" s="286"/>
      <c r="AB820" s="16"/>
      <c r="AC820" s="66" t="s">
        <v>49</v>
      </c>
      <c r="AD820" s="51" t="s">
        <v>650</v>
      </c>
      <c r="AE820" s="13">
        <v>4</v>
      </c>
      <c r="AF820" s="13">
        <v>0</v>
      </c>
      <c r="AG820" s="13">
        <v>0</v>
      </c>
      <c r="AH820" s="134">
        <v>0</v>
      </c>
      <c r="AI820" s="134">
        <v>0</v>
      </c>
      <c r="AJ820" s="135">
        <f t="shared" si="137"/>
        <v>0</v>
      </c>
      <c r="AK820" s="45">
        <f t="shared" si="145"/>
        <v>0</v>
      </c>
      <c r="AL820" s="136" t="str" cm="1">
        <f t="array" ref="AL820">_xlfn.IFS(
AI820&lt;3,"Ligera",
AI820&lt;=6,"Moderada",
AI820&gt;6,"Vigorosa"
)</f>
        <v>Ligera</v>
      </c>
      <c r="AM820" s="45" t="s">
        <v>49</v>
      </c>
      <c r="AN820" s="289" t="s">
        <v>49</v>
      </c>
      <c r="AO820" s="289" t="s">
        <v>49</v>
      </c>
      <c r="AP820" s="289" t="s">
        <v>49</v>
      </c>
      <c r="AQ820" s="303">
        <v>0</v>
      </c>
      <c r="AR820" s="299"/>
      <c r="AS820" s="299"/>
    </row>
    <row r="821" spans="1:46" s="273" customFormat="1" ht="75.75" customHeight="1" thickBot="1">
      <c r="A821" s="138" t="s">
        <v>648</v>
      </c>
      <c r="B821" s="12">
        <v>21</v>
      </c>
      <c r="C821" s="12">
        <v>70</v>
      </c>
      <c r="D821" s="12">
        <v>63.6</v>
      </c>
      <c r="E821" s="12" t="s">
        <v>45</v>
      </c>
      <c r="F821" s="12" t="s">
        <v>45</v>
      </c>
      <c r="G821" s="12" t="s">
        <v>212</v>
      </c>
      <c r="H821" s="12"/>
      <c r="I821" s="12" t="s">
        <v>98</v>
      </c>
      <c r="J821" s="12" t="s">
        <v>47</v>
      </c>
      <c r="K821" s="12" t="s">
        <v>49</v>
      </c>
      <c r="L821" s="12" t="s">
        <v>49</v>
      </c>
      <c r="M821" s="11" t="s">
        <v>56</v>
      </c>
      <c r="N821" s="11" t="s">
        <v>76</v>
      </c>
      <c r="O821" s="11" t="s">
        <v>103</v>
      </c>
      <c r="P821" s="11" t="s">
        <v>94</v>
      </c>
      <c r="Q821" s="50" t="s">
        <v>119</v>
      </c>
      <c r="R821" s="302">
        <v>11</v>
      </c>
      <c r="S821" s="47">
        <v>25.6</v>
      </c>
      <c r="T821" s="48">
        <v>3.8</v>
      </c>
      <c r="U821" s="302">
        <v>11</v>
      </c>
      <c r="V821" s="47" t="s">
        <v>47</v>
      </c>
      <c r="W821" s="48" t="s">
        <v>47</v>
      </c>
      <c r="X821" s="130"/>
      <c r="Y821" s="16"/>
      <c r="Z821" s="15"/>
      <c r="AA821" s="16"/>
      <c r="AB821" s="16"/>
      <c r="AC821" s="66" t="s">
        <v>49</v>
      </c>
      <c r="AD821" s="51" t="s">
        <v>651</v>
      </c>
      <c r="AE821" s="13">
        <v>4</v>
      </c>
      <c r="AF821" s="13">
        <v>2.5</v>
      </c>
      <c r="AG821" s="13">
        <v>30</v>
      </c>
      <c r="AH821" s="134">
        <v>211360</v>
      </c>
      <c r="AI821" s="134">
        <v>3.5</v>
      </c>
      <c r="AJ821" s="135">
        <f t="shared" si="137"/>
        <v>105</v>
      </c>
      <c r="AK821" s="45">
        <f t="shared" si="145"/>
        <v>262.5</v>
      </c>
      <c r="AL821" s="136" t="str" cm="1">
        <f t="array" ref="AL821">_xlfn.IFS(
AI821&lt;3,"Ligera",
AI821&lt;=6,"Moderada",
AI821&gt;6,"Vigorosa"
)</f>
        <v>Moderada</v>
      </c>
      <c r="AM821" s="289" t="s">
        <v>49</v>
      </c>
      <c r="AN821" s="289" t="s">
        <v>49</v>
      </c>
      <c r="AO821" s="45" t="s">
        <v>255</v>
      </c>
      <c r="AP821" s="289" t="s">
        <v>155</v>
      </c>
      <c r="AQ821" s="303">
        <v>0</v>
      </c>
      <c r="AR821" s="299"/>
      <c r="AS821" s="304"/>
    </row>
    <row r="822" spans="1:46" s="273" customFormat="1" ht="64.5" customHeight="1" thickBot="1">
      <c r="A822" s="138" t="s">
        <v>648</v>
      </c>
      <c r="B822" s="12">
        <v>21</v>
      </c>
      <c r="C822" s="12" t="s">
        <v>649</v>
      </c>
      <c r="D822" s="12">
        <v>40</v>
      </c>
      <c r="E822" s="12" t="s">
        <v>45</v>
      </c>
      <c r="F822" s="12" t="s">
        <v>45</v>
      </c>
      <c r="G822" s="12" t="s">
        <v>212</v>
      </c>
      <c r="H822" s="12"/>
      <c r="I822" s="12" t="s">
        <v>98</v>
      </c>
      <c r="J822" s="12" t="s">
        <v>47</v>
      </c>
      <c r="K822" s="12" t="s">
        <v>49</v>
      </c>
      <c r="L822" s="12" t="s">
        <v>49</v>
      </c>
      <c r="M822" s="11" t="s">
        <v>50</v>
      </c>
      <c r="N822" s="11" t="s">
        <v>50</v>
      </c>
      <c r="O822" s="11" t="s">
        <v>50</v>
      </c>
      <c r="P822" s="11" t="s">
        <v>51</v>
      </c>
      <c r="Q822" s="50" t="s">
        <v>91</v>
      </c>
      <c r="R822" s="302">
        <v>10</v>
      </c>
      <c r="S822" s="47">
        <v>4.0999999999999996</v>
      </c>
      <c r="T822" s="48">
        <v>2.23</v>
      </c>
      <c r="U822" s="302">
        <v>10</v>
      </c>
      <c r="V822" s="47">
        <v>4.3</v>
      </c>
      <c r="W822" s="48">
        <v>2.5</v>
      </c>
      <c r="X822" s="130">
        <f t="shared" si="138"/>
        <v>0.20000000000000018</v>
      </c>
      <c r="Y822" s="16">
        <f t="shared" si="139"/>
        <v>0.75152511601409566</v>
      </c>
      <c r="Z822" s="286" t="s">
        <v>53</v>
      </c>
      <c r="AA822" s="286" t="s">
        <v>53</v>
      </c>
      <c r="AB822" s="16">
        <v>0.75152511601409566</v>
      </c>
      <c r="AC822" s="66" t="s">
        <v>49</v>
      </c>
      <c r="AD822" s="51" t="s">
        <v>650</v>
      </c>
      <c r="AE822" s="13">
        <v>4</v>
      </c>
      <c r="AF822" s="13">
        <v>0</v>
      </c>
      <c r="AG822" s="13">
        <v>0</v>
      </c>
      <c r="AH822" s="134">
        <v>0</v>
      </c>
      <c r="AI822" s="134">
        <v>0</v>
      </c>
      <c r="AJ822" s="135">
        <f t="shared" si="137"/>
        <v>0</v>
      </c>
      <c r="AK822" s="45">
        <f t="shared" si="145"/>
        <v>0</v>
      </c>
      <c r="AL822" s="136" t="str" cm="1">
        <f t="array" ref="AL822">_xlfn.IFS(
AI822&lt;3,"Ligera",
AI822&lt;=6,"Moderada",
AI822&gt;6,"Vigorosa"
)</f>
        <v>Ligera</v>
      </c>
      <c r="AM822" s="45" t="s">
        <v>49</v>
      </c>
      <c r="AN822" s="289" t="s">
        <v>49</v>
      </c>
      <c r="AO822" s="289" t="s">
        <v>49</v>
      </c>
      <c r="AP822" s="289" t="s">
        <v>49</v>
      </c>
      <c r="AQ822" s="303">
        <v>0</v>
      </c>
      <c r="AR822" s="299"/>
      <c r="AS822" s="299"/>
    </row>
    <row r="823" spans="1:46" s="273" customFormat="1" ht="75.75" customHeight="1" thickBot="1">
      <c r="A823" s="138" t="s">
        <v>648</v>
      </c>
      <c r="B823" s="12">
        <v>21</v>
      </c>
      <c r="C823" s="12">
        <v>70</v>
      </c>
      <c r="D823" s="12">
        <v>63.6</v>
      </c>
      <c r="E823" s="12" t="s">
        <v>45</v>
      </c>
      <c r="F823" s="12" t="s">
        <v>45</v>
      </c>
      <c r="G823" s="12" t="s">
        <v>212</v>
      </c>
      <c r="H823" s="12"/>
      <c r="I823" s="12" t="s">
        <v>98</v>
      </c>
      <c r="J823" s="12" t="s">
        <v>47</v>
      </c>
      <c r="K823" s="12" t="s">
        <v>49</v>
      </c>
      <c r="L823" s="12" t="s">
        <v>49</v>
      </c>
      <c r="M823" s="11" t="s">
        <v>56</v>
      </c>
      <c r="N823" s="11" t="s">
        <v>76</v>
      </c>
      <c r="O823" s="11" t="s">
        <v>103</v>
      </c>
      <c r="P823" s="11" t="s">
        <v>51</v>
      </c>
      <c r="Q823" s="50" t="s">
        <v>91</v>
      </c>
      <c r="R823" s="302">
        <v>11</v>
      </c>
      <c r="S823" s="48">
        <v>7</v>
      </c>
      <c r="T823" s="48">
        <v>2.2799999999999998</v>
      </c>
      <c r="U823" s="302">
        <v>11</v>
      </c>
      <c r="V823" s="47">
        <v>9.5500000000000007</v>
      </c>
      <c r="W823" s="48">
        <v>2.16</v>
      </c>
      <c r="X823" s="130">
        <f t="shared" si="138"/>
        <v>2.5500000000000007</v>
      </c>
      <c r="Y823" s="16">
        <f t="shared" si="139"/>
        <v>0.67008818958267125</v>
      </c>
      <c r="Z823" s="15">
        <f t="shared" si="140"/>
        <v>2.3500000000000005</v>
      </c>
      <c r="AA823" s="16">
        <f t="shared" si="141"/>
        <v>5.4161052631578954</v>
      </c>
      <c r="AB823" s="16">
        <f t="shared" si="142"/>
        <v>1.0168499063565952</v>
      </c>
      <c r="AC823" s="66" t="s">
        <v>49</v>
      </c>
      <c r="AD823" s="51" t="s">
        <v>651</v>
      </c>
      <c r="AE823" s="13">
        <v>4</v>
      </c>
      <c r="AF823" s="13">
        <v>2.5</v>
      </c>
      <c r="AG823" s="13">
        <v>30</v>
      </c>
      <c r="AH823" s="134">
        <v>211360</v>
      </c>
      <c r="AI823" s="134">
        <v>3.5</v>
      </c>
      <c r="AJ823" s="135">
        <f t="shared" si="137"/>
        <v>105</v>
      </c>
      <c r="AK823" s="45">
        <f t="shared" si="145"/>
        <v>262.5</v>
      </c>
      <c r="AL823" s="136" t="str" cm="1">
        <f t="array" ref="AL823">_xlfn.IFS(
AI823&lt;3,"Ligera",
AI823&lt;=6,"Moderada",
AI823&gt;6,"Vigorosa"
)</f>
        <v>Moderada</v>
      </c>
      <c r="AM823" s="289" t="s">
        <v>49</v>
      </c>
      <c r="AN823" s="289" t="s">
        <v>49</v>
      </c>
      <c r="AO823" s="45" t="s">
        <v>255</v>
      </c>
      <c r="AP823" s="289" t="s">
        <v>155</v>
      </c>
      <c r="AQ823" s="303">
        <v>0</v>
      </c>
      <c r="AR823" s="299"/>
      <c r="AS823" s="299"/>
    </row>
    <row r="824" spans="1:46" s="273" customFormat="1" ht="75.75" customHeight="1" thickBot="1">
      <c r="A824" s="138" t="s">
        <v>648</v>
      </c>
      <c r="B824" s="12">
        <v>21</v>
      </c>
      <c r="C824" s="12" t="s">
        <v>649</v>
      </c>
      <c r="D824" s="12">
        <v>40</v>
      </c>
      <c r="E824" s="12" t="s">
        <v>45</v>
      </c>
      <c r="F824" s="12" t="s">
        <v>45</v>
      </c>
      <c r="G824" s="12" t="s">
        <v>212</v>
      </c>
      <c r="H824" s="12"/>
      <c r="I824" s="12" t="s">
        <v>98</v>
      </c>
      <c r="J824" s="12" t="s">
        <v>47</v>
      </c>
      <c r="K824" s="12" t="s">
        <v>49</v>
      </c>
      <c r="L824" s="12" t="s">
        <v>49</v>
      </c>
      <c r="M824" s="11" t="s">
        <v>50</v>
      </c>
      <c r="N824" s="11" t="s">
        <v>50</v>
      </c>
      <c r="O824" s="11" t="s">
        <v>50</v>
      </c>
      <c r="P824" s="11" t="s">
        <v>86</v>
      </c>
      <c r="Q824" s="50" t="s">
        <v>158</v>
      </c>
      <c r="R824" s="302">
        <v>10</v>
      </c>
      <c r="S824" s="48">
        <v>21.2</v>
      </c>
      <c r="T824" s="48">
        <v>5.45</v>
      </c>
      <c r="U824" s="302">
        <v>10</v>
      </c>
      <c r="V824" s="47">
        <v>20.5</v>
      </c>
      <c r="W824" s="48">
        <v>5.3</v>
      </c>
      <c r="X824" s="130">
        <f t="shared" si="138"/>
        <v>-0.69999999999999929</v>
      </c>
      <c r="Y824" s="16">
        <f t="shared" si="139"/>
        <v>1.7002205739256304</v>
      </c>
      <c r="Z824" s="286" t="s">
        <v>53</v>
      </c>
      <c r="AA824" s="286" t="s">
        <v>53</v>
      </c>
      <c r="AB824" s="16">
        <v>1.7002205739256304</v>
      </c>
      <c r="AC824" s="66" t="s">
        <v>49</v>
      </c>
      <c r="AD824" s="51" t="s">
        <v>650</v>
      </c>
      <c r="AE824" s="13">
        <v>4</v>
      </c>
      <c r="AF824" s="13">
        <v>0</v>
      </c>
      <c r="AG824" s="13">
        <v>0</v>
      </c>
      <c r="AH824" s="134">
        <v>0</v>
      </c>
      <c r="AI824" s="134">
        <v>0</v>
      </c>
      <c r="AJ824" s="135">
        <f t="shared" si="137"/>
        <v>0</v>
      </c>
      <c r="AK824" s="45">
        <f t="shared" si="145"/>
        <v>0</v>
      </c>
      <c r="AL824" s="136" t="str" cm="1">
        <f t="array" ref="AL824">_xlfn.IFS(
AI824&lt;3,"Ligera",
AI824&lt;=6,"Moderada",
AI824&gt;6,"Vigorosa"
)</f>
        <v>Ligera</v>
      </c>
      <c r="AM824" s="45" t="s">
        <v>49</v>
      </c>
      <c r="AN824" s="289" t="s">
        <v>49</v>
      </c>
      <c r="AO824" s="289" t="s">
        <v>49</v>
      </c>
      <c r="AP824" s="289" t="s">
        <v>49</v>
      </c>
      <c r="AQ824" s="303">
        <v>0</v>
      </c>
      <c r="AR824" s="299"/>
      <c r="AS824" s="299"/>
      <c r="AT824" s="299"/>
    </row>
    <row r="825" spans="1:46" s="273" customFormat="1" ht="64.5" customHeight="1" thickBot="1">
      <c r="A825" s="138" t="s">
        <v>648</v>
      </c>
      <c r="B825" s="12">
        <v>21</v>
      </c>
      <c r="C825" s="12">
        <v>70</v>
      </c>
      <c r="D825" s="12">
        <v>63.6</v>
      </c>
      <c r="E825" s="12" t="s">
        <v>45</v>
      </c>
      <c r="F825" s="12" t="s">
        <v>45</v>
      </c>
      <c r="G825" s="12" t="s">
        <v>212</v>
      </c>
      <c r="H825" s="12"/>
      <c r="I825" s="12" t="s">
        <v>98</v>
      </c>
      <c r="J825" s="12" t="s">
        <v>47</v>
      </c>
      <c r="K825" s="12" t="s">
        <v>49</v>
      </c>
      <c r="L825" s="12" t="s">
        <v>49</v>
      </c>
      <c r="M825" s="11" t="s">
        <v>56</v>
      </c>
      <c r="N825" s="11" t="s">
        <v>76</v>
      </c>
      <c r="O825" s="11" t="s">
        <v>103</v>
      </c>
      <c r="P825" s="11" t="s">
        <v>86</v>
      </c>
      <c r="Q825" s="50" t="s">
        <v>158</v>
      </c>
      <c r="R825" s="302">
        <v>11</v>
      </c>
      <c r="S825" s="48">
        <v>25.82</v>
      </c>
      <c r="T825" s="48">
        <v>2.56</v>
      </c>
      <c r="U825" s="302">
        <v>11</v>
      </c>
      <c r="V825" s="47">
        <v>26.55</v>
      </c>
      <c r="W825" s="48">
        <v>2.12</v>
      </c>
      <c r="X825" s="130">
        <f t="shared" si="138"/>
        <v>0.73000000000000043</v>
      </c>
      <c r="Y825" s="16">
        <f t="shared" si="139"/>
        <v>0.71482992255628075</v>
      </c>
      <c r="Z825" s="15">
        <f t="shared" si="140"/>
        <v>1.4299999999999997</v>
      </c>
      <c r="AA825" s="16">
        <f t="shared" si="141"/>
        <v>15.671263157894737</v>
      </c>
      <c r="AB825" s="16">
        <f t="shared" si="142"/>
        <v>1.7296781789890319</v>
      </c>
      <c r="AC825" s="66" t="s">
        <v>49</v>
      </c>
      <c r="AD825" s="51" t="s">
        <v>651</v>
      </c>
      <c r="AE825" s="13">
        <v>4</v>
      </c>
      <c r="AF825" s="13">
        <v>2.5</v>
      </c>
      <c r="AG825" s="13">
        <v>30</v>
      </c>
      <c r="AH825" s="134">
        <v>211360</v>
      </c>
      <c r="AI825" s="134">
        <v>3.5</v>
      </c>
      <c r="AJ825" s="135">
        <f t="shared" si="137"/>
        <v>105</v>
      </c>
      <c r="AK825" s="45">
        <f t="shared" si="145"/>
        <v>262.5</v>
      </c>
      <c r="AL825" s="136" t="str" cm="1">
        <f t="array" ref="AL825">_xlfn.IFS(
AI825&lt;3,"Ligera",
AI825&lt;=6,"Moderada",
AI825&gt;6,"Vigorosa"
)</f>
        <v>Moderada</v>
      </c>
      <c r="AM825" s="289" t="s">
        <v>49</v>
      </c>
      <c r="AN825" s="289" t="s">
        <v>49</v>
      </c>
      <c r="AO825" s="45" t="s">
        <v>255</v>
      </c>
      <c r="AP825" s="289" t="s">
        <v>155</v>
      </c>
      <c r="AQ825" s="303">
        <v>0</v>
      </c>
      <c r="AR825" s="299"/>
      <c r="AS825" s="299"/>
      <c r="AT825" s="299"/>
    </row>
    <row r="826" spans="1:46" s="273" customFormat="1" ht="60" customHeight="1" thickBot="1">
      <c r="A826" s="138" t="s">
        <v>648</v>
      </c>
      <c r="B826" s="12">
        <v>21</v>
      </c>
      <c r="C826" s="12" t="s">
        <v>649</v>
      </c>
      <c r="D826" s="12">
        <v>40</v>
      </c>
      <c r="E826" s="12" t="s">
        <v>45</v>
      </c>
      <c r="F826" s="12" t="s">
        <v>45</v>
      </c>
      <c r="G826" s="12" t="s">
        <v>212</v>
      </c>
      <c r="H826" s="12"/>
      <c r="I826" s="12" t="s">
        <v>98</v>
      </c>
      <c r="J826" s="12" t="s">
        <v>47</v>
      </c>
      <c r="K826" s="12" t="s">
        <v>49</v>
      </c>
      <c r="L826" s="12" t="s">
        <v>49</v>
      </c>
      <c r="M826" s="11" t="s">
        <v>50</v>
      </c>
      <c r="N826" s="11" t="s">
        <v>50</v>
      </c>
      <c r="O826" s="11" t="s">
        <v>50</v>
      </c>
      <c r="P826" s="11" t="s">
        <v>51</v>
      </c>
      <c r="Q826" s="50" t="s">
        <v>124</v>
      </c>
      <c r="R826" s="302">
        <v>10</v>
      </c>
      <c r="S826" s="48">
        <v>22.67</v>
      </c>
      <c r="T826" s="48">
        <v>15.69</v>
      </c>
      <c r="U826" s="302">
        <v>10</v>
      </c>
      <c r="V826" s="47">
        <v>21.67</v>
      </c>
      <c r="W826" s="48">
        <v>14</v>
      </c>
      <c r="X826" s="130">
        <f t="shared" si="138"/>
        <v>-1</v>
      </c>
      <c r="Y826" s="16">
        <f t="shared" si="139"/>
        <v>4.7171612225998807</v>
      </c>
      <c r="Z826" s="286" t="s">
        <v>53</v>
      </c>
      <c r="AA826" s="286" t="s">
        <v>53</v>
      </c>
      <c r="AB826" s="16">
        <v>4.7171612225998807</v>
      </c>
      <c r="AC826" s="66" t="s">
        <v>48</v>
      </c>
      <c r="AD826" s="51" t="s">
        <v>650</v>
      </c>
      <c r="AE826" s="13">
        <v>4</v>
      </c>
      <c r="AF826" s="13">
        <v>0</v>
      </c>
      <c r="AG826" s="13">
        <v>0</v>
      </c>
      <c r="AH826" s="134">
        <v>0</v>
      </c>
      <c r="AI826" s="134">
        <v>0</v>
      </c>
      <c r="AJ826" s="135">
        <f t="shared" si="137"/>
        <v>0</v>
      </c>
      <c r="AK826" s="45">
        <f t="shared" si="145"/>
        <v>0</v>
      </c>
      <c r="AL826" s="136" t="str" cm="1">
        <f t="array" ref="AL826">_xlfn.IFS(
AI826&lt;3,"Ligera",
AI826&lt;=6,"Moderada",
AI826&gt;6,"Vigorosa"
)</f>
        <v>Ligera</v>
      </c>
      <c r="AM826" s="45" t="s">
        <v>49</v>
      </c>
      <c r="AN826" s="289" t="s">
        <v>49</v>
      </c>
      <c r="AO826" s="289" t="s">
        <v>49</v>
      </c>
      <c r="AP826" s="289" t="s">
        <v>49</v>
      </c>
      <c r="AQ826" s="303">
        <v>0</v>
      </c>
      <c r="AR826" s="299"/>
      <c r="AS826" s="299"/>
      <c r="AT826" s="299"/>
    </row>
    <row r="827" spans="1:46" s="273" customFormat="1" ht="59.25" customHeight="1" thickBot="1">
      <c r="A827" s="138" t="s">
        <v>648</v>
      </c>
      <c r="B827" s="12">
        <v>21</v>
      </c>
      <c r="C827" s="12">
        <v>70</v>
      </c>
      <c r="D827" s="12">
        <v>63.6</v>
      </c>
      <c r="E827" s="12" t="s">
        <v>45</v>
      </c>
      <c r="F827" s="12" t="s">
        <v>45</v>
      </c>
      <c r="G827" s="12" t="s">
        <v>212</v>
      </c>
      <c r="H827" s="12"/>
      <c r="I827" s="12" t="s">
        <v>98</v>
      </c>
      <c r="J827" s="12" t="s">
        <v>47</v>
      </c>
      <c r="K827" s="12" t="s">
        <v>49</v>
      </c>
      <c r="L827" s="12" t="s">
        <v>49</v>
      </c>
      <c r="M827" s="11" t="s">
        <v>56</v>
      </c>
      <c r="N827" s="11" t="s">
        <v>76</v>
      </c>
      <c r="O827" s="11" t="s">
        <v>103</v>
      </c>
      <c r="P827" s="11" t="s">
        <v>51</v>
      </c>
      <c r="Q827" s="50" t="s">
        <v>124</v>
      </c>
      <c r="R827" s="302">
        <v>11</v>
      </c>
      <c r="S827" s="52">
        <v>11.99</v>
      </c>
      <c r="T827" s="48">
        <v>3.71</v>
      </c>
      <c r="U827" s="302">
        <v>11</v>
      </c>
      <c r="V827" s="47">
        <v>10.32</v>
      </c>
      <c r="W827" s="48">
        <v>2.61</v>
      </c>
      <c r="X827" s="130">
        <f t="shared" si="138"/>
        <v>-1.67</v>
      </c>
      <c r="Y827" s="16">
        <f t="shared" si="139"/>
        <v>0.99512904599444707</v>
      </c>
      <c r="Z827" s="15">
        <f t="shared" si="140"/>
        <v>-0.66999999999999993</v>
      </c>
      <c r="AA827" s="16">
        <f t="shared" si="141"/>
        <v>96.427421052631587</v>
      </c>
      <c r="AB827" s="16">
        <f t="shared" si="142"/>
        <v>4.2905560585856506</v>
      </c>
      <c r="AC827" s="66" t="s">
        <v>48</v>
      </c>
      <c r="AD827" s="51" t="s">
        <v>651</v>
      </c>
      <c r="AE827" s="13">
        <v>4</v>
      </c>
      <c r="AF827" s="13">
        <v>2.5</v>
      </c>
      <c r="AG827" s="13">
        <v>30</v>
      </c>
      <c r="AH827" s="134">
        <v>211360</v>
      </c>
      <c r="AI827" s="134">
        <v>3.5</v>
      </c>
      <c r="AJ827" s="135">
        <f t="shared" si="137"/>
        <v>105</v>
      </c>
      <c r="AK827" s="45">
        <f t="shared" si="145"/>
        <v>262.5</v>
      </c>
      <c r="AL827" s="136" t="str" cm="1">
        <f t="array" ref="AL827">_xlfn.IFS(
AI827&lt;3,"Ligera",
AI827&lt;=6,"Moderada",
AI827&gt;6,"Vigorosa"
)</f>
        <v>Moderada</v>
      </c>
      <c r="AM827" s="289" t="s">
        <v>49</v>
      </c>
      <c r="AN827" s="289" t="s">
        <v>49</v>
      </c>
      <c r="AO827" s="45" t="s">
        <v>255</v>
      </c>
      <c r="AP827" s="289" t="s">
        <v>155</v>
      </c>
      <c r="AQ827" s="303">
        <v>0</v>
      </c>
      <c r="AR827" s="299"/>
      <c r="AS827" s="299"/>
      <c r="AT827" s="299"/>
    </row>
    <row r="828" spans="1:46" s="273" customFormat="1" ht="60.75" customHeight="1" thickBot="1">
      <c r="A828" s="138" t="s">
        <v>648</v>
      </c>
      <c r="B828" s="12">
        <v>21</v>
      </c>
      <c r="C828" s="12" t="s">
        <v>649</v>
      </c>
      <c r="D828" s="12">
        <v>40</v>
      </c>
      <c r="E828" s="12" t="s">
        <v>45</v>
      </c>
      <c r="F828" s="12" t="s">
        <v>45</v>
      </c>
      <c r="G828" s="12" t="s">
        <v>212</v>
      </c>
      <c r="H828" s="12"/>
      <c r="I828" s="12" t="s">
        <v>98</v>
      </c>
      <c r="J828" s="12" t="s">
        <v>47</v>
      </c>
      <c r="K828" s="12" t="s">
        <v>49</v>
      </c>
      <c r="L828" s="12" t="s">
        <v>49</v>
      </c>
      <c r="M828" s="11" t="s">
        <v>50</v>
      </c>
      <c r="N828" s="11" t="s">
        <v>50</v>
      </c>
      <c r="O828" s="11" t="s">
        <v>50</v>
      </c>
      <c r="P828" s="11" t="s">
        <v>51</v>
      </c>
      <c r="Q828" s="50" t="s">
        <v>92</v>
      </c>
      <c r="R828" s="302">
        <v>10</v>
      </c>
      <c r="S828" s="52">
        <v>10.91</v>
      </c>
      <c r="T828" s="48">
        <v>10.1</v>
      </c>
      <c r="U828" s="302">
        <v>10</v>
      </c>
      <c r="V828" s="47">
        <v>10.61</v>
      </c>
      <c r="W828" s="48">
        <v>9.18</v>
      </c>
      <c r="X828" s="130">
        <f>V828-S828</f>
        <v>-0.30000000000000071</v>
      </c>
      <c r="Y828" s="16">
        <f t="shared" si="139"/>
        <v>3.0588298416224462</v>
      </c>
      <c r="Z828" s="286" t="s">
        <v>53</v>
      </c>
      <c r="AA828" s="286" t="s">
        <v>53</v>
      </c>
      <c r="AB828" s="16">
        <v>3.0588298416224462</v>
      </c>
      <c r="AC828" s="66" t="s">
        <v>49</v>
      </c>
      <c r="AD828" s="51" t="s">
        <v>650</v>
      </c>
      <c r="AE828" s="13">
        <v>4</v>
      </c>
      <c r="AF828" s="13">
        <v>0</v>
      </c>
      <c r="AG828" s="13">
        <v>0</v>
      </c>
      <c r="AH828" s="134">
        <v>0</v>
      </c>
      <c r="AI828" s="134">
        <v>0</v>
      </c>
      <c r="AJ828" s="135">
        <f t="shared" si="137"/>
        <v>0</v>
      </c>
      <c r="AK828" s="45">
        <f t="shared" si="145"/>
        <v>0</v>
      </c>
      <c r="AL828" s="136" t="str" cm="1">
        <f t="array" ref="AL828">_xlfn.IFS(
AI828&lt;3,"Ligera",
AI828&lt;=6,"Moderada",
AI828&gt;6,"Vigorosa"
)</f>
        <v>Ligera</v>
      </c>
      <c r="AM828" s="45" t="s">
        <v>49</v>
      </c>
      <c r="AN828" s="289" t="s">
        <v>49</v>
      </c>
      <c r="AO828" s="289" t="s">
        <v>49</v>
      </c>
      <c r="AP828" s="289" t="s">
        <v>49</v>
      </c>
      <c r="AQ828" s="303">
        <v>0</v>
      </c>
      <c r="AR828" s="299"/>
      <c r="AS828" s="299"/>
      <c r="AT828" s="299"/>
    </row>
    <row r="829" spans="1:46" s="273" customFormat="1" ht="60.75" customHeight="1" thickBot="1">
      <c r="A829" s="138" t="s">
        <v>648</v>
      </c>
      <c r="B829" s="12">
        <v>21</v>
      </c>
      <c r="C829" s="12">
        <v>70</v>
      </c>
      <c r="D829" s="12">
        <v>63.6</v>
      </c>
      <c r="E829" s="12" t="s">
        <v>45</v>
      </c>
      <c r="F829" s="12" t="s">
        <v>45</v>
      </c>
      <c r="G829" s="12" t="s">
        <v>212</v>
      </c>
      <c r="H829" s="12"/>
      <c r="I829" s="12" t="s">
        <v>98</v>
      </c>
      <c r="J829" s="12" t="s">
        <v>47</v>
      </c>
      <c r="K829" s="12" t="s">
        <v>49</v>
      </c>
      <c r="L829" s="12" t="s">
        <v>49</v>
      </c>
      <c r="M829" s="11" t="s">
        <v>56</v>
      </c>
      <c r="N829" s="11" t="s">
        <v>76</v>
      </c>
      <c r="O829" s="11" t="s">
        <v>103</v>
      </c>
      <c r="P829" s="11" t="s">
        <v>51</v>
      </c>
      <c r="Q829" s="50" t="s">
        <v>92</v>
      </c>
      <c r="R829" s="302">
        <v>11</v>
      </c>
      <c r="S829" s="48">
        <v>16.829999999999998</v>
      </c>
      <c r="T829" s="48">
        <v>10.3</v>
      </c>
      <c r="U829" s="302">
        <v>11</v>
      </c>
      <c r="V829" s="47">
        <v>15.5</v>
      </c>
      <c r="W829" s="48">
        <v>9.7899999999999991</v>
      </c>
      <c r="X829" s="130">
        <f t="shared" si="138"/>
        <v>-1.3299999999999983</v>
      </c>
      <c r="Y829" s="16">
        <f t="shared" si="139"/>
        <v>3.031607734279858</v>
      </c>
      <c r="Z829" s="15">
        <f t="shared" si="140"/>
        <v>-1.0299999999999976</v>
      </c>
      <c r="AA829" s="16">
        <f t="shared" si="141"/>
        <v>90.362768421052621</v>
      </c>
      <c r="AB829" s="16">
        <f t="shared" si="142"/>
        <v>4.1534412203968731</v>
      </c>
      <c r="AC829" s="66" t="s">
        <v>49</v>
      </c>
      <c r="AD829" s="51" t="s">
        <v>651</v>
      </c>
      <c r="AE829" s="13">
        <v>4</v>
      </c>
      <c r="AF829" s="13">
        <v>2.5</v>
      </c>
      <c r="AG829" s="13">
        <v>30</v>
      </c>
      <c r="AH829" s="134">
        <v>211360</v>
      </c>
      <c r="AI829" s="134">
        <v>3.5</v>
      </c>
      <c r="AJ829" s="135">
        <f t="shared" si="137"/>
        <v>105</v>
      </c>
      <c r="AK829" s="45">
        <f t="shared" si="145"/>
        <v>262.5</v>
      </c>
      <c r="AL829" s="136" t="str" cm="1">
        <f t="array" ref="AL829">_xlfn.IFS(
AI829&lt;3,"Ligera",
AI829&lt;=6,"Moderada",
AI829&gt;6,"Vigorosa"
)</f>
        <v>Moderada</v>
      </c>
      <c r="AM829" s="289" t="s">
        <v>49</v>
      </c>
      <c r="AN829" s="289" t="s">
        <v>49</v>
      </c>
      <c r="AO829" s="45" t="s">
        <v>255</v>
      </c>
      <c r="AP829" s="289" t="s">
        <v>155</v>
      </c>
      <c r="AQ829" s="303">
        <v>0</v>
      </c>
      <c r="AR829" s="299"/>
      <c r="AS829" s="299"/>
      <c r="AT829" s="299"/>
    </row>
    <row r="830" spans="1:46" s="273" customFormat="1" ht="59.25" customHeight="1" thickBot="1">
      <c r="A830" s="138" t="s">
        <v>648</v>
      </c>
      <c r="B830" s="12">
        <v>21</v>
      </c>
      <c r="C830" s="12" t="s">
        <v>649</v>
      </c>
      <c r="D830" s="12">
        <v>40</v>
      </c>
      <c r="E830" s="12" t="s">
        <v>45</v>
      </c>
      <c r="F830" s="12" t="s">
        <v>45</v>
      </c>
      <c r="G830" s="12" t="s">
        <v>212</v>
      </c>
      <c r="H830" s="12"/>
      <c r="I830" s="12" t="s">
        <v>98</v>
      </c>
      <c r="J830" s="12" t="s">
        <v>47</v>
      </c>
      <c r="K830" s="12" t="s">
        <v>49</v>
      </c>
      <c r="L830" s="12" t="s">
        <v>49</v>
      </c>
      <c r="M830" s="11" t="s">
        <v>50</v>
      </c>
      <c r="N830" s="11" t="s">
        <v>50</v>
      </c>
      <c r="O830" s="11" t="s">
        <v>50</v>
      </c>
      <c r="P830" s="11" t="s">
        <v>51</v>
      </c>
      <c r="Q830" s="50" t="s">
        <v>210</v>
      </c>
      <c r="R830" s="302">
        <v>10</v>
      </c>
      <c r="S830" s="48">
        <v>0.93</v>
      </c>
      <c r="T830" s="48">
        <v>0.2</v>
      </c>
      <c r="U830" s="302">
        <v>10</v>
      </c>
      <c r="V830" s="47">
        <v>1.01</v>
      </c>
      <c r="W830" s="48">
        <v>0.17</v>
      </c>
      <c r="X830" s="130">
        <f t="shared" si="138"/>
        <v>7.999999999999996E-2</v>
      </c>
      <c r="Y830" s="16">
        <f t="shared" si="139"/>
        <v>5.9076221950967726E-2</v>
      </c>
      <c r="Z830" s="286" t="s">
        <v>53</v>
      </c>
      <c r="AA830" s="286" t="s">
        <v>53</v>
      </c>
      <c r="AB830" s="16">
        <v>5.9076221950967726E-2</v>
      </c>
      <c r="AC830" s="66" t="s">
        <v>49</v>
      </c>
      <c r="AD830" s="51" t="s">
        <v>650</v>
      </c>
      <c r="AE830" s="13">
        <v>4</v>
      </c>
      <c r="AF830" s="13">
        <v>0</v>
      </c>
      <c r="AG830" s="13">
        <v>0</v>
      </c>
      <c r="AH830" s="134">
        <v>0</v>
      </c>
      <c r="AI830" s="134">
        <v>0</v>
      </c>
      <c r="AJ830" s="135">
        <f t="shared" si="137"/>
        <v>0</v>
      </c>
      <c r="AK830" s="45">
        <f t="shared" si="145"/>
        <v>0</v>
      </c>
      <c r="AL830" s="136" t="str" cm="1">
        <f t="array" ref="AL830">_xlfn.IFS(
AI830&lt;3,"Ligera",
AI830&lt;=6,"Moderada",
AI830&gt;6,"Vigorosa"
)</f>
        <v>Ligera</v>
      </c>
      <c r="AM830" s="45" t="s">
        <v>49</v>
      </c>
      <c r="AN830" s="289" t="s">
        <v>49</v>
      </c>
      <c r="AO830" s="289" t="s">
        <v>49</v>
      </c>
      <c r="AP830" s="289" t="s">
        <v>49</v>
      </c>
      <c r="AQ830" s="303">
        <v>0</v>
      </c>
      <c r="AR830" s="299"/>
      <c r="AS830" s="299"/>
      <c r="AT830" s="299"/>
    </row>
    <row r="831" spans="1:46" s="273" customFormat="1" ht="60.75" customHeight="1" thickBot="1">
      <c r="A831" s="138" t="s">
        <v>648</v>
      </c>
      <c r="B831" s="12">
        <v>21</v>
      </c>
      <c r="C831" s="12">
        <v>70</v>
      </c>
      <c r="D831" s="12">
        <v>63.6</v>
      </c>
      <c r="E831" s="12" t="s">
        <v>45</v>
      </c>
      <c r="F831" s="12" t="s">
        <v>45</v>
      </c>
      <c r="G831" s="12" t="s">
        <v>212</v>
      </c>
      <c r="H831" s="12"/>
      <c r="I831" s="12" t="s">
        <v>98</v>
      </c>
      <c r="J831" s="12" t="s">
        <v>47</v>
      </c>
      <c r="K831" s="12" t="s">
        <v>49</v>
      </c>
      <c r="L831" s="12" t="s">
        <v>49</v>
      </c>
      <c r="M831" s="11" t="s">
        <v>56</v>
      </c>
      <c r="N831" s="11" t="s">
        <v>76</v>
      </c>
      <c r="O831" s="11" t="s">
        <v>103</v>
      </c>
      <c r="P831" s="11" t="s">
        <v>51</v>
      </c>
      <c r="Q831" s="50" t="s">
        <v>210</v>
      </c>
      <c r="R831" s="302">
        <v>11</v>
      </c>
      <c r="S831" s="48">
        <v>0.92</v>
      </c>
      <c r="T831" s="48">
        <v>0.16</v>
      </c>
      <c r="U831" s="302">
        <v>11</v>
      </c>
      <c r="V831" s="47">
        <v>0.88</v>
      </c>
      <c r="W831" s="48">
        <v>0.31</v>
      </c>
      <c r="X831" s="130">
        <f t="shared" si="138"/>
        <v>-4.0000000000000036E-2</v>
      </c>
      <c r="Y831" s="16">
        <f t="shared" si="139"/>
        <v>8.0960147322898662E-2</v>
      </c>
      <c r="Z831" s="15">
        <f t="shared" si="140"/>
        <v>-0.12</v>
      </c>
      <c r="AA831" s="16">
        <f t="shared" si="141"/>
        <v>6.4268421052631586E-2</v>
      </c>
      <c r="AB831" s="16">
        <f t="shared" si="142"/>
        <v>0.11076744033027294</v>
      </c>
      <c r="AC831" s="66" t="s">
        <v>49</v>
      </c>
      <c r="AD831" s="51" t="s">
        <v>651</v>
      </c>
      <c r="AE831" s="13">
        <v>4</v>
      </c>
      <c r="AF831" s="13">
        <v>2.5</v>
      </c>
      <c r="AG831" s="13">
        <v>30</v>
      </c>
      <c r="AH831" s="134">
        <v>211360</v>
      </c>
      <c r="AI831" s="134">
        <v>3.5</v>
      </c>
      <c r="AJ831" s="135">
        <f t="shared" si="137"/>
        <v>105</v>
      </c>
      <c r="AK831" s="45">
        <f t="shared" si="145"/>
        <v>262.5</v>
      </c>
      <c r="AL831" s="136" t="str" cm="1">
        <f t="array" ref="AL831">_xlfn.IFS(
AI831&lt;3,"Ligera",
AI831&lt;=6,"Moderada",
AI831&gt;6,"Vigorosa"
)</f>
        <v>Moderada</v>
      </c>
      <c r="AM831" s="289" t="s">
        <v>49</v>
      </c>
      <c r="AN831" s="289" t="s">
        <v>49</v>
      </c>
      <c r="AO831" s="45" t="s">
        <v>255</v>
      </c>
      <c r="AP831" s="289" t="s">
        <v>155</v>
      </c>
      <c r="AQ831" s="303">
        <v>0</v>
      </c>
      <c r="AR831" s="299"/>
      <c r="AS831" s="299"/>
      <c r="AT831" s="299"/>
    </row>
    <row r="832" spans="1:46" s="273" customFormat="1" ht="54" customHeight="1" thickBot="1">
      <c r="A832" s="124" t="s">
        <v>652</v>
      </c>
      <c r="B832" s="125">
        <v>32</v>
      </c>
      <c r="C832" s="125" t="s">
        <v>653</v>
      </c>
      <c r="D832" s="125">
        <v>45.45</v>
      </c>
      <c r="E832" s="125" t="s">
        <v>45</v>
      </c>
      <c r="F832" s="125" t="s">
        <v>45</v>
      </c>
      <c r="G832" s="125" t="s">
        <v>654</v>
      </c>
      <c r="H832" s="125"/>
      <c r="I832" s="125" t="s">
        <v>98</v>
      </c>
      <c r="J832" s="125">
        <v>4.5</v>
      </c>
      <c r="K832" s="125" t="s">
        <v>49</v>
      </c>
      <c r="L832" s="125" t="s">
        <v>49</v>
      </c>
      <c r="M832" s="126" t="s">
        <v>50</v>
      </c>
      <c r="N832" s="126" t="s">
        <v>50</v>
      </c>
      <c r="O832" s="126" t="s">
        <v>50</v>
      </c>
      <c r="P832" s="11" t="s">
        <v>86</v>
      </c>
      <c r="Q832" s="159" t="s">
        <v>87</v>
      </c>
      <c r="R832" s="167">
        <v>15</v>
      </c>
      <c r="S832" s="305">
        <v>41.2</v>
      </c>
      <c r="T832" s="305">
        <v>10.3</v>
      </c>
      <c r="U832" s="168">
        <v>15</v>
      </c>
      <c r="V832" s="167">
        <v>42.13</v>
      </c>
      <c r="W832" s="168">
        <v>11.2</v>
      </c>
      <c r="X832" s="130">
        <f t="shared" si="138"/>
        <v>0.92999999999999972</v>
      </c>
      <c r="Y832" s="16">
        <f t="shared" si="139"/>
        <v>2.7829241216150082</v>
      </c>
      <c r="Z832" s="286" t="s">
        <v>53</v>
      </c>
      <c r="AA832" s="286" t="s">
        <v>53</v>
      </c>
      <c r="AB832" s="16">
        <v>2.7829241216150082</v>
      </c>
      <c r="AC832" s="66" t="s">
        <v>49</v>
      </c>
      <c r="AD832" s="133" t="s">
        <v>655</v>
      </c>
      <c r="AE832" s="134">
        <v>4</v>
      </c>
      <c r="AF832" s="134">
        <v>0</v>
      </c>
      <c r="AG832" s="134">
        <v>0</v>
      </c>
      <c r="AH832" s="134">
        <v>0</v>
      </c>
      <c r="AI832" s="134">
        <v>0</v>
      </c>
      <c r="AJ832" s="135">
        <f t="shared" si="137"/>
        <v>0</v>
      </c>
      <c r="AK832" s="45">
        <f t="shared" si="145"/>
        <v>0</v>
      </c>
      <c r="AL832" s="136" t="str" cm="1">
        <f t="array" ref="AL832">_xlfn.IFS(
AI832&lt;3,"Ligera",
AI832&lt;=6,"Moderada",
AI832&gt;6,"Vigorosa"
)</f>
        <v>Ligera</v>
      </c>
      <c r="AM832" s="136" t="s">
        <v>49</v>
      </c>
      <c r="AN832" s="288" t="s">
        <v>49</v>
      </c>
      <c r="AO832" s="288" t="s">
        <v>49</v>
      </c>
      <c r="AP832" s="288" t="s">
        <v>49</v>
      </c>
      <c r="AQ832" s="298">
        <v>0</v>
      </c>
      <c r="AR832" s="299"/>
      <c r="AS832" s="299"/>
      <c r="AT832" s="299"/>
    </row>
    <row r="833" spans="1:46" s="273" customFormat="1" ht="54" customHeight="1" thickBot="1">
      <c r="A833" s="124" t="s">
        <v>652</v>
      </c>
      <c r="B833" s="12">
        <v>32</v>
      </c>
      <c r="C833" s="12" t="s">
        <v>656</v>
      </c>
      <c r="D833" s="12">
        <v>27.27</v>
      </c>
      <c r="E833" s="12" t="s">
        <v>45</v>
      </c>
      <c r="F833" s="12" t="s">
        <v>45</v>
      </c>
      <c r="G833" s="12" t="s">
        <v>654</v>
      </c>
      <c r="H833" s="12"/>
      <c r="I833" s="12" t="s">
        <v>98</v>
      </c>
      <c r="J833" s="12">
        <v>4.3099999999999996</v>
      </c>
      <c r="K833" s="12" t="s">
        <v>49</v>
      </c>
      <c r="L833" s="12" t="s">
        <v>49</v>
      </c>
      <c r="M833" s="11" t="s">
        <v>56</v>
      </c>
      <c r="N833" s="11" t="s">
        <v>152</v>
      </c>
      <c r="O833" s="11" t="s">
        <v>202</v>
      </c>
      <c r="P833" s="11" t="s">
        <v>86</v>
      </c>
      <c r="Q833" s="50" t="s">
        <v>87</v>
      </c>
      <c r="R833" s="47">
        <v>15</v>
      </c>
      <c r="S833" s="48">
        <v>40.53</v>
      </c>
      <c r="T833" s="52">
        <v>6.59</v>
      </c>
      <c r="U833" s="47">
        <v>15</v>
      </c>
      <c r="V833" s="47">
        <v>43.93</v>
      </c>
      <c r="W833" s="48">
        <v>6.34</v>
      </c>
      <c r="X833" s="130">
        <f t="shared" si="138"/>
        <v>3.3999999999999986</v>
      </c>
      <c r="Y833" s="16">
        <f t="shared" si="139"/>
        <v>1.6701916057746187</v>
      </c>
      <c r="Z833" s="15">
        <f t="shared" si="140"/>
        <v>2.4699999999999989</v>
      </c>
      <c r="AA833" s="16">
        <f t="shared" si="141"/>
        <v>82.817800000000005</v>
      </c>
      <c r="AB833" s="16">
        <f t="shared" si="142"/>
        <v>3.32300667067241</v>
      </c>
      <c r="AC833" s="66" t="s">
        <v>49</v>
      </c>
      <c r="AD833" s="51" t="s">
        <v>657</v>
      </c>
      <c r="AE833" s="13">
        <v>4</v>
      </c>
      <c r="AF833" s="13">
        <v>2</v>
      </c>
      <c r="AG833" s="13">
        <v>30</v>
      </c>
      <c r="AH833" s="134">
        <v>2230060</v>
      </c>
      <c r="AI833" s="134">
        <v>3.5</v>
      </c>
      <c r="AJ833" s="135">
        <f t="shared" si="137"/>
        <v>105</v>
      </c>
      <c r="AK833" s="45">
        <f t="shared" si="145"/>
        <v>210</v>
      </c>
      <c r="AL833" s="136" t="str" cm="1">
        <f t="array" ref="AL833">_xlfn.IFS(
AI833&lt;3,"Ligera",
AI833&lt;=6,"Moderada",
AI833&gt;6,"Vigorosa"
)</f>
        <v>Moderada</v>
      </c>
      <c r="AM833" s="45" t="s">
        <v>48</v>
      </c>
      <c r="AN833" s="289" t="s">
        <v>658</v>
      </c>
      <c r="AO833" s="289" t="s">
        <v>61</v>
      </c>
      <c r="AP833" s="289" t="s">
        <v>659</v>
      </c>
      <c r="AQ833" s="303">
        <v>0</v>
      </c>
      <c r="AR833" s="299"/>
      <c r="AS833" s="299"/>
      <c r="AT833" s="299"/>
    </row>
    <row r="834" spans="1:46" s="273" customFormat="1" ht="54" customHeight="1" thickBot="1">
      <c r="A834" s="124" t="s">
        <v>652</v>
      </c>
      <c r="B834" s="12">
        <v>32</v>
      </c>
      <c r="C834" s="12" t="s">
        <v>653</v>
      </c>
      <c r="D834" s="12">
        <v>45.45</v>
      </c>
      <c r="E834" s="12" t="s">
        <v>45</v>
      </c>
      <c r="F834" s="12" t="s">
        <v>45</v>
      </c>
      <c r="G834" s="12" t="s">
        <v>654</v>
      </c>
      <c r="H834" s="12"/>
      <c r="I834" s="12" t="s">
        <v>98</v>
      </c>
      <c r="J834" s="12">
        <v>4.5</v>
      </c>
      <c r="K834" s="12" t="s">
        <v>49</v>
      </c>
      <c r="L834" s="12" t="s">
        <v>49</v>
      </c>
      <c r="M834" s="11" t="s">
        <v>50</v>
      </c>
      <c r="N834" s="11" t="s">
        <v>50</v>
      </c>
      <c r="O834" s="11" t="s">
        <v>50</v>
      </c>
      <c r="P834" s="11" t="s">
        <v>51</v>
      </c>
      <c r="Q834" s="50" t="s">
        <v>124</v>
      </c>
      <c r="R834" s="47">
        <v>15</v>
      </c>
      <c r="S834" s="48">
        <v>19.41</v>
      </c>
      <c r="T834" s="52">
        <v>12.63</v>
      </c>
      <c r="U834" s="47">
        <v>15</v>
      </c>
      <c r="V834" s="47">
        <v>18.11</v>
      </c>
      <c r="W834" s="48">
        <v>15.81</v>
      </c>
      <c r="X834" s="130">
        <f t="shared" si="138"/>
        <v>-1.3000000000000007</v>
      </c>
      <c r="Y834" s="16">
        <f t="shared" si="139"/>
        <v>3.7398101556095065</v>
      </c>
      <c r="Z834" s="286" t="s">
        <v>53</v>
      </c>
      <c r="AA834" s="286" t="s">
        <v>53</v>
      </c>
      <c r="AB834" s="16">
        <v>3.7398101556095065</v>
      </c>
      <c r="AC834" s="66" t="s">
        <v>48</v>
      </c>
      <c r="AD834" s="51" t="s">
        <v>655</v>
      </c>
      <c r="AE834" s="13">
        <v>4</v>
      </c>
      <c r="AF834" s="13">
        <v>0</v>
      </c>
      <c r="AG834" s="13">
        <v>0</v>
      </c>
      <c r="AH834" s="134">
        <v>0</v>
      </c>
      <c r="AI834" s="134">
        <v>0</v>
      </c>
      <c r="AJ834" s="135">
        <f t="shared" si="137"/>
        <v>0</v>
      </c>
      <c r="AK834" s="45">
        <f t="shared" si="145"/>
        <v>0</v>
      </c>
      <c r="AL834" s="136" t="str" cm="1">
        <f t="array" ref="AL834">_xlfn.IFS(
AI834&lt;3,"Ligera",
AI834&lt;=6,"Moderada",
AI834&gt;6,"Vigorosa"
)</f>
        <v>Ligera</v>
      </c>
      <c r="AM834" s="45" t="s">
        <v>49</v>
      </c>
      <c r="AN834" s="289" t="s">
        <v>49</v>
      </c>
      <c r="AO834" s="289" t="s">
        <v>49</v>
      </c>
      <c r="AP834" s="289" t="s">
        <v>49</v>
      </c>
      <c r="AQ834" s="303">
        <v>0</v>
      </c>
      <c r="AR834" s="299"/>
      <c r="AS834" s="299"/>
      <c r="AT834" s="299"/>
    </row>
    <row r="835" spans="1:46" s="273" customFormat="1" ht="54" customHeight="1" thickBot="1">
      <c r="A835" s="124" t="s">
        <v>652</v>
      </c>
      <c r="B835" s="12">
        <v>32</v>
      </c>
      <c r="C835" s="12" t="s">
        <v>656</v>
      </c>
      <c r="D835" s="12">
        <v>27.27</v>
      </c>
      <c r="E835" s="12" t="s">
        <v>45</v>
      </c>
      <c r="F835" s="12" t="s">
        <v>45</v>
      </c>
      <c r="G835" s="12" t="s">
        <v>654</v>
      </c>
      <c r="H835" s="12"/>
      <c r="I835" s="12" t="s">
        <v>98</v>
      </c>
      <c r="J835" s="12">
        <v>4.3099999999999996</v>
      </c>
      <c r="K835" s="12" t="s">
        <v>49</v>
      </c>
      <c r="L835" s="12" t="s">
        <v>49</v>
      </c>
      <c r="M835" s="11" t="s">
        <v>56</v>
      </c>
      <c r="N835" s="11" t="s">
        <v>152</v>
      </c>
      <c r="O835" s="11" t="s">
        <v>202</v>
      </c>
      <c r="P835" s="11" t="s">
        <v>51</v>
      </c>
      <c r="Q835" s="50" t="s">
        <v>124</v>
      </c>
      <c r="R835" s="47">
        <v>15</v>
      </c>
      <c r="S835" s="48">
        <v>18.52</v>
      </c>
      <c r="T835" s="52">
        <v>5.6</v>
      </c>
      <c r="U835" s="47">
        <v>15</v>
      </c>
      <c r="V835" s="47">
        <v>15.27</v>
      </c>
      <c r="W835" s="48">
        <v>4.68</v>
      </c>
      <c r="X835" s="130">
        <f t="shared" si="138"/>
        <v>-3.25</v>
      </c>
      <c r="Y835" s="16">
        <f t="shared" si="139"/>
        <v>1.3429916852559685</v>
      </c>
      <c r="Z835" s="15">
        <f t="shared" si="140"/>
        <v>-1.9499999999999993</v>
      </c>
      <c r="AA835" s="16">
        <f t="shared" si="141"/>
        <v>135.92925</v>
      </c>
      <c r="AB835" s="16">
        <f t="shared" si="142"/>
        <v>4.2572174010731469</v>
      </c>
      <c r="AC835" s="66" t="s">
        <v>48</v>
      </c>
      <c r="AD835" s="51" t="s">
        <v>657</v>
      </c>
      <c r="AE835" s="13">
        <v>4</v>
      </c>
      <c r="AF835" s="13">
        <v>2</v>
      </c>
      <c r="AG835" s="13">
        <v>30</v>
      </c>
      <c r="AH835" s="134">
        <v>2230060</v>
      </c>
      <c r="AI835" s="134">
        <v>3.5</v>
      </c>
      <c r="AJ835" s="135">
        <f t="shared" si="137"/>
        <v>105</v>
      </c>
      <c r="AK835" s="45">
        <f t="shared" si="145"/>
        <v>210</v>
      </c>
      <c r="AL835" s="136" t="str" cm="1">
        <f t="array" ref="AL835">_xlfn.IFS(
AI835&lt;3,"Ligera",
AI835&lt;=6,"Moderada",
AI835&gt;6,"Vigorosa"
)</f>
        <v>Moderada</v>
      </c>
      <c r="AM835" s="45" t="s">
        <v>48</v>
      </c>
      <c r="AN835" s="289" t="s">
        <v>658</v>
      </c>
      <c r="AO835" s="289" t="s">
        <v>61</v>
      </c>
      <c r="AP835" s="289" t="s">
        <v>659</v>
      </c>
      <c r="AQ835" s="303">
        <v>0</v>
      </c>
      <c r="AR835" s="299"/>
      <c r="AS835" s="299"/>
      <c r="AT835" s="299"/>
    </row>
    <row r="836" spans="1:46" s="273" customFormat="1" ht="54" customHeight="1" thickBot="1">
      <c r="A836" s="124" t="s">
        <v>652</v>
      </c>
      <c r="B836" s="12">
        <v>32</v>
      </c>
      <c r="C836" s="12" t="s">
        <v>653</v>
      </c>
      <c r="D836" s="12">
        <v>45.45</v>
      </c>
      <c r="E836" s="12" t="s">
        <v>45</v>
      </c>
      <c r="F836" s="12" t="s">
        <v>45</v>
      </c>
      <c r="G836" s="12" t="s">
        <v>654</v>
      </c>
      <c r="H836" s="12"/>
      <c r="I836" s="12" t="s">
        <v>98</v>
      </c>
      <c r="J836" s="12">
        <v>4.5</v>
      </c>
      <c r="K836" s="12" t="s">
        <v>49</v>
      </c>
      <c r="L836" s="12" t="s">
        <v>49</v>
      </c>
      <c r="M836" s="11" t="s">
        <v>50</v>
      </c>
      <c r="N836" s="11" t="s">
        <v>50</v>
      </c>
      <c r="O836" s="11" t="s">
        <v>50</v>
      </c>
      <c r="P836" s="11" t="s">
        <v>51</v>
      </c>
      <c r="Q836" s="50" t="s">
        <v>82</v>
      </c>
      <c r="R836" s="47">
        <v>15</v>
      </c>
      <c r="S836" s="48">
        <v>195.12</v>
      </c>
      <c r="T836" s="52">
        <v>103.4</v>
      </c>
      <c r="U836" s="47">
        <v>15</v>
      </c>
      <c r="V836" s="48">
        <v>216.22</v>
      </c>
      <c r="W836" s="52">
        <v>104.05</v>
      </c>
      <c r="X836" s="130">
        <f t="shared" si="138"/>
        <v>21.099999999999994</v>
      </c>
      <c r="Y836" s="16">
        <f t="shared" si="139"/>
        <v>26.782074228856882</v>
      </c>
      <c r="Z836" s="286" t="s">
        <v>53</v>
      </c>
      <c r="AA836" s="286" t="s">
        <v>53</v>
      </c>
      <c r="AB836" s="16">
        <v>26.782074228856882</v>
      </c>
      <c r="AC836" s="66" t="s">
        <v>49</v>
      </c>
      <c r="AD836" s="51" t="s">
        <v>655</v>
      </c>
      <c r="AE836" s="13">
        <v>4</v>
      </c>
      <c r="AF836" s="13">
        <v>0</v>
      </c>
      <c r="AG836" s="13">
        <v>0</v>
      </c>
      <c r="AH836" s="134">
        <v>0</v>
      </c>
      <c r="AI836" s="134">
        <v>0</v>
      </c>
      <c r="AJ836" s="135">
        <f t="shared" si="137"/>
        <v>0</v>
      </c>
      <c r="AK836" s="45">
        <f t="shared" si="145"/>
        <v>0</v>
      </c>
      <c r="AL836" s="136" t="str" cm="1">
        <f t="array" ref="AL836">_xlfn.IFS(
AI836&lt;3,"Ligera",
AI836&lt;=6,"Moderada",
AI836&gt;6,"Vigorosa"
)</f>
        <v>Ligera</v>
      </c>
      <c r="AM836" s="45" t="s">
        <v>49</v>
      </c>
      <c r="AN836" s="289" t="s">
        <v>49</v>
      </c>
      <c r="AO836" s="289" t="s">
        <v>49</v>
      </c>
      <c r="AP836" s="289" t="s">
        <v>49</v>
      </c>
      <c r="AQ836" s="303">
        <v>0</v>
      </c>
      <c r="AR836" s="299"/>
      <c r="AS836" s="299"/>
      <c r="AT836" s="299"/>
    </row>
    <row r="837" spans="1:46" s="273" customFormat="1" ht="54" customHeight="1" thickBot="1">
      <c r="A837" s="124" t="s">
        <v>652</v>
      </c>
      <c r="B837" s="12">
        <v>32</v>
      </c>
      <c r="C837" s="12" t="s">
        <v>656</v>
      </c>
      <c r="D837" s="12">
        <v>27.27</v>
      </c>
      <c r="E837" s="12" t="s">
        <v>45</v>
      </c>
      <c r="F837" s="12" t="s">
        <v>45</v>
      </c>
      <c r="G837" s="12" t="s">
        <v>654</v>
      </c>
      <c r="H837" s="12"/>
      <c r="I837" s="12" t="s">
        <v>98</v>
      </c>
      <c r="J837" s="12">
        <v>4.3099999999999996</v>
      </c>
      <c r="K837" s="12" t="s">
        <v>49</v>
      </c>
      <c r="L837" s="12" t="s">
        <v>49</v>
      </c>
      <c r="M837" s="11" t="s">
        <v>56</v>
      </c>
      <c r="N837" s="11" t="s">
        <v>152</v>
      </c>
      <c r="O837" s="11" t="s">
        <v>202</v>
      </c>
      <c r="P837" s="11" t="s">
        <v>51</v>
      </c>
      <c r="Q837" s="50" t="s">
        <v>82</v>
      </c>
      <c r="R837" s="47">
        <v>15</v>
      </c>
      <c r="S837" s="48">
        <v>240.24</v>
      </c>
      <c r="T837" s="52">
        <v>103.69</v>
      </c>
      <c r="U837" s="47">
        <v>15</v>
      </c>
      <c r="V837" s="47">
        <v>262.86</v>
      </c>
      <c r="W837" s="48">
        <v>103.07</v>
      </c>
      <c r="X837" s="130">
        <f t="shared" si="138"/>
        <v>22.620000000000005</v>
      </c>
      <c r="Y837" s="16">
        <f t="shared" si="139"/>
        <v>26.692961244492899</v>
      </c>
      <c r="Z837" s="15">
        <f t="shared" si="140"/>
        <v>1.5200000000000102</v>
      </c>
      <c r="AA837" s="16">
        <f t="shared" si="141"/>
        <v>10724.913700000001</v>
      </c>
      <c r="AB837" s="16">
        <f t="shared" si="142"/>
        <v>37.815188659232334</v>
      </c>
      <c r="AC837" s="66" t="s">
        <v>49</v>
      </c>
      <c r="AD837" s="51" t="s">
        <v>657</v>
      </c>
      <c r="AE837" s="13">
        <v>4</v>
      </c>
      <c r="AF837" s="13">
        <v>2</v>
      </c>
      <c r="AG837" s="13">
        <v>30</v>
      </c>
      <c r="AH837" s="134">
        <v>2230060</v>
      </c>
      <c r="AI837" s="134">
        <v>3.5</v>
      </c>
      <c r="AJ837" s="135">
        <f t="shared" si="137"/>
        <v>105</v>
      </c>
      <c r="AK837" s="45">
        <f t="shared" si="145"/>
        <v>210</v>
      </c>
      <c r="AL837" s="136" t="str" cm="1">
        <f t="array" ref="AL837">_xlfn.IFS(
AI837&lt;3,"Ligera",
AI837&lt;=6,"Moderada",
AI837&gt;6,"Vigorosa"
)</f>
        <v>Moderada</v>
      </c>
      <c r="AM837" s="45" t="s">
        <v>48</v>
      </c>
      <c r="AN837" s="289" t="s">
        <v>658</v>
      </c>
      <c r="AO837" s="289" t="s">
        <v>61</v>
      </c>
      <c r="AP837" s="289" t="s">
        <v>659</v>
      </c>
      <c r="AQ837" s="303">
        <v>0</v>
      </c>
      <c r="AR837" s="299"/>
      <c r="AS837" s="299"/>
      <c r="AT837" s="299"/>
    </row>
    <row r="838" spans="1:46" s="273" customFormat="1" ht="54" customHeight="1" thickBot="1">
      <c r="A838" s="124" t="s">
        <v>652</v>
      </c>
      <c r="B838" s="12">
        <v>32</v>
      </c>
      <c r="C838" s="12" t="s">
        <v>653</v>
      </c>
      <c r="D838" s="12">
        <v>45.45</v>
      </c>
      <c r="E838" s="12" t="s">
        <v>45</v>
      </c>
      <c r="F838" s="12" t="s">
        <v>45</v>
      </c>
      <c r="G838" s="12" t="s">
        <v>654</v>
      </c>
      <c r="H838" s="12"/>
      <c r="I838" s="12" t="s">
        <v>98</v>
      </c>
      <c r="J838" s="12">
        <v>4.5</v>
      </c>
      <c r="K838" s="12" t="s">
        <v>49</v>
      </c>
      <c r="L838" s="12" t="s">
        <v>49</v>
      </c>
      <c r="M838" s="11" t="s">
        <v>50</v>
      </c>
      <c r="N838" s="11" t="s">
        <v>50</v>
      </c>
      <c r="O838" s="11" t="s">
        <v>50</v>
      </c>
      <c r="P838" s="11" t="s">
        <v>197</v>
      </c>
      <c r="Q838" s="50" t="s">
        <v>374</v>
      </c>
      <c r="R838" s="47">
        <v>15</v>
      </c>
      <c r="S838" s="302">
        <v>21.93</v>
      </c>
      <c r="T838" s="302">
        <v>13.28</v>
      </c>
      <c r="U838" s="47">
        <v>15</v>
      </c>
      <c r="V838" s="302">
        <v>22.8</v>
      </c>
      <c r="W838" s="302">
        <v>15.42</v>
      </c>
      <c r="X838" s="130">
        <f t="shared" si="138"/>
        <v>0.87000000000000099</v>
      </c>
      <c r="Y838" s="16">
        <f t="shared" si="139"/>
        <v>3.7359264803615537</v>
      </c>
      <c r="Z838" s="286" t="s">
        <v>53</v>
      </c>
      <c r="AA838" s="286" t="s">
        <v>53</v>
      </c>
      <c r="AB838" s="16">
        <v>3.7359264803615537</v>
      </c>
      <c r="AC838" s="66" t="s">
        <v>48</v>
      </c>
      <c r="AD838" s="51" t="s">
        <v>655</v>
      </c>
      <c r="AE838" s="13">
        <v>4</v>
      </c>
      <c r="AF838" s="13">
        <v>0</v>
      </c>
      <c r="AG838" s="13">
        <v>0</v>
      </c>
      <c r="AH838" s="134">
        <v>0</v>
      </c>
      <c r="AI838" s="134">
        <v>0</v>
      </c>
      <c r="AJ838" s="135">
        <f t="shared" si="137"/>
        <v>0</v>
      </c>
      <c r="AK838" s="45">
        <f t="shared" si="145"/>
        <v>0</v>
      </c>
      <c r="AL838" s="136" t="str" cm="1">
        <f t="array" ref="AL838">_xlfn.IFS(
AI838&lt;3,"Ligera",
AI838&lt;=6,"Moderada",
AI838&gt;6,"Vigorosa"
)</f>
        <v>Ligera</v>
      </c>
      <c r="AM838" s="45" t="s">
        <v>49</v>
      </c>
      <c r="AN838" s="289" t="s">
        <v>49</v>
      </c>
      <c r="AO838" s="289" t="s">
        <v>49</v>
      </c>
      <c r="AP838" s="289" t="s">
        <v>49</v>
      </c>
      <c r="AQ838" s="303">
        <v>0</v>
      </c>
      <c r="AR838" s="299"/>
      <c r="AS838" s="299"/>
      <c r="AT838" s="299"/>
    </row>
    <row r="839" spans="1:46" s="273" customFormat="1" ht="54" customHeight="1" thickBot="1">
      <c r="A839" s="124" t="s">
        <v>652</v>
      </c>
      <c r="B839" s="12">
        <v>32</v>
      </c>
      <c r="C839" s="12" t="s">
        <v>656</v>
      </c>
      <c r="D839" s="12">
        <v>27.27</v>
      </c>
      <c r="E839" s="12" t="s">
        <v>45</v>
      </c>
      <c r="F839" s="12" t="s">
        <v>45</v>
      </c>
      <c r="G839" s="12" t="s">
        <v>654</v>
      </c>
      <c r="H839" s="12"/>
      <c r="I839" s="12" t="s">
        <v>98</v>
      </c>
      <c r="J839" s="12">
        <v>4.3099999999999996</v>
      </c>
      <c r="K839" s="12" t="s">
        <v>49</v>
      </c>
      <c r="L839" s="12" t="s">
        <v>49</v>
      </c>
      <c r="M839" s="11" t="s">
        <v>56</v>
      </c>
      <c r="N839" s="11" t="s">
        <v>152</v>
      </c>
      <c r="O839" s="11" t="s">
        <v>202</v>
      </c>
      <c r="P839" s="11" t="s">
        <v>197</v>
      </c>
      <c r="Q839" s="50" t="s">
        <v>374</v>
      </c>
      <c r="R839" s="47">
        <v>15</v>
      </c>
      <c r="S839" s="48">
        <v>23.6</v>
      </c>
      <c r="T839" s="52">
        <v>12.48</v>
      </c>
      <c r="U839" s="47">
        <v>15</v>
      </c>
      <c r="V839" s="47">
        <v>24.13</v>
      </c>
      <c r="W839" s="48">
        <v>9.91</v>
      </c>
      <c r="X839" s="130">
        <f t="shared" si="138"/>
        <v>0.52999999999999758</v>
      </c>
      <c r="Y839" s="16">
        <f t="shared" si="139"/>
        <v>2.9471081871330522</v>
      </c>
      <c r="Z839" s="15">
        <f t="shared" si="140"/>
        <v>-0.34000000000000341</v>
      </c>
      <c r="AA839" s="16">
        <f t="shared" si="141"/>
        <v>167.99224999999998</v>
      </c>
      <c r="AB839" s="16">
        <f t="shared" si="142"/>
        <v>4.7327546594627812</v>
      </c>
      <c r="AC839" s="66" t="s">
        <v>48</v>
      </c>
      <c r="AD839" s="51" t="s">
        <v>657</v>
      </c>
      <c r="AE839" s="13">
        <v>4</v>
      </c>
      <c r="AF839" s="13">
        <v>2</v>
      </c>
      <c r="AG839" s="13">
        <v>30</v>
      </c>
      <c r="AH839" s="134">
        <v>2230060</v>
      </c>
      <c r="AI839" s="134">
        <v>3.5</v>
      </c>
      <c r="AJ839" s="135">
        <f t="shared" si="137"/>
        <v>105</v>
      </c>
      <c r="AK839" s="45">
        <f t="shared" si="145"/>
        <v>210</v>
      </c>
      <c r="AL839" s="136" t="str" cm="1">
        <f t="array" ref="AL839">_xlfn.IFS(
AI839&lt;3,"Ligera",
AI839&lt;=6,"Moderada",
AI839&gt;6,"Vigorosa"
)</f>
        <v>Moderada</v>
      </c>
      <c r="AM839" s="45" t="s">
        <v>48</v>
      </c>
      <c r="AN839" s="289" t="s">
        <v>658</v>
      </c>
      <c r="AO839" s="289" t="s">
        <v>61</v>
      </c>
      <c r="AP839" s="289" t="s">
        <v>659</v>
      </c>
      <c r="AQ839" s="303">
        <v>0</v>
      </c>
      <c r="AR839" s="299"/>
      <c r="AS839" s="299"/>
      <c r="AT839" s="299"/>
    </row>
    <row r="840" spans="1:46" s="273" customFormat="1" ht="63" customHeight="1" thickBot="1">
      <c r="A840" s="124" t="s">
        <v>660</v>
      </c>
      <c r="B840" s="125">
        <v>50</v>
      </c>
      <c r="C840" s="125">
        <v>84.4</v>
      </c>
      <c r="D840" s="125">
        <v>0</v>
      </c>
      <c r="E840" s="125" t="s">
        <v>45</v>
      </c>
      <c r="F840" s="125" t="s">
        <v>45</v>
      </c>
      <c r="G840" s="125" t="s">
        <v>408</v>
      </c>
      <c r="H840" s="125"/>
      <c r="I840" s="125" t="s">
        <v>45</v>
      </c>
      <c r="J840" s="125" t="s">
        <v>47</v>
      </c>
      <c r="K840" s="125" t="s">
        <v>49</v>
      </c>
      <c r="L840" s="125" t="s">
        <v>48</v>
      </c>
      <c r="M840" s="126" t="s">
        <v>56</v>
      </c>
      <c r="N840" s="126" t="s">
        <v>162</v>
      </c>
      <c r="O840" s="126" t="s">
        <v>319</v>
      </c>
      <c r="P840" s="11" t="s">
        <v>86</v>
      </c>
      <c r="Q840" s="159" t="s">
        <v>87</v>
      </c>
      <c r="R840" s="167">
        <v>23</v>
      </c>
      <c r="S840" s="168">
        <v>43.3</v>
      </c>
      <c r="T840" s="168">
        <v>5.03</v>
      </c>
      <c r="U840" s="168">
        <v>23</v>
      </c>
      <c r="V840" s="167">
        <v>44.26</v>
      </c>
      <c r="W840" s="168">
        <v>5.21</v>
      </c>
      <c r="X840" s="130">
        <f t="shared" si="138"/>
        <v>0.96000000000000085</v>
      </c>
      <c r="Y840" s="16">
        <f t="shared" si="139"/>
        <v>1.0680884998342886</v>
      </c>
      <c r="Z840" s="286" t="s">
        <v>53</v>
      </c>
      <c r="AA840" s="286" t="s">
        <v>53</v>
      </c>
      <c r="AB840" s="16">
        <v>1.0680884998342886</v>
      </c>
      <c r="AC840" s="66" t="s">
        <v>49</v>
      </c>
      <c r="AD840" s="133" t="s">
        <v>661</v>
      </c>
      <c r="AE840" s="134">
        <v>12</v>
      </c>
      <c r="AF840" s="134">
        <v>3</v>
      </c>
      <c r="AG840" s="134">
        <v>52.5</v>
      </c>
      <c r="AH840" s="13">
        <v>101160</v>
      </c>
      <c r="AI840" s="13">
        <v>4.3</v>
      </c>
      <c r="AJ840" s="135">
        <f t="shared" si="137"/>
        <v>225.75</v>
      </c>
      <c r="AK840" s="45">
        <f t="shared" si="145"/>
        <v>677.25</v>
      </c>
      <c r="AL840" s="136" t="str" cm="1">
        <f t="array" ref="AL840">_xlfn.IFS(
AI840&lt;3,"Ligera",
AI840&lt;=6,"Moderada",
AI840&gt;6,"Vigorosa"
)</f>
        <v>Moderada</v>
      </c>
      <c r="AM840" s="136" t="s">
        <v>49</v>
      </c>
      <c r="AN840" s="288" t="s">
        <v>49</v>
      </c>
      <c r="AO840" s="288" t="s">
        <v>61</v>
      </c>
      <c r="AP840" s="288" t="s">
        <v>155</v>
      </c>
      <c r="AQ840" s="298">
        <v>0</v>
      </c>
      <c r="AR840" s="299"/>
      <c r="AS840" s="299"/>
      <c r="AT840" s="299"/>
    </row>
    <row r="841" spans="1:46" s="273" customFormat="1" ht="60.75" customHeight="1" thickBot="1">
      <c r="A841" s="138" t="s">
        <v>660</v>
      </c>
      <c r="B841" s="12">
        <v>50</v>
      </c>
      <c r="C841" s="12">
        <v>83</v>
      </c>
      <c r="D841" s="12">
        <v>0</v>
      </c>
      <c r="E841" s="12" t="s">
        <v>45</v>
      </c>
      <c r="F841" s="12" t="s">
        <v>45</v>
      </c>
      <c r="G841" s="12" t="s">
        <v>408</v>
      </c>
      <c r="H841" s="12"/>
      <c r="I841" s="12" t="s">
        <v>45</v>
      </c>
      <c r="J841" s="12" t="s">
        <v>47</v>
      </c>
      <c r="K841" s="12" t="s">
        <v>49</v>
      </c>
      <c r="L841" s="12" t="s">
        <v>48</v>
      </c>
      <c r="M841" s="11" t="s">
        <v>56</v>
      </c>
      <c r="N841" s="11" t="s">
        <v>76</v>
      </c>
      <c r="O841" s="11" t="s">
        <v>103</v>
      </c>
      <c r="P841" s="11" t="s">
        <v>86</v>
      </c>
      <c r="Q841" s="50" t="s">
        <v>87</v>
      </c>
      <c r="R841" s="47">
        <v>27</v>
      </c>
      <c r="S841" s="48">
        <v>43.3</v>
      </c>
      <c r="T841" s="48">
        <v>5.17</v>
      </c>
      <c r="U841" s="48">
        <v>27</v>
      </c>
      <c r="V841" s="47">
        <v>48.56</v>
      </c>
      <c r="W841" s="48">
        <v>4.4000000000000004</v>
      </c>
      <c r="X841" s="130">
        <f t="shared" si="138"/>
        <v>5.2600000000000051</v>
      </c>
      <c r="Y841" s="16">
        <f t="shared" si="139"/>
        <v>0.92977297109443757</v>
      </c>
      <c r="Z841" s="15">
        <f t="shared" si="140"/>
        <v>4.3000000000000043</v>
      </c>
      <c r="AA841" s="16">
        <f t="shared" si="141"/>
        <v>22.927712499999998</v>
      </c>
      <c r="AB841" s="16">
        <f t="shared" si="142"/>
        <v>1.3586874556918629</v>
      </c>
      <c r="AC841" s="66" t="s">
        <v>49</v>
      </c>
      <c r="AD841" s="51" t="s">
        <v>662</v>
      </c>
      <c r="AE841" s="13">
        <v>12</v>
      </c>
      <c r="AF841" s="13">
        <v>6</v>
      </c>
      <c r="AG841" s="13">
        <v>45</v>
      </c>
      <c r="AH841" s="134">
        <v>211360</v>
      </c>
      <c r="AI841" s="134">
        <v>3.5</v>
      </c>
      <c r="AJ841" s="135">
        <f t="shared" si="137"/>
        <v>157.5</v>
      </c>
      <c r="AK841" s="45">
        <f t="shared" si="145"/>
        <v>945</v>
      </c>
      <c r="AL841" s="136" t="str" cm="1">
        <f t="array" ref="AL841">_xlfn.IFS(
AI841&lt;3,"Ligera",
AI841&lt;=6,"Moderada",
AI841&gt;6,"Vigorosa"
)</f>
        <v>Moderada</v>
      </c>
      <c r="AM841" s="45" t="s">
        <v>48</v>
      </c>
      <c r="AN841" s="289" t="s">
        <v>663</v>
      </c>
      <c r="AO841" s="289" t="s">
        <v>61</v>
      </c>
      <c r="AP841" s="289" t="s">
        <v>155</v>
      </c>
      <c r="AQ841" s="303">
        <v>0</v>
      </c>
      <c r="AR841" s="299"/>
      <c r="AS841" s="315" t="s">
        <v>664</v>
      </c>
      <c r="AT841" s="315"/>
    </row>
    <row r="842" spans="1:46" s="273" customFormat="1" ht="64.5" customHeight="1" thickBot="1">
      <c r="A842" s="138" t="s">
        <v>660</v>
      </c>
      <c r="B842" s="12">
        <v>50</v>
      </c>
      <c r="C842" s="12">
        <v>84.4</v>
      </c>
      <c r="D842" s="12">
        <v>0</v>
      </c>
      <c r="E842" s="12" t="s">
        <v>45</v>
      </c>
      <c r="F842" s="12" t="s">
        <v>45</v>
      </c>
      <c r="G842" s="12" t="s">
        <v>408</v>
      </c>
      <c r="H842" s="12"/>
      <c r="I842" s="12" t="s">
        <v>45</v>
      </c>
      <c r="J842" s="12" t="s">
        <v>47</v>
      </c>
      <c r="K842" s="12" t="s">
        <v>49</v>
      </c>
      <c r="L842" s="12" t="s">
        <v>48</v>
      </c>
      <c r="M842" s="11" t="s">
        <v>56</v>
      </c>
      <c r="N842" s="11" t="s">
        <v>162</v>
      </c>
      <c r="O842" s="11" t="s">
        <v>319</v>
      </c>
      <c r="P842" s="11" t="s">
        <v>51</v>
      </c>
      <c r="Q842" s="50" t="s">
        <v>124</v>
      </c>
      <c r="R842" s="47">
        <v>23</v>
      </c>
      <c r="S842" s="48">
        <v>26.07</v>
      </c>
      <c r="T842" s="48">
        <v>14.08</v>
      </c>
      <c r="U842" s="48">
        <v>23</v>
      </c>
      <c r="V842" s="47">
        <v>26.13</v>
      </c>
      <c r="W842" s="48">
        <v>14.99</v>
      </c>
      <c r="X842" s="130">
        <f t="shared" si="138"/>
        <v>5.9999999999998721E-2</v>
      </c>
      <c r="Y842" s="16">
        <f t="shared" si="139"/>
        <v>3.0352086096918987</v>
      </c>
      <c r="Z842" s="286" t="s">
        <v>53</v>
      </c>
      <c r="AA842" s="286" t="s">
        <v>53</v>
      </c>
      <c r="AB842" s="16">
        <v>3.0352086096918987</v>
      </c>
      <c r="AC842" s="66" t="s">
        <v>48</v>
      </c>
      <c r="AD842" s="51" t="s">
        <v>661</v>
      </c>
      <c r="AE842" s="13">
        <v>12</v>
      </c>
      <c r="AF842" s="13">
        <v>3</v>
      </c>
      <c r="AG842" s="13">
        <v>52.5</v>
      </c>
      <c r="AH842" s="13">
        <v>101160</v>
      </c>
      <c r="AI842" s="13">
        <v>4.3</v>
      </c>
      <c r="AJ842" s="135">
        <f t="shared" si="137"/>
        <v>225.75</v>
      </c>
      <c r="AK842" s="45">
        <f t="shared" si="145"/>
        <v>677.25</v>
      </c>
      <c r="AL842" s="136" t="str" cm="1">
        <f t="array" ref="AL842">_xlfn.IFS(
AI842&lt;3,"Ligera",
AI842&lt;=6,"Moderada",
AI842&gt;6,"Vigorosa"
)</f>
        <v>Moderada</v>
      </c>
      <c r="AM842" s="45" t="s">
        <v>49</v>
      </c>
      <c r="AN842" s="289" t="s">
        <v>49</v>
      </c>
      <c r="AO842" s="289" t="s">
        <v>61</v>
      </c>
      <c r="AP842" s="289" t="s">
        <v>155</v>
      </c>
      <c r="AQ842" s="303">
        <v>0</v>
      </c>
      <c r="AR842" s="299"/>
      <c r="AS842" s="299"/>
      <c r="AT842" s="299"/>
    </row>
    <row r="843" spans="1:46" s="273" customFormat="1" ht="64.5" customHeight="1" thickBot="1">
      <c r="A843" s="138" t="s">
        <v>660</v>
      </c>
      <c r="B843" s="12">
        <v>50</v>
      </c>
      <c r="C843" s="12">
        <v>83</v>
      </c>
      <c r="D843" s="12">
        <v>0</v>
      </c>
      <c r="E843" s="12" t="s">
        <v>45</v>
      </c>
      <c r="F843" s="12" t="s">
        <v>45</v>
      </c>
      <c r="G843" s="12" t="s">
        <v>408</v>
      </c>
      <c r="H843" s="12"/>
      <c r="I843" s="12" t="s">
        <v>45</v>
      </c>
      <c r="J843" s="12" t="s">
        <v>47</v>
      </c>
      <c r="K843" s="12" t="s">
        <v>49</v>
      </c>
      <c r="L843" s="12" t="s">
        <v>48</v>
      </c>
      <c r="M843" s="11" t="s">
        <v>56</v>
      </c>
      <c r="N843" s="11" t="s">
        <v>76</v>
      </c>
      <c r="O843" s="11" t="s">
        <v>103</v>
      </c>
      <c r="P843" s="11" t="s">
        <v>51</v>
      </c>
      <c r="Q843" s="50" t="s">
        <v>124</v>
      </c>
      <c r="R843" s="47">
        <v>27</v>
      </c>
      <c r="S843" s="48">
        <v>28.25</v>
      </c>
      <c r="T843" s="48">
        <v>13.67</v>
      </c>
      <c r="U843" s="48">
        <v>27</v>
      </c>
      <c r="V843" s="47">
        <v>23.55</v>
      </c>
      <c r="W843" s="48">
        <v>11.28</v>
      </c>
      <c r="X843" s="130">
        <f t="shared" si="138"/>
        <v>-4.6999999999999993</v>
      </c>
      <c r="Y843" s="16">
        <f t="shared" si="139"/>
        <v>2.4336354454768863</v>
      </c>
      <c r="Z843" s="15">
        <f t="shared" si="140"/>
        <v>-4.759999999999998</v>
      </c>
      <c r="AA843" s="16">
        <f t="shared" si="141"/>
        <v>171.90834583333333</v>
      </c>
      <c r="AB843" s="16">
        <f t="shared" si="142"/>
        <v>3.7203832702292972</v>
      </c>
      <c r="AC843" s="66" t="s">
        <v>48</v>
      </c>
      <c r="AD843" s="51" t="s">
        <v>662</v>
      </c>
      <c r="AE843" s="13">
        <v>12</v>
      </c>
      <c r="AF843" s="13">
        <v>6</v>
      </c>
      <c r="AG843" s="13">
        <v>45</v>
      </c>
      <c r="AH843" s="134">
        <v>211360</v>
      </c>
      <c r="AI843" s="134">
        <v>3.5</v>
      </c>
      <c r="AJ843" s="135">
        <f t="shared" si="137"/>
        <v>157.5</v>
      </c>
      <c r="AK843" s="45">
        <f t="shared" si="145"/>
        <v>945</v>
      </c>
      <c r="AL843" s="136" t="str" cm="1">
        <f t="array" ref="AL843">_xlfn.IFS(
AI843&lt;3,"Ligera",
AI843&lt;=6,"Moderada",
AI843&gt;6,"Vigorosa"
)</f>
        <v>Moderada</v>
      </c>
      <c r="AM843" s="45" t="s">
        <v>48</v>
      </c>
      <c r="AN843" s="289" t="s">
        <v>663</v>
      </c>
      <c r="AO843" s="289" t="s">
        <v>61</v>
      </c>
      <c r="AP843" s="289" t="s">
        <v>155</v>
      </c>
      <c r="AQ843" s="303">
        <v>0</v>
      </c>
      <c r="AR843" s="299"/>
      <c r="AS843" s="299"/>
      <c r="AT843" s="299"/>
    </row>
    <row r="844" spans="1:46" s="273" customFormat="1" ht="64.5" customHeight="1" thickBot="1">
      <c r="A844" s="138" t="s">
        <v>660</v>
      </c>
      <c r="B844" s="12">
        <v>50</v>
      </c>
      <c r="C844" s="12">
        <v>84.4</v>
      </c>
      <c r="D844" s="12">
        <v>0</v>
      </c>
      <c r="E844" s="12" t="s">
        <v>45</v>
      </c>
      <c r="F844" s="12" t="s">
        <v>45</v>
      </c>
      <c r="G844" s="12" t="s">
        <v>408</v>
      </c>
      <c r="H844" s="12"/>
      <c r="I844" s="12" t="s">
        <v>45</v>
      </c>
      <c r="J844" s="12" t="s">
        <v>47</v>
      </c>
      <c r="K844" s="12" t="s">
        <v>49</v>
      </c>
      <c r="L844" s="12" t="s">
        <v>48</v>
      </c>
      <c r="M844" s="11" t="s">
        <v>56</v>
      </c>
      <c r="N844" s="11" t="s">
        <v>162</v>
      </c>
      <c r="O844" s="11" t="s">
        <v>319</v>
      </c>
      <c r="P844" s="11" t="s">
        <v>51</v>
      </c>
      <c r="Q844" s="50" t="s">
        <v>149</v>
      </c>
      <c r="R844" s="47">
        <v>23</v>
      </c>
      <c r="S844" s="48">
        <v>20.14</v>
      </c>
      <c r="T844" s="48">
        <v>11.8</v>
      </c>
      <c r="U844" s="48">
        <v>23</v>
      </c>
      <c r="V844" s="47">
        <v>18.87</v>
      </c>
      <c r="W844" s="48">
        <v>13.55</v>
      </c>
      <c r="X844" s="130">
        <f t="shared" si="138"/>
        <v>-1.2699999999999996</v>
      </c>
      <c r="Y844" s="16">
        <f t="shared" si="139"/>
        <v>2.6617459128075747</v>
      </c>
      <c r="Z844" s="286" t="s">
        <v>53</v>
      </c>
      <c r="AA844" s="286" t="s">
        <v>53</v>
      </c>
      <c r="AB844" s="16">
        <v>2.6617459128075747</v>
      </c>
      <c r="AC844" s="66" t="s">
        <v>48</v>
      </c>
      <c r="AD844" s="51" t="s">
        <v>661</v>
      </c>
      <c r="AE844" s="13">
        <v>12</v>
      </c>
      <c r="AF844" s="13">
        <v>3</v>
      </c>
      <c r="AG844" s="13">
        <v>52.5</v>
      </c>
      <c r="AH844" s="13">
        <v>101160</v>
      </c>
      <c r="AI844" s="13">
        <v>4.3</v>
      </c>
      <c r="AJ844" s="135">
        <f t="shared" si="137"/>
        <v>225.75</v>
      </c>
      <c r="AK844" s="45">
        <f t="shared" si="145"/>
        <v>677.25</v>
      </c>
      <c r="AL844" s="136" t="str" cm="1">
        <f t="array" ref="AL844">_xlfn.IFS(
AI844&lt;3,"Ligera",
AI844&lt;=6,"Moderada",
AI844&gt;6,"Vigorosa"
)</f>
        <v>Moderada</v>
      </c>
      <c r="AM844" s="45" t="s">
        <v>49</v>
      </c>
      <c r="AN844" s="289" t="s">
        <v>49</v>
      </c>
      <c r="AO844" s="289" t="s">
        <v>61</v>
      </c>
      <c r="AP844" s="289" t="s">
        <v>155</v>
      </c>
      <c r="AQ844" s="303">
        <v>0</v>
      </c>
      <c r="AR844" s="299"/>
      <c r="AS844" s="299"/>
      <c r="AT844" s="299"/>
    </row>
    <row r="845" spans="1:46" s="273" customFormat="1" ht="64.5" customHeight="1" thickBot="1">
      <c r="A845" s="140" t="s">
        <v>660</v>
      </c>
      <c r="B845" s="141">
        <v>50</v>
      </c>
      <c r="C845" s="141">
        <v>83</v>
      </c>
      <c r="D845" s="141">
        <v>0</v>
      </c>
      <c r="E845" s="141" t="s">
        <v>45</v>
      </c>
      <c r="F845" s="141" t="s">
        <v>45</v>
      </c>
      <c r="G845" s="141" t="s">
        <v>408</v>
      </c>
      <c r="H845" s="141"/>
      <c r="I845" s="141" t="s">
        <v>45</v>
      </c>
      <c r="J845" s="141" t="s">
        <v>47</v>
      </c>
      <c r="K845" s="141" t="s">
        <v>49</v>
      </c>
      <c r="L845" s="141" t="s">
        <v>48</v>
      </c>
      <c r="M845" s="142" t="s">
        <v>56</v>
      </c>
      <c r="N845" s="142" t="s">
        <v>76</v>
      </c>
      <c r="O845" s="142" t="s">
        <v>103</v>
      </c>
      <c r="P845" s="142" t="s">
        <v>51</v>
      </c>
      <c r="Q845" s="158" t="s">
        <v>149</v>
      </c>
      <c r="R845" s="169">
        <v>27</v>
      </c>
      <c r="S845" s="170">
        <v>17.78</v>
      </c>
      <c r="T845" s="170">
        <v>5.51</v>
      </c>
      <c r="U845" s="170">
        <v>27</v>
      </c>
      <c r="V845" s="169">
        <v>14.17</v>
      </c>
      <c r="W845" s="170">
        <v>4.62</v>
      </c>
      <c r="X845" s="130">
        <f t="shared" si="138"/>
        <v>-3.6100000000000012</v>
      </c>
      <c r="Y845" s="16">
        <f t="shared" si="139"/>
        <v>0.98598136861669905</v>
      </c>
      <c r="Z845" s="15">
        <f t="shared" si="140"/>
        <v>-2.3400000000000016</v>
      </c>
      <c r="AA845" s="16">
        <f t="shared" si="141"/>
        <v>95.712695833333342</v>
      </c>
      <c r="AB845" s="16">
        <f t="shared" si="142"/>
        <v>2.7760288576426655</v>
      </c>
      <c r="AC845" s="66" t="s">
        <v>48</v>
      </c>
      <c r="AD845" s="151" t="s">
        <v>662</v>
      </c>
      <c r="AE845" s="146">
        <v>12</v>
      </c>
      <c r="AF845" s="146">
        <v>6</v>
      </c>
      <c r="AG845" s="146">
        <v>45</v>
      </c>
      <c r="AH845" s="134">
        <v>211360</v>
      </c>
      <c r="AI845" s="134">
        <v>3.5</v>
      </c>
      <c r="AJ845" s="135">
        <f t="shared" si="137"/>
        <v>157.5</v>
      </c>
      <c r="AK845" s="45">
        <f t="shared" si="145"/>
        <v>945</v>
      </c>
      <c r="AL845" s="136" t="str" cm="1">
        <f t="array" ref="AL845">_xlfn.IFS(
AI845&lt;3,"Ligera",
AI845&lt;=6,"Moderada",
AI845&gt;6,"Vigorosa"
)</f>
        <v>Moderada</v>
      </c>
      <c r="AM845" s="147" t="s">
        <v>48</v>
      </c>
      <c r="AN845" s="290" t="s">
        <v>663</v>
      </c>
      <c r="AO845" s="290" t="s">
        <v>61</v>
      </c>
      <c r="AP845" s="290" t="s">
        <v>155</v>
      </c>
      <c r="AQ845" s="301">
        <v>0</v>
      </c>
      <c r="AR845" s="299"/>
      <c r="AS845" s="299"/>
      <c r="AT845" s="299"/>
    </row>
    <row r="846" spans="1:46" s="273" customFormat="1" ht="55.5" customHeight="1" thickBot="1">
      <c r="A846" s="124" t="s">
        <v>665</v>
      </c>
      <c r="B846" s="125">
        <v>278</v>
      </c>
      <c r="C846" s="125">
        <v>84.9</v>
      </c>
      <c r="D846" s="125">
        <v>19.600000000000001</v>
      </c>
      <c r="E846" s="125" t="s">
        <v>45</v>
      </c>
      <c r="F846" s="125" t="s">
        <v>45</v>
      </c>
      <c r="G846" s="125" t="s">
        <v>476</v>
      </c>
      <c r="H846" s="125"/>
      <c r="I846" s="125" t="s">
        <v>98</v>
      </c>
      <c r="J846" s="125" t="s">
        <v>47</v>
      </c>
      <c r="K846" s="125" t="s">
        <v>48</v>
      </c>
      <c r="L846" s="125" t="s">
        <v>49</v>
      </c>
      <c r="M846" s="126" t="s">
        <v>50</v>
      </c>
      <c r="N846" s="126" t="s">
        <v>50</v>
      </c>
      <c r="O846" s="126" t="s">
        <v>50</v>
      </c>
      <c r="P846" s="126" t="s">
        <v>94</v>
      </c>
      <c r="Q846" s="159" t="s">
        <v>119</v>
      </c>
      <c r="R846" s="167">
        <v>92</v>
      </c>
      <c r="S846" s="168">
        <v>25.1</v>
      </c>
      <c r="T846" s="168">
        <v>3.7</v>
      </c>
      <c r="U846" s="167">
        <v>92</v>
      </c>
      <c r="V846" s="167" t="s">
        <v>47</v>
      </c>
      <c r="W846" s="168" t="s">
        <v>47</v>
      </c>
      <c r="X846" s="130"/>
      <c r="Y846" s="16"/>
      <c r="Z846" s="286"/>
      <c r="AA846" s="286"/>
      <c r="AB846" s="16"/>
      <c r="AC846" s="66" t="s">
        <v>49</v>
      </c>
      <c r="AD846" s="133" t="s">
        <v>666</v>
      </c>
      <c r="AE846" s="134">
        <v>20</v>
      </c>
      <c r="AF846" s="134">
        <v>0</v>
      </c>
      <c r="AG846" s="134">
        <v>0</v>
      </c>
      <c r="AH846" s="134">
        <v>0</v>
      </c>
      <c r="AI846" s="134">
        <v>0</v>
      </c>
      <c r="AJ846" s="135">
        <f t="shared" si="137"/>
        <v>0</v>
      </c>
      <c r="AK846" s="45">
        <f t="shared" si="145"/>
        <v>0</v>
      </c>
      <c r="AL846" s="136" t="str" cm="1">
        <f t="array" ref="AL846">_xlfn.IFS(
AI846&lt;3,"Ligera",
AI846&lt;=6,"Moderada",
AI846&gt;6,"Vigorosa"
)</f>
        <v>Ligera</v>
      </c>
      <c r="AM846" s="136" t="s">
        <v>49</v>
      </c>
      <c r="AN846" s="136" t="s">
        <v>49</v>
      </c>
      <c r="AO846" s="136" t="s">
        <v>49</v>
      </c>
      <c r="AP846" s="136" t="s">
        <v>49</v>
      </c>
      <c r="AQ846" s="298">
        <v>0</v>
      </c>
      <c r="AR846" s="299"/>
      <c r="AS846" s="299"/>
      <c r="AT846" s="299"/>
    </row>
    <row r="847" spans="1:46" s="273" customFormat="1" ht="55.5" customHeight="1" thickBot="1">
      <c r="A847" s="138" t="s">
        <v>665</v>
      </c>
      <c r="B847" s="12">
        <v>278</v>
      </c>
      <c r="C847" s="12">
        <v>85.4</v>
      </c>
      <c r="D847" s="12">
        <v>19.7</v>
      </c>
      <c r="E847" s="12" t="s">
        <v>45</v>
      </c>
      <c r="F847" s="12" t="s">
        <v>45</v>
      </c>
      <c r="G847" s="12" t="s">
        <v>476</v>
      </c>
      <c r="H847" s="12"/>
      <c r="I847" s="12" t="s">
        <v>98</v>
      </c>
      <c r="J847" s="12" t="s">
        <v>47</v>
      </c>
      <c r="K847" s="12" t="s">
        <v>48</v>
      </c>
      <c r="L847" s="12" t="s">
        <v>49</v>
      </c>
      <c r="M847" s="11" t="s">
        <v>56</v>
      </c>
      <c r="N847" s="11" t="s">
        <v>76</v>
      </c>
      <c r="O847" s="11" t="s">
        <v>208</v>
      </c>
      <c r="P847" s="11" t="s">
        <v>94</v>
      </c>
      <c r="Q847" s="50" t="s">
        <v>119</v>
      </c>
      <c r="R847" s="47">
        <v>66</v>
      </c>
      <c r="S847" s="48">
        <v>25</v>
      </c>
      <c r="T847" s="48">
        <v>4.0999999999999996</v>
      </c>
      <c r="U847" s="47">
        <v>66</v>
      </c>
      <c r="V847" s="47" t="s">
        <v>47</v>
      </c>
      <c r="W847" s="48" t="s">
        <v>47</v>
      </c>
      <c r="X847" s="130"/>
      <c r="Y847" s="16"/>
      <c r="Z847" s="15"/>
      <c r="AA847" s="16"/>
      <c r="AB847" s="16"/>
      <c r="AC847" s="66" t="s">
        <v>49</v>
      </c>
      <c r="AD847" s="51" t="s">
        <v>667</v>
      </c>
      <c r="AE847" s="13">
        <v>20</v>
      </c>
      <c r="AF847" s="13">
        <v>1.8</v>
      </c>
      <c r="AG847" s="13">
        <v>60</v>
      </c>
      <c r="AH847" s="134">
        <v>211360</v>
      </c>
      <c r="AI847" s="134">
        <v>3.5</v>
      </c>
      <c r="AJ847" s="135">
        <f t="shared" si="137"/>
        <v>210</v>
      </c>
      <c r="AK847" s="45">
        <f t="shared" si="145"/>
        <v>378</v>
      </c>
      <c r="AL847" s="136" t="str" cm="1">
        <f t="array" ref="AL847">_xlfn.IFS(
AI847&lt;3,"Ligera",
AI847&lt;=6,"Moderada",
AI847&gt;6,"Vigorosa"
)</f>
        <v>Moderada</v>
      </c>
      <c r="AM847" s="45" t="s">
        <v>48</v>
      </c>
      <c r="AN847" s="289" t="s">
        <v>663</v>
      </c>
      <c r="AO847" s="289" t="s">
        <v>255</v>
      </c>
      <c r="AP847" s="289" t="s">
        <v>173</v>
      </c>
      <c r="AQ847" s="303">
        <v>0</v>
      </c>
      <c r="AR847" s="299"/>
      <c r="AS847" s="299"/>
      <c r="AT847" s="299"/>
    </row>
    <row r="848" spans="1:46" s="273" customFormat="1" ht="55.5" customHeight="1" thickBot="1">
      <c r="A848" s="138" t="s">
        <v>665</v>
      </c>
      <c r="B848" s="12">
        <v>278</v>
      </c>
      <c r="C848" s="12">
        <v>84.4</v>
      </c>
      <c r="D848" s="12">
        <v>23.7</v>
      </c>
      <c r="E848" s="12" t="s">
        <v>45</v>
      </c>
      <c r="F848" s="12" t="s">
        <v>45</v>
      </c>
      <c r="G848" s="12" t="s">
        <v>476</v>
      </c>
      <c r="H848" s="12"/>
      <c r="I848" s="12" t="s">
        <v>98</v>
      </c>
      <c r="J848" s="12" t="s">
        <v>47</v>
      </c>
      <c r="K848" s="12" t="s">
        <v>48</v>
      </c>
      <c r="L848" s="12" t="s">
        <v>49</v>
      </c>
      <c r="M848" s="11" t="s">
        <v>56</v>
      </c>
      <c r="N848" s="11" t="s">
        <v>410</v>
      </c>
      <c r="O848" s="50" t="s">
        <v>411</v>
      </c>
      <c r="P848" s="11" t="s">
        <v>94</v>
      </c>
      <c r="Q848" s="50" t="s">
        <v>119</v>
      </c>
      <c r="R848" s="47">
        <v>80</v>
      </c>
      <c r="S848" s="48">
        <v>25</v>
      </c>
      <c r="T848" s="48">
        <v>4</v>
      </c>
      <c r="U848" s="47">
        <v>80</v>
      </c>
      <c r="V848" s="47" t="s">
        <v>47</v>
      </c>
      <c r="W848" s="48" t="s">
        <v>47</v>
      </c>
      <c r="X848" s="130"/>
      <c r="Y848" s="16"/>
      <c r="Z848" s="15"/>
      <c r="AA848" s="16"/>
      <c r="AB848" s="16"/>
      <c r="AC848" s="66" t="s">
        <v>49</v>
      </c>
      <c r="AD848" s="51" t="s">
        <v>668</v>
      </c>
      <c r="AE848" s="13">
        <v>20</v>
      </c>
      <c r="AF848" s="13">
        <v>1.8</v>
      </c>
      <c r="AG848" s="13">
        <v>60</v>
      </c>
      <c r="AH848" s="134">
        <v>221060</v>
      </c>
      <c r="AI848" s="134">
        <v>3.8</v>
      </c>
      <c r="AJ848" s="135">
        <f t="shared" si="137"/>
        <v>228</v>
      </c>
      <c r="AK848" s="45">
        <f t="shared" si="145"/>
        <v>410.40000000000003</v>
      </c>
      <c r="AL848" s="136" t="str" cm="1">
        <f t="array" ref="AL848">_xlfn.IFS(
AI848&lt;3,"Ligera",
AI848&lt;=6,"Moderada",
AI848&gt;6,"Vigorosa"
)</f>
        <v>Moderada</v>
      </c>
      <c r="AM848" s="45" t="s">
        <v>48</v>
      </c>
      <c r="AN848" s="289" t="s">
        <v>663</v>
      </c>
      <c r="AO848" s="289" t="s">
        <v>255</v>
      </c>
      <c r="AP848" s="289" t="s">
        <v>173</v>
      </c>
      <c r="AQ848" s="303">
        <v>0</v>
      </c>
      <c r="AR848" s="299"/>
      <c r="AS848" s="299"/>
      <c r="AT848" s="299"/>
    </row>
    <row r="849" spans="1:46" s="273" customFormat="1" ht="55.5" customHeight="1" thickBot="1">
      <c r="A849" s="138" t="s">
        <v>665</v>
      </c>
      <c r="B849" s="12">
        <v>278</v>
      </c>
      <c r="C849" s="12">
        <v>84.9</v>
      </c>
      <c r="D849" s="12">
        <v>19.600000000000001</v>
      </c>
      <c r="E849" s="12" t="s">
        <v>45</v>
      </c>
      <c r="F849" s="12" t="s">
        <v>45</v>
      </c>
      <c r="G849" s="12" t="s">
        <v>476</v>
      </c>
      <c r="H849" s="12"/>
      <c r="I849" s="12" t="s">
        <v>98</v>
      </c>
      <c r="J849" s="12" t="s">
        <v>47</v>
      </c>
      <c r="K849" s="12" t="s">
        <v>48</v>
      </c>
      <c r="L849" s="12" t="s">
        <v>49</v>
      </c>
      <c r="M849" s="11" t="s">
        <v>50</v>
      </c>
      <c r="N849" s="11" t="s">
        <v>50</v>
      </c>
      <c r="O849" s="11" t="s">
        <v>50</v>
      </c>
      <c r="P849" s="11" t="s">
        <v>86</v>
      </c>
      <c r="Q849" s="50" t="s">
        <v>158</v>
      </c>
      <c r="R849" s="47">
        <v>84</v>
      </c>
      <c r="S849" s="48">
        <v>19.8</v>
      </c>
      <c r="T849" s="48">
        <v>5.6</v>
      </c>
      <c r="U849" s="47">
        <v>84</v>
      </c>
      <c r="V849" s="47">
        <v>20.3</v>
      </c>
      <c r="W849" s="48">
        <v>5.8</v>
      </c>
      <c r="X849" s="130">
        <f t="shared" si="138"/>
        <v>0.5</v>
      </c>
      <c r="Y849" s="16">
        <f t="shared" si="139"/>
        <v>0.62220804972521626</v>
      </c>
      <c r="Z849" s="286" t="s">
        <v>53</v>
      </c>
      <c r="AA849" s="286" t="s">
        <v>53</v>
      </c>
      <c r="AB849" s="16">
        <v>0.62220804972521626</v>
      </c>
      <c r="AC849" s="66" t="s">
        <v>49</v>
      </c>
      <c r="AD849" s="51" t="s">
        <v>666</v>
      </c>
      <c r="AE849" s="13">
        <v>20</v>
      </c>
      <c r="AF849" s="13">
        <v>0</v>
      </c>
      <c r="AG849" s="13">
        <v>0</v>
      </c>
      <c r="AH849" s="134">
        <v>0</v>
      </c>
      <c r="AI849" s="134">
        <v>0</v>
      </c>
      <c r="AJ849" s="135">
        <f t="shared" si="137"/>
        <v>0</v>
      </c>
      <c r="AK849" s="45">
        <f t="shared" si="145"/>
        <v>0</v>
      </c>
      <c r="AL849" s="136" t="str" cm="1">
        <f t="array" ref="AL849">_xlfn.IFS(
AI849&lt;3,"Ligera",
AI849&lt;=6,"Moderada",
AI849&gt;6,"Vigorosa"
)</f>
        <v>Ligera</v>
      </c>
      <c r="AM849" s="45" t="s">
        <v>49</v>
      </c>
      <c r="AN849" s="45" t="s">
        <v>49</v>
      </c>
      <c r="AO849" s="45" t="s">
        <v>49</v>
      </c>
      <c r="AP849" s="45" t="s">
        <v>49</v>
      </c>
      <c r="AQ849" s="303">
        <v>0</v>
      </c>
      <c r="AR849" s="299"/>
      <c r="AS849" s="299"/>
      <c r="AT849" s="299"/>
    </row>
    <row r="850" spans="1:46" s="273" customFormat="1" ht="55.5" customHeight="1" thickBot="1">
      <c r="A850" s="138" t="s">
        <v>665</v>
      </c>
      <c r="B850" s="12">
        <v>278</v>
      </c>
      <c r="C850" s="12">
        <v>85.4</v>
      </c>
      <c r="D850" s="12">
        <v>19.7</v>
      </c>
      <c r="E850" s="12" t="s">
        <v>45</v>
      </c>
      <c r="F850" s="12" t="s">
        <v>45</v>
      </c>
      <c r="G850" s="12" t="s">
        <v>476</v>
      </c>
      <c r="H850" s="12"/>
      <c r="I850" s="12" t="s">
        <v>98</v>
      </c>
      <c r="J850" s="12" t="s">
        <v>47</v>
      </c>
      <c r="K850" s="12" t="s">
        <v>48</v>
      </c>
      <c r="L850" s="12" t="s">
        <v>49</v>
      </c>
      <c r="M850" s="11" t="s">
        <v>56</v>
      </c>
      <c r="N850" s="11" t="s">
        <v>76</v>
      </c>
      <c r="O850" s="11" t="s">
        <v>208</v>
      </c>
      <c r="P850" s="11" t="s">
        <v>86</v>
      </c>
      <c r="Q850" s="50" t="s">
        <v>158</v>
      </c>
      <c r="R850" s="47">
        <v>54</v>
      </c>
      <c r="S850" s="48">
        <v>20.2</v>
      </c>
      <c r="T850" s="48">
        <v>4.5</v>
      </c>
      <c r="U850" s="47">
        <v>54</v>
      </c>
      <c r="V850" s="47">
        <v>22.1</v>
      </c>
      <c r="W850" s="48">
        <v>4.9000000000000004</v>
      </c>
      <c r="X850" s="130">
        <f t="shared" si="138"/>
        <v>1.9000000000000021</v>
      </c>
      <c r="Y850" s="16">
        <f t="shared" si="139"/>
        <v>0.6413238622539289</v>
      </c>
      <c r="Z850" s="15">
        <f t="shared" si="140"/>
        <v>1.4000000000000021</v>
      </c>
      <c r="AA850" s="16">
        <f t="shared" si="141"/>
        <v>29.887132352941176</v>
      </c>
      <c r="AB850" s="16">
        <f t="shared" si="142"/>
        <v>0.95355367369709509</v>
      </c>
      <c r="AC850" s="66" t="s">
        <v>49</v>
      </c>
      <c r="AD850" s="51" t="s">
        <v>667</v>
      </c>
      <c r="AE850" s="13">
        <v>20</v>
      </c>
      <c r="AF850" s="13">
        <v>1.8</v>
      </c>
      <c r="AG850" s="13">
        <v>60</v>
      </c>
      <c r="AH850" s="134">
        <v>211360</v>
      </c>
      <c r="AI850" s="134">
        <v>3.5</v>
      </c>
      <c r="AJ850" s="135">
        <f t="shared" si="137"/>
        <v>210</v>
      </c>
      <c r="AK850" s="45">
        <f t="shared" si="145"/>
        <v>378</v>
      </c>
      <c r="AL850" s="136" t="str" cm="1">
        <f t="array" ref="AL850">_xlfn.IFS(
AI850&lt;3,"Ligera",
AI850&lt;=6,"Moderada",
AI850&gt;6,"Vigorosa"
)</f>
        <v>Moderada</v>
      </c>
      <c r="AM850" s="45" t="s">
        <v>48</v>
      </c>
      <c r="AN850" s="289" t="s">
        <v>663</v>
      </c>
      <c r="AO850" s="289" t="s">
        <v>255</v>
      </c>
      <c r="AP850" s="289" t="s">
        <v>173</v>
      </c>
      <c r="AQ850" s="303">
        <v>0</v>
      </c>
    </row>
    <row r="851" spans="1:46" s="273" customFormat="1" ht="55.5" customHeight="1" thickBot="1">
      <c r="A851" s="138" t="s">
        <v>665</v>
      </c>
      <c r="B851" s="12">
        <v>278</v>
      </c>
      <c r="C851" s="12">
        <v>84.4</v>
      </c>
      <c r="D851" s="12">
        <v>23.7</v>
      </c>
      <c r="E851" s="12" t="s">
        <v>45</v>
      </c>
      <c r="F851" s="12" t="s">
        <v>45</v>
      </c>
      <c r="G851" s="12" t="s">
        <v>476</v>
      </c>
      <c r="H851" s="12"/>
      <c r="I851" s="12" t="s">
        <v>98</v>
      </c>
      <c r="J851" s="12" t="s">
        <v>47</v>
      </c>
      <c r="K851" s="12" t="s">
        <v>48</v>
      </c>
      <c r="L851" s="12" t="s">
        <v>49</v>
      </c>
      <c r="M851" s="11" t="s">
        <v>56</v>
      </c>
      <c r="N851" s="11" t="s">
        <v>410</v>
      </c>
      <c r="O851" s="50" t="s">
        <v>411</v>
      </c>
      <c r="P851" s="11" t="s">
        <v>86</v>
      </c>
      <c r="Q851" s="50" t="s">
        <v>158</v>
      </c>
      <c r="R851" s="47">
        <v>70</v>
      </c>
      <c r="S851" s="48">
        <v>19.2</v>
      </c>
      <c r="T851" s="48">
        <v>4.9000000000000004</v>
      </c>
      <c r="U851" s="47">
        <v>70</v>
      </c>
      <c r="V851" s="47">
        <v>21.2</v>
      </c>
      <c r="W851" s="48">
        <v>5</v>
      </c>
      <c r="X851" s="130">
        <f t="shared" si="138"/>
        <v>2</v>
      </c>
      <c r="Y851" s="16">
        <f t="shared" si="139"/>
        <v>0.59172870231454655</v>
      </c>
      <c r="Z851" s="15">
        <f>X851-X849</f>
        <v>1.5</v>
      </c>
      <c r="AA851" s="16">
        <f>((U851-1)*W851^2+(U849-1)*W849^2)/((U851-1)+(U849-1))</f>
        <v>29.717894736842105</v>
      </c>
      <c r="AB851" s="16">
        <f>SQRT(AA851*((1/U851)+(1/U849)))</f>
        <v>0.88222775661182906</v>
      </c>
      <c r="AC851" s="66" t="s">
        <v>49</v>
      </c>
      <c r="AD851" s="51" t="s">
        <v>668</v>
      </c>
      <c r="AE851" s="13">
        <v>20</v>
      </c>
      <c r="AF851" s="13">
        <v>1.8</v>
      </c>
      <c r="AG851" s="13">
        <v>60</v>
      </c>
      <c r="AH851" s="134">
        <v>221060</v>
      </c>
      <c r="AI851" s="134">
        <v>3.8</v>
      </c>
      <c r="AJ851" s="135">
        <f t="shared" si="137"/>
        <v>228</v>
      </c>
      <c r="AK851" s="45">
        <f t="shared" si="145"/>
        <v>410.40000000000003</v>
      </c>
      <c r="AL851" s="136" t="str" cm="1">
        <f t="array" ref="AL851">_xlfn.IFS(
AI851&lt;3,"Ligera",
AI851&lt;=6,"Moderada",
AI851&gt;6,"Vigorosa"
)</f>
        <v>Moderada</v>
      </c>
      <c r="AM851" s="45" t="s">
        <v>48</v>
      </c>
      <c r="AN851" s="289" t="s">
        <v>663</v>
      </c>
      <c r="AO851" s="289" t="s">
        <v>255</v>
      </c>
      <c r="AP851" s="289" t="s">
        <v>173</v>
      </c>
      <c r="AQ851" s="303">
        <v>0</v>
      </c>
    </row>
    <row r="852" spans="1:46" s="273" customFormat="1" ht="55.5" customHeight="1" thickBot="1">
      <c r="A852" s="124" t="s">
        <v>669</v>
      </c>
      <c r="B852" s="125">
        <v>52</v>
      </c>
      <c r="C852" s="125">
        <v>82.8</v>
      </c>
      <c r="D852" s="125">
        <v>16</v>
      </c>
      <c r="E852" s="125" t="s">
        <v>45</v>
      </c>
      <c r="F852" s="125" t="s">
        <v>45</v>
      </c>
      <c r="G852" s="125" t="s">
        <v>403</v>
      </c>
      <c r="H852" s="125"/>
      <c r="I852" s="125" t="s">
        <v>45</v>
      </c>
      <c r="J852" s="125" t="s">
        <v>47</v>
      </c>
      <c r="K852" s="125" t="s">
        <v>49</v>
      </c>
      <c r="L852" s="125" t="s">
        <v>49</v>
      </c>
      <c r="M852" s="126" t="s">
        <v>50</v>
      </c>
      <c r="N852" s="126" t="s">
        <v>50</v>
      </c>
      <c r="O852" s="126" t="s">
        <v>50</v>
      </c>
      <c r="P852" s="126" t="s">
        <v>94</v>
      </c>
      <c r="Q852" s="159" t="s">
        <v>119</v>
      </c>
      <c r="R852" s="167">
        <v>25</v>
      </c>
      <c r="S852" s="168">
        <v>25</v>
      </c>
      <c r="T852" s="168">
        <v>4.9000000000000004</v>
      </c>
      <c r="U852" s="168">
        <v>25</v>
      </c>
      <c r="V852" s="167" t="s">
        <v>47</v>
      </c>
      <c r="W852" s="168" t="s">
        <v>47</v>
      </c>
      <c r="X852" s="130"/>
      <c r="Y852" s="16"/>
      <c r="Z852" s="286"/>
      <c r="AA852" s="286"/>
      <c r="AB852" s="16"/>
      <c r="AC852" s="66" t="s">
        <v>49</v>
      </c>
      <c r="AD852" s="133" t="s">
        <v>670</v>
      </c>
      <c r="AE852" s="134">
        <v>12</v>
      </c>
      <c r="AF852" s="134">
        <v>0</v>
      </c>
      <c r="AG852" s="134">
        <v>0</v>
      </c>
      <c r="AH852" s="134">
        <v>0</v>
      </c>
      <c r="AI852" s="134">
        <v>0</v>
      </c>
      <c r="AJ852" s="135">
        <f t="shared" si="137"/>
        <v>0</v>
      </c>
      <c r="AK852" s="45">
        <f t="shared" si="145"/>
        <v>0</v>
      </c>
      <c r="AL852" s="136" t="str" cm="1">
        <f t="array" ref="AL852">_xlfn.IFS(
AI852&lt;3,"Ligera",
AI852&lt;=6,"Moderada",
AI852&gt;6,"Vigorosa"
)</f>
        <v>Ligera</v>
      </c>
      <c r="AM852" s="136" t="s">
        <v>49</v>
      </c>
      <c r="AN852" s="136" t="s">
        <v>49</v>
      </c>
      <c r="AO852" s="136" t="s">
        <v>49</v>
      </c>
      <c r="AP852" s="136" t="s">
        <v>49</v>
      </c>
      <c r="AQ852" s="298">
        <v>0</v>
      </c>
    </row>
    <row r="853" spans="1:46" s="273" customFormat="1" ht="55.5" customHeight="1" thickBot="1">
      <c r="A853" s="138" t="s">
        <v>669</v>
      </c>
      <c r="B853" s="12">
        <v>52</v>
      </c>
      <c r="C853" s="12">
        <v>81</v>
      </c>
      <c r="D853" s="12">
        <v>8</v>
      </c>
      <c r="E853" s="12" t="s">
        <v>45</v>
      </c>
      <c r="F853" s="12" t="s">
        <v>45</v>
      </c>
      <c r="G853" s="12" t="s">
        <v>403</v>
      </c>
      <c r="H853" s="12"/>
      <c r="I853" s="12" t="s">
        <v>45</v>
      </c>
      <c r="J853" s="12" t="s">
        <v>47</v>
      </c>
      <c r="K853" s="12" t="s">
        <v>49</v>
      </c>
      <c r="L853" s="12" t="s">
        <v>49</v>
      </c>
      <c r="M853" s="11" t="s">
        <v>56</v>
      </c>
      <c r="N853" s="11" t="s">
        <v>162</v>
      </c>
      <c r="O853" s="11" t="s">
        <v>297</v>
      </c>
      <c r="P853" s="11" t="s">
        <v>94</v>
      </c>
      <c r="Q853" s="50" t="s">
        <v>119</v>
      </c>
      <c r="R853" s="47">
        <v>27</v>
      </c>
      <c r="S853" s="48">
        <v>23.3</v>
      </c>
      <c r="T853" s="48">
        <v>5.4</v>
      </c>
      <c r="U853" s="48">
        <v>27</v>
      </c>
      <c r="V853" s="47" t="s">
        <v>47</v>
      </c>
      <c r="W853" s="48" t="s">
        <v>47</v>
      </c>
      <c r="X853" s="130"/>
      <c r="Y853" s="16"/>
      <c r="Z853" s="15"/>
      <c r="AA853" s="16"/>
      <c r="AB853" s="16"/>
      <c r="AC853" s="66" t="s">
        <v>49</v>
      </c>
      <c r="AD853" s="51" t="s">
        <v>671</v>
      </c>
      <c r="AE853" s="13">
        <v>12</v>
      </c>
      <c r="AF853" s="13">
        <v>1</v>
      </c>
      <c r="AG853" s="13">
        <v>75</v>
      </c>
      <c r="AH853" s="13">
        <v>303060</v>
      </c>
      <c r="AI853" s="13">
        <v>6</v>
      </c>
      <c r="AJ853" s="135">
        <f t="shared" si="137"/>
        <v>450</v>
      </c>
      <c r="AK853" s="45">
        <f t="shared" si="145"/>
        <v>450</v>
      </c>
      <c r="AL853" s="136" t="str" cm="1">
        <f t="array" ref="AL853">_xlfn.IFS(
AI853&lt;3,"Ligera",
AI853&lt;=6,"Moderada",
AI853&gt;6,"Vigorosa"
)</f>
        <v>Moderada</v>
      </c>
      <c r="AM853" s="45" t="s">
        <v>48</v>
      </c>
      <c r="AN853" s="289" t="s">
        <v>663</v>
      </c>
      <c r="AO853" s="61" t="s">
        <v>61</v>
      </c>
      <c r="AP853" s="97" t="s">
        <v>173</v>
      </c>
      <c r="AQ853" s="303">
        <v>0</v>
      </c>
    </row>
    <row r="854" spans="1:46" s="273" customFormat="1" ht="55.5" customHeight="1" thickBot="1">
      <c r="A854" s="138" t="s">
        <v>669</v>
      </c>
      <c r="B854" s="12">
        <v>52</v>
      </c>
      <c r="C854" s="12">
        <v>82.8</v>
      </c>
      <c r="D854" s="12">
        <v>16</v>
      </c>
      <c r="E854" s="12" t="s">
        <v>45</v>
      </c>
      <c r="F854" s="12" t="s">
        <v>45</v>
      </c>
      <c r="G854" s="12" t="s">
        <v>403</v>
      </c>
      <c r="H854" s="12"/>
      <c r="I854" s="12" t="s">
        <v>45</v>
      </c>
      <c r="J854" s="12" t="s">
        <v>47</v>
      </c>
      <c r="K854" s="12" t="s">
        <v>49</v>
      </c>
      <c r="L854" s="12" t="s">
        <v>49</v>
      </c>
      <c r="M854" s="11" t="s">
        <v>50</v>
      </c>
      <c r="N854" s="11" t="s">
        <v>50</v>
      </c>
      <c r="O854" s="11" t="s">
        <v>50</v>
      </c>
      <c r="P854" s="11" t="s">
        <v>51</v>
      </c>
      <c r="Q854" s="50" t="s">
        <v>64</v>
      </c>
      <c r="R854" s="47">
        <v>25</v>
      </c>
      <c r="S854" s="48">
        <v>8.4</v>
      </c>
      <c r="T854" s="48">
        <v>3.6</v>
      </c>
      <c r="U854" s="48">
        <v>25</v>
      </c>
      <c r="V854" s="47">
        <v>7.2</v>
      </c>
      <c r="W854" s="48">
        <v>3.5</v>
      </c>
      <c r="X854" s="130">
        <f t="shared" si="138"/>
        <v>-1.2000000000000002</v>
      </c>
      <c r="Y854" s="16">
        <f t="shared" si="139"/>
        <v>0.71021123618258819</v>
      </c>
      <c r="Z854" s="286" t="s">
        <v>53</v>
      </c>
      <c r="AA854" s="286" t="s">
        <v>53</v>
      </c>
      <c r="AB854" s="16">
        <v>0.71021123618258819</v>
      </c>
      <c r="AC854" s="66" t="s">
        <v>49</v>
      </c>
      <c r="AD854" s="51" t="s">
        <v>670</v>
      </c>
      <c r="AE854" s="13">
        <v>12</v>
      </c>
      <c r="AF854" s="13">
        <v>0</v>
      </c>
      <c r="AG854" s="13">
        <v>0</v>
      </c>
      <c r="AH854" s="134">
        <v>0</v>
      </c>
      <c r="AI854" s="134">
        <v>0</v>
      </c>
      <c r="AJ854" s="135">
        <f t="shared" si="137"/>
        <v>0</v>
      </c>
      <c r="AK854" s="45">
        <f t="shared" si="145"/>
        <v>0</v>
      </c>
      <c r="AL854" s="136" t="str" cm="1">
        <f t="array" ref="AL854">_xlfn.IFS(
AI854&lt;3,"Ligera",
AI854&lt;=6,"Moderada",
AI854&gt;6,"Vigorosa"
)</f>
        <v>Ligera</v>
      </c>
      <c r="AM854" s="45" t="s">
        <v>49</v>
      </c>
      <c r="AN854" s="45" t="s">
        <v>49</v>
      </c>
      <c r="AO854" s="45" t="s">
        <v>49</v>
      </c>
      <c r="AP854" s="45" t="s">
        <v>49</v>
      </c>
      <c r="AQ854" s="303">
        <v>0</v>
      </c>
    </row>
    <row r="855" spans="1:46" s="273" customFormat="1" ht="55.5" customHeight="1" thickBot="1">
      <c r="A855" s="138" t="s">
        <v>669</v>
      </c>
      <c r="B855" s="12">
        <v>52</v>
      </c>
      <c r="C855" s="12">
        <v>81</v>
      </c>
      <c r="D855" s="12">
        <v>8</v>
      </c>
      <c r="E855" s="12" t="s">
        <v>45</v>
      </c>
      <c r="F855" s="12" t="s">
        <v>45</v>
      </c>
      <c r="G855" s="12" t="s">
        <v>403</v>
      </c>
      <c r="H855" s="12"/>
      <c r="I855" s="12" t="s">
        <v>45</v>
      </c>
      <c r="J855" s="12" t="s">
        <v>47</v>
      </c>
      <c r="K855" s="12" t="s">
        <v>49</v>
      </c>
      <c r="L855" s="12" t="s">
        <v>49</v>
      </c>
      <c r="M855" s="11" t="s">
        <v>56</v>
      </c>
      <c r="N855" s="11" t="s">
        <v>162</v>
      </c>
      <c r="O855" s="11" t="s">
        <v>297</v>
      </c>
      <c r="P855" s="11" t="s">
        <v>51</v>
      </c>
      <c r="Q855" s="50" t="s">
        <v>64</v>
      </c>
      <c r="R855" s="47">
        <v>27</v>
      </c>
      <c r="S855" s="48">
        <v>7.3</v>
      </c>
      <c r="T855" s="48">
        <v>3.8</v>
      </c>
      <c r="U855" s="48">
        <v>27</v>
      </c>
      <c r="V855" s="47">
        <v>10.1</v>
      </c>
      <c r="W855" s="48">
        <v>4.2</v>
      </c>
      <c r="X855" s="130">
        <f t="shared" si="138"/>
        <v>2.8</v>
      </c>
      <c r="Y855" s="16">
        <f t="shared" si="139"/>
        <v>0.77268171780949813</v>
      </c>
      <c r="Z855" s="15">
        <f t="shared" si="140"/>
        <v>4</v>
      </c>
      <c r="AA855" s="16">
        <f t="shared" si="141"/>
        <v>15.0528</v>
      </c>
      <c r="AB855" s="16">
        <f t="shared" si="142"/>
        <v>1.0768579809385781</v>
      </c>
      <c r="AC855" s="66" t="s">
        <v>49</v>
      </c>
      <c r="AD855" s="51" t="s">
        <v>671</v>
      </c>
      <c r="AE855" s="13">
        <v>12</v>
      </c>
      <c r="AF855" s="13">
        <v>1</v>
      </c>
      <c r="AG855" s="13">
        <v>75</v>
      </c>
      <c r="AH855" s="13">
        <v>303060</v>
      </c>
      <c r="AI855" s="13">
        <v>6</v>
      </c>
      <c r="AJ855" s="135">
        <f t="shared" si="137"/>
        <v>450</v>
      </c>
      <c r="AK855" s="45">
        <f t="shared" si="145"/>
        <v>450</v>
      </c>
      <c r="AL855" s="136" t="str" cm="1">
        <f t="array" ref="AL855">_xlfn.IFS(
AI855&lt;3,"Ligera",
AI855&lt;=6,"Moderada",
AI855&gt;6,"Vigorosa"
)</f>
        <v>Moderada</v>
      </c>
      <c r="AM855" s="45" t="s">
        <v>48</v>
      </c>
      <c r="AN855" s="289" t="s">
        <v>663</v>
      </c>
      <c r="AO855" s="61" t="s">
        <v>61</v>
      </c>
      <c r="AP855" s="97" t="s">
        <v>173</v>
      </c>
      <c r="AQ855" s="303">
        <v>0</v>
      </c>
    </row>
    <row r="856" spans="1:46" s="273" customFormat="1" ht="55.5" customHeight="1" thickBot="1">
      <c r="A856" s="138" t="s">
        <v>669</v>
      </c>
      <c r="B856" s="12">
        <v>52</v>
      </c>
      <c r="C856" s="12">
        <v>82.8</v>
      </c>
      <c r="D856" s="12">
        <v>16</v>
      </c>
      <c r="E856" s="12" t="s">
        <v>45</v>
      </c>
      <c r="F856" s="12" t="s">
        <v>45</v>
      </c>
      <c r="G856" s="12" t="s">
        <v>403</v>
      </c>
      <c r="H856" s="12"/>
      <c r="I856" s="12" t="s">
        <v>45</v>
      </c>
      <c r="J856" s="12" t="s">
        <v>47</v>
      </c>
      <c r="K856" s="12" t="s">
        <v>49</v>
      </c>
      <c r="L856" s="12" t="s">
        <v>49</v>
      </c>
      <c r="M856" s="11" t="s">
        <v>50</v>
      </c>
      <c r="N856" s="11" t="s">
        <v>50</v>
      </c>
      <c r="O856" s="11" t="s">
        <v>50</v>
      </c>
      <c r="P856" s="11" t="s">
        <v>51</v>
      </c>
      <c r="Q856" s="50" t="s">
        <v>166</v>
      </c>
      <c r="R856" s="47">
        <v>25</v>
      </c>
      <c r="S856" s="48">
        <v>30</v>
      </c>
      <c r="T856" s="48">
        <v>25.4</v>
      </c>
      <c r="U856" s="48">
        <v>25</v>
      </c>
      <c r="V856" s="47">
        <v>21.8</v>
      </c>
      <c r="W856" s="48">
        <v>21.2</v>
      </c>
      <c r="X856" s="130">
        <f t="shared" si="138"/>
        <v>-8.1999999999999993</v>
      </c>
      <c r="Y856" s="16">
        <f t="shared" si="139"/>
        <v>4.7164393349220557</v>
      </c>
      <c r="Z856" s="286" t="s">
        <v>53</v>
      </c>
      <c r="AA856" s="286" t="s">
        <v>53</v>
      </c>
      <c r="AB856" s="16">
        <v>4.7164393349220557</v>
      </c>
      <c r="AC856" s="66" t="s">
        <v>49</v>
      </c>
      <c r="AD856" s="51" t="s">
        <v>670</v>
      </c>
      <c r="AE856" s="13">
        <v>12</v>
      </c>
      <c r="AF856" s="13">
        <v>0</v>
      </c>
      <c r="AG856" s="13">
        <v>0</v>
      </c>
      <c r="AH856" s="134">
        <v>0</v>
      </c>
      <c r="AI856" s="134">
        <v>0</v>
      </c>
      <c r="AJ856" s="135">
        <f t="shared" si="137"/>
        <v>0</v>
      </c>
      <c r="AK856" s="45">
        <f t="shared" si="145"/>
        <v>0</v>
      </c>
      <c r="AL856" s="136" t="str" cm="1">
        <f t="array" ref="AL856">_xlfn.IFS(
AI856&lt;3,"Ligera",
AI856&lt;=6,"Moderada",
AI856&gt;6,"Vigorosa"
)</f>
        <v>Ligera</v>
      </c>
      <c r="AM856" s="45" t="s">
        <v>49</v>
      </c>
      <c r="AN856" s="45" t="s">
        <v>49</v>
      </c>
      <c r="AO856" s="45" t="s">
        <v>49</v>
      </c>
      <c r="AP856" s="45" t="s">
        <v>49</v>
      </c>
      <c r="AQ856" s="303">
        <v>0</v>
      </c>
    </row>
    <row r="857" spans="1:46" s="273" customFormat="1" ht="55.5" customHeight="1" thickBot="1">
      <c r="A857" s="138" t="s">
        <v>669</v>
      </c>
      <c r="B857" s="12">
        <v>52</v>
      </c>
      <c r="C857" s="12">
        <v>81</v>
      </c>
      <c r="D857" s="12">
        <v>8</v>
      </c>
      <c r="E857" s="12" t="s">
        <v>45</v>
      </c>
      <c r="F857" s="12" t="s">
        <v>45</v>
      </c>
      <c r="G857" s="12" t="s">
        <v>403</v>
      </c>
      <c r="H857" s="12"/>
      <c r="I857" s="12" t="s">
        <v>45</v>
      </c>
      <c r="J857" s="12" t="s">
        <v>47</v>
      </c>
      <c r="K857" s="12" t="s">
        <v>49</v>
      </c>
      <c r="L857" s="12" t="s">
        <v>49</v>
      </c>
      <c r="M857" s="11" t="s">
        <v>56</v>
      </c>
      <c r="N857" s="11" t="s">
        <v>162</v>
      </c>
      <c r="O857" s="11" t="s">
        <v>297</v>
      </c>
      <c r="P857" s="11" t="s">
        <v>51</v>
      </c>
      <c r="Q857" s="50" t="s">
        <v>166</v>
      </c>
      <c r="R857" s="47">
        <v>27</v>
      </c>
      <c r="S857" s="48">
        <v>35.299999999999997</v>
      </c>
      <c r="T857" s="48">
        <v>21.5</v>
      </c>
      <c r="U857" s="48">
        <v>27</v>
      </c>
      <c r="V857" s="47">
        <v>38.700000000000003</v>
      </c>
      <c r="W857" s="48">
        <v>22.9</v>
      </c>
      <c r="X857" s="130">
        <f t="shared" si="138"/>
        <v>3.4000000000000057</v>
      </c>
      <c r="Y857" s="16">
        <f t="shared" si="139"/>
        <v>4.2787589062458027</v>
      </c>
      <c r="Z857" s="15">
        <f t="shared" si="140"/>
        <v>11.600000000000005</v>
      </c>
      <c r="AA857" s="16">
        <f t="shared" si="141"/>
        <v>488.42440000000005</v>
      </c>
      <c r="AB857" s="16">
        <f t="shared" si="142"/>
        <v>6.1340662364040863</v>
      </c>
      <c r="AC857" s="66" t="s">
        <v>49</v>
      </c>
      <c r="AD857" s="51" t="s">
        <v>671</v>
      </c>
      <c r="AE857" s="13">
        <v>12</v>
      </c>
      <c r="AF857" s="13">
        <v>1</v>
      </c>
      <c r="AG857" s="13">
        <v>75</v>
      </c>
      <c r="AH857" s="13">
        <v>303060</v>
      </c>
      <c r="AI857" s="13">
        <v>6</v>
      </c>
      <c r="AJ857" s="135">
        <f t="shared" si="137"/>
        <v>450</v>
      </c>
      <c r="AK857" s="45">
        <f t="shared" si="145"/>
        <v>450</v>
      </c>
      <c r="AL857" s="136" t="str" cm="1">
        <f t="array" ref="AL857">_xlfn.IFS(
AI857&lt;3,"Ligera",
AI857&lt;=6,"Moderada",
AI857&gt;6,"Vigorosa"
)</f>
        <v>Moderada</v>
      </c>
      <c r="AM857" s="45" t="s">
        <v>48</v>
      </c>
      <c r="AN857" s="289" t="s">
        <v>663</v>
      </c>
      <c r="AO857" s="61" t="s">
        <v>61</v>
      </c>
      <c r="AP857" s="97" t="s">
        <v>173</v>
      </c>
      <c r="AQ857" s="303">
        <v>0</v>
      </c>
    </row>
    <row r="858" spans="1:46" s="273" customFormat="1" ht="55.5" customHeight="1" thickBot="1">
      <c r="A858" s="138" t="s">
        <v>669</v>
      </c>
      <c r="B858" s="12">
        <v>52</v>
      </c>
      <c r="C858" s="12">
        <v>82.8</v>
      </c>
      <c r="D858" s="12">
        <v>16</v>
      </c>
      <c r="E858" s="12" t="s">
        <v>45</v>
      </c>
      <c r="F858" s="12" t="s">
        <v>45</v>
      </c>
      <c r="G858" s="12" t="s">
        <v>403</v>
      </c>
      <c r="H858" s="12"/>
      <c r="I858" s="12" t="s">
        <v>45</v>
      </c>
      <c r="J858" s="12" t="s">
        <v>47</v>
      </c>
      <c r="K858" s="12" t="s">
        <v>49</v>
      </c>
      <c r="L858" s="12" t="s">
        <v>49</v>
      </c>
      <c r="M858" s="11" t="s">
        <v>50</v>
      </c>
      <c r="N858" s="11" t="s">
        <v>50</v>
      </c>
      <c r="O858" s="11" t="s">
        <v>50</v>
      </c>
      <c r="P858" s="11" t="s">
        <v>51</v>
      </c>
      <c r="Q858" s="50" t="s">
        <v>83</v>
      </c>
      <c r="R858" s="47">
        <v>25</v>
      </c>
      <c r="S858" s="48">
        <v>7.6</v>
      </c>
      <c r="T858" s="48">
        <v>13.6</v>
      </c>
      <c r="U858" s="48">
        <v>25</v>
      </c>
      <c r="V858" s="48">
        <v>8.5</v>
      </c>
      <c r="W858" s="47">
        <v>11</v>
      </c>
      <c r="X858" s="130">
        <f>W858-S858</f>
        <v>3.4000000000000004</v>
      </c>
      <c r="Y858" s="16" t="e">
        <f>SQRT((T858^2+#REF!^2-(2*0.5*T858*#REF!)))/SQRT(V858)</f>
        <v>#REF!</v>
      </c>
      <c r="Z858" s="286" t="s">
        <v>53</v>
      </c>
      <c r="AA858" s="286" t="s">
        <v>53</v>
      </c>
      <c r="AB858" s="16">
        <v>4.6647615158762399</v>
      </c>
      <c r="AC858" s="66" t="s">
        <v>49</v>
      </c>
      <c r="AD858" s="51" t="s">
        <v>670</v>
      </c>
      <c r="AE858" s="13">
        <v>12</v>
      </c>
      <c r="AF858" s="13">
        <v>0</v>
      </c>
      <c r="AG858" s="13">
        <v>0</v>
      </c>
      <c r="AH858" s="134">
        <v>0</v>
      </c>
      <c r="AI858" s="134">
        <v>0</v>
      </c>
      <c r="AJ858" s="135">
        <f t="shared" ref="AJ858:AJ915" si="146">AI858*AG858</f>
        <v>0</v>
      </c>
      <c r="AK858" s="45">
        <f t="shared" si="145"/>
        <v>0</v>
      </c>
      <c r="AL858" s="136" t="str" cm="1">
        <f t="array" ref="AL858">_xlfn.IFS(
AI858&lt;3,"Ligera",
AI858&lt;=6,"Moderada",
AI858&gt;6,"Vigorosa"
)</f>
        <v>Ligera</v>
      </c>
      <c r="AM858" s="45" t="s">
        <v>49</v>
      </c>
      <c r="AN858" s="45" t="s">
        <v>49</v>
      </c>
      <c r="AO858" s="45" t="s">
        <v>49</v>
      </c>
      <c r="AP858" s="45" t="s">
        <v>49</v>
      </c>
      <c r="AQ858" s="303">
        <v>0</v>
      </c>
    </row>
    <row r="859" spans="1:46" s="273" customFormat="1" ht="55.5" customHeight="1" thickBot="1">
      <c r="A859" s="138" t="s">
        <v>669</v>
      </c>
      <c r="B859" s="12">
        <v>52</v>
      </c>
      <c r="C859" s="12">
        <v>81</v>
      </c>
      <c r="D859" s="12">
        <v>8</v>
      </c>
      <c r="E859" s="12" t="s">
        <v>45</v>
      </c>
      <c r="F859" s="12" t="s">
        <v>45</v>
      </c>
      <c r="G859" s="12" t="s">
        <v>403</v>
      </c>
      <c r="H859" s="12"/>
      <c r="I859" s="12" t="s">
        <v>45</v>
      </c>
      <c r="J859" s="12" t="s">
        <v>47</v>
      </c>
      <c r="K859" s="12" t="s">
        <v>49</v>
      </c>
      <c r="L859" s="12" t="s">
        <v>49</v>
      </c>
      <c r="M859" s="11" t="s">
        <v>56</v>
      </c>
      <c r="N859" s="11" t="s">
        <v>162</v>
      </c>
      <c r="O859" s="11" t="s">
        <v>297</v>
      </c>
      <c r="P859" s="11" t="s">
        <v>51</v>
      </c>
      <c r="Q859" s="50" t="s">
        <v>83</v>
      </c>
      <c r="R859" s="47">
        <v>27</v>
      </c>
      <c r="S859" s="48">
        <v>4.3</v>
      </c>
      <c r="T859" s="48">
        <v>9.3000000000000007</v>
      </c>
      <c r="U859" s="48">
        <v>27</v>
      </c>
      <c r="V859" s="47">
        <v>1.4</v>
      </c>
      <c r="W859" s="48">
        <v>7.4</v>
      </c>
      <c r="X859" s="130">
        <f t="shared" ref="X859:X915" si="147">V859-S859</f>
        <v>-2.9</v>
      </c>
      <c r="Y859" s="16">
        <f t="shared" ref="Y859:Y916" si="148">SQRT((T859^2+W859^2-(2*0.5*T859*W859)))/SQRT(U859)</f>
        <v>1.6378622019549116</v>
      </c>
      <c r="Z859" s="15">
        <f t="shared" si="140"/>
        <v>-6.3000000000000007</v>
      </c>
      <c r="AA859" s="16" t="e">
        <f>((U859-1)*W859^2+(V858-1)*#REF!^2)/((U859-1)+(V858-1))</f>
        <v>#REF!</v>
      </c>
      <c r="AB859" s="16" t="e">
        <f>SQRT(AA859*((1/U859)+(1/V858)))</f>
        <v>#REF!</v>
      </c>
      <c r="AC859" s="66" t="s">
        <v>49</v>
      </c>
      <c r="AD859" s="51" t="s">
        <v>671</v>
      </c>
      <c r="AE859" s="13">
        <v>12</v>
      </c>
      <c r="AF859" s="13">
        <v>1</v>
      </c>
      <c r="AG859" s="13">
        <v>75</v>
      </c>
      <c r="AH859" s="13">
        <v>303060</v>
      </c>
      <c r="AI859" s="13">
        <v>6</v>
      </c>
      <c r="AJ859" s="135">
        <f t="shared" si="146"/>
        <v>450</v>
      </c>
      <c r="AK859" s="45">
        <f t="shared" si="145"/>
        <v>450</v>
      </c>
      <c r="AL859" s="136" t="str" cm="1">
        <f t="array" ref="AL859">_xlfn.IFS(
AI859&lt;3,"Ligera",
AI859&lt;=6,"Moderada",
AI859&gt;6,"Vigorosa"
)</f>
        <v>Moderada</v>
      </c>
      <c r="AM859" s="45" t="s">
        <v>48</v>
      </c>
      <c r="AN859" s="289" t="s">
        <v>663</v>
      </c>
      <c r="AO859" s="61" t="s">
        <v>61</v>
      </c>
      <c r="AP859" s="97" t="s">
        <v>173</v>
      </c>
      <c r="AQ859" s="303">
        <v>0</v>
      </c>
    </row>
    <row r="860" spans="1:46" s="273" customFormat="1" ht="55.5" customHeight="1" thickBot="1">
      <c r="A860" s="138" t="s">
        <v>669</v>
      </c>
      <c r="B860" s="12">
        <v>52</v>
      </c>
      <c r="C860" s="12">
        <v>82.8</v>
      </c>
      <c r="D860" s="12">
        <v>16</v>
      </c>
      <c r="E860" s="12" t="s">
        <v>45</v>
      </c>
      <c r="F860" s="12" t="s">
        <v>45</v>
      </c>
      <c r="G860" s="12" t="s">
        <v>403</v>
      </c>
      <c r="H860" s="12"/>
      <c r="I860" s="12" t="s">
        <v>45</v>
      </c>
      <c r="J860" s="12" t="s">
        <v>47</v>
      </c>
      <c r="K860" s="12" t="s">
        <v>49</v>
      </c>
      <c r="L860" s="12" t="s">
        <v>49</v>
      </c>
      <c r="M860" s="11" t="s">
        <v>50</v>
      </c>
      <c r="N860" s="11" t="s">
        <v>50</v>
      </c>
      <c r="O860" s="11" t="s">
        <v>50</v>
      </c>
      <c r="P860" s="11" t="s">
        <v>51</v>
      </c>
      <c r="Q860" s="50" t="s">
        <v>52</v>
      </c>
      <c r="R860" s="47">
        <v>25</v>
      </c>
      <c r="S860" s="48">
        <v>20.2</v>
      </c>
      <c r="T860" s="48">
        <v>13.6</v>
      </c>
      <c r="U860" s="48">
        <v>25</v>
      </c>
      <c r="V860" s="47">
        <v>23.4</v>
      </c>
      <c r="W860" s="48">
        <v>14.5</v>
      </c>
      <c r="X860" s="130">
        <f t="shared" si="147"/>
        <v>3.1999999999999993</v>
      </c>
      <c r="Y860" s="16">
        <f t="shared" si="148"/>
        <v>2.8143205219022227</v>
      </c>
      <c r="Z860" s="286" t="s">
        <v>53</v>
      </c>
      <c r="AA860" s="286" t="s">
        <v>53</v>
      </c>
      <c r="AB860" s="16">
        <v>2.8143205219022227</v>
      </c>
      <c r="AC860" s="66" t="s">
        <v>48</v>
      </c>
      <c r="AD860" s="51" t="s">
        <v>670</v>
      </c>
      <c r="AE860" s="13">
        <v>12</v>
      </c>
      <c r="AF860" s="13">
        <v>0</v>
      </c>
      <c r="AG860" s="13">
        <v>0</v>
      </c>
      <c r="AH860" s="134">
        <v>0</v>
      </c>
      <c r="AI860" s="134">
        <v>0</v>
      </c>
      <c r="AJ860" s="135">
        <f t="shared" si="146"/>
        <v>0</v>
      </c>
      <c r="AK860" s="45">
        <f t="shared" si="145"/>
        <v>0</v>
      </c>
      <c r="AL860" s="136" t="str" cm="1">
        <f t="array" ref="AL860">_xlfn.IFS(
AI860&lt;3,"Ligera",
AI860&lt;=6,"Moderada",
AI860&gt;6,"Vigorosa"
)</f>
        <v>Ligera</v>
      </c>
      <c r="AM860" s="45" t="s">
        <v>49</v>
      </c>
      <c r="AN860" s="45" t="s">
        <v>49</v>
      </c>
      <c r="AO860" s="45" t="s">
        <v>49</v>
      </c>
      <c r="AP860" s="45" t="s">
        <v>49</v>
      </c>
      <c r="AQ860" s="303">
        <v>0</v>
      </c>
    </row>
    <row r="861" spans="1:46" s="273" customFormat="1" ht="55.5" customHeight="1" thickBot="1">
      <c r="A861" s="138" t="s">
        <v>669</v>
      </c>
      <c r="B861" s="12">
        <v>52</v>
      </c>
      <c r="C861" s="12">
        <v>81</v>
      </c>
      <c r="D861" s="12">
        <v>8</v>
      </c>
      <c r="E861" s="12" t="s">
        <v>45</v>
      </c>
      <c r="F861" s="12" t="s">
        <v>45</v>
      </c>
      <c r="G861" s="12" t="s">
        <v>403</v>
      </c>
      <c r="H861" s="12"/>
      <c r="I861" s="12" t="s">
        <v>45</v>
      </c>
      <c r="J861" s="12" t="s">
        <v>47</v>
      </c>
      <c r="K861" s="12" t="s">
        <v>49</v>
      </c>
      <c r="L861" s="12" t="s">
        <v>49</v>
      </c>
      <c r="M861" s="11" t="s">
        <v>56</v>
      </c>
      <c r="N861" s="11" t="s">
        <v>162</v>
      </c>
      <c r="O861" s="11" t="s">
        <v>297</v>
      </c>
      <c r="P861" s="11" t="s">
        <v>51</v>
      </c>
      <c r="Q861" s="50" t="s">
        <v>52</v>
      </c>
      <c r="R861" s="47">
        <v>27</v>
      </c>
      <c r="S861" s="48">
        <v>12.7</v>
      </c>
      <c r="T861" s="48">
        <v>7.7</v>
      </c>
      <c r="U861" s="48">
        <v>27</v>
      </c>
      <c r="V861" s="47">
        <v>11.7</v>
      </c>
      <c r="W861" s="48">
        <v>5.9</v>
      </c>
      <c r="X861" s="130">
        <f t="shared" si="147"/>
        <v>-1</v>
      </c>
      <c r="Y861" s="16">
        <f t="shared" si="148"/>
        <v>1.3426066410503832</v>
      </c>
      <c r="Z861" s="15">
        <f t="shared" ref="Z861:Z916" si="149">X861-X860</f>
        <v>-4.1999999999999993</v>
      </c>
      <c r="AA861" s="16">
        <f t="shared" ref="AA861:AA916" si="150">((U861-1)*W861^2+(U860-1)*W860^2)/((U861-1)+(U860-1))</f>
        <v>119.02120000000001</v>
      </c>
      <c r="AB861" s="16">
        <f t="shared" ref="AB861:AB916" si="151">SQRT(AA861*((1/U861)+(1/U860)))</f>
        <v>3.0280423696825305</v>
      </c>
      <c r="AC861" s="66" t="s">
        <v>48</v>
      </c>
      <c r="AD861" s="51" t="s">
        <v>671</v>
      </c>
      <c r="AE861" s="13">
        <v>12</v>
      </c>
      <c r="AF861" s="13">
        <v>1</v>
      </c>
      <c r="AG861" s="13">
        <v>75</v>
      </c>
      <c r="AH861" s="13">
        <v>303060</v>
      </c>
      <c r="AI861" s="13">
        <v>6</v>
      </c>
      <c r="AJ861" s="135">
        <f t="shared" si="146"/>
        <v>450</v>
      </c>
      <c r="AK861" s="45">
        <f t="shared" si="145"/>
        <v>450</v>
      </c>
      <c r="AL861" s="136" t="str" cm="1">
        <f t="array" ref="AL861">_xlfn.IFS(
AI861&lt;3,"Ligera",
AI861&lt;=6,"Moderada",
AI861&gt;6,"Vigorosa"
)</f>
        <v>Moderada</v>
      </c>
      <c r="AM861" s="45" t="s">
        <v>48</v>
      </c>
      <c r="AN861" s="289" t="s">
        <v>663</v>
      </c>
      <c r="AO861" s="61" t="s">
        <v>61</v>
      </c>
      <c r="AP861" s="97" t="s">
        <v>173</v>
      </c>
      <c r="AQ861" s="303">
        <v>0</v>
      </c>
    </row>
    <row r="862" spans="1:46" s="273" customFormat="1" ht="55.5" customHeight="1" thickBot="1">
      <c r="A862" s="124" t="s">
        <v>672</v>
      </c>
      <c r="B862" s="125">
        <v>112</v>
      </c>
      <c r="C862" s="125">
        <v>83</v>
      </c>
      <c r="D862" s="125">
        <v>24</v>
      </c>
      <c r="E862" s="125" t="s">
        <v>45</v>
      </c>
      <c r="F862" s="125" t="s">
        <v>45</v>
      </c>
      <c r="G862" s="125" t="s">
        <v>312</v>
      </c>
      <c r="H862" s="125"/>
      <c r="I862" s="125" t="s">
        <v>45</v>
      </c>
      <c r="J862" s="125" t="s">
        <v>47</v>
      </c>
      <c r="K862" s="125" t="s">
        <v>49</v>
      </c>
      <c r="L862" s="125" t="s">
        <v>49</v>
      </c>
      <c r="M862" s="126" t="s">
        <v>50</v>
      </c>
      <c r="N862" s="126" t="s">
        <v>50</v>
      </c>
      <c r="O862" s="126" t="s">
        <v>50</v>
      </c>
      <c r="P862" s="126" t="s">
        <v>51</v>
      </c>
      <c r="Q862" s="159" t="s">
        <v>124</v>
      </c>
      <c r="R862" s="168">
        <v>51</v>
      </c>
      <c r="S862" s="168">
        <v>24.8</v>
      </c>
      <c r="T862" s="168">
        <v>9.6</v>
      </c>
      <c r="U862" s="168">
        <v>51</v>
      </c>
      <c r="V862" s="167">
        <v>29.6</v>
      </c>
      <c r="W862" s="168">
        <v>11.5</v>
      </c>
      <c r="X862" s="130">
        <f t="shared" si="147"/>
        <v>4.8000000000000007</v>
      </c>
      <c r="Y862" s="16">
        <f t="shared" si="148"/>
        <v>1.495155575877785</v>
      </c>
      <c r="Z862" s="286" t="s">
        <v>53</v>
      </c>
      <c r="AA862" s="286" t="s">
        <v>53</v>
      </c>
      <c r="AB862" s="16">
        <v>1.495155575877785</v>
      </c>
      <c r="AC862" s="66" t="s">
        <v>48</v>
      </c>
      <c r="AD862" s="133" t="s">
        <v>673</v>
      </c>
      <c r="AE862" s="134">
        <v>36</v>
      </c>
      <c r="AF862" s="134">
        <v>0</v>
      </c>
      <c r="AG862" s="134">
        <v>0</v>
      </c>
      <c r="AH862" s="134">
        <v>0</v>
      </c>
      <c r="AI862" s="134">
        <v>0</v>
      </c>
      <c r="AJ862" s="135">
        <f t="shared" si="146"/>
        <v>0</v>
      </c>
      <c r="AK862" s="45">
        <f t="shared" si="145"/>
        <v>0</v>
      </c>
      <c r="AL862" s="136" t="str" cm="1">
        <f t="array" ref="AL862">_xlfn.IFS(
AI862&lt;3,"Ligera",
AI862&lt;=6,"Moderada",
AI862&gt;6,"Vigorosa"
)</f>
        <v>Ligera</v>
      </c>
      <c r="AM862" s="136" t="s">
        <v>49</v>
      </c>
      <c r="AN862" s="136" t="s">
        <v>49</v>
      </c>
      <c r="AO862" s="136" t="s">
        <v>49</v>
      </c>
      <c r="AP862" s="136" t="s">
        <v>49</v>
      </c>
      <c r="AQ862" s="298">
        <v>0</v>
      </c>
    </row>
    <row r="863" spans="1:46" s="273" customFormat="1" ht="55.5" customHeight="1" thickBot="1">
      <c r="A863" s="138" t="s">
        <v>672</v>
      </c>
      <c r="B863" s="12">
        <v>112</v>
      </c>
      <c r="C863" s="12">
        <v>83</v>
      </c>
      <c r="D863" s="12">
        <v>21</v>
      </c>
      <c r="E863" s="12" t="s">
        <v>45</v>
      </c>
      <c r="F863" s="12" t="s">
        <v>45</v>
      </c>
      <c r="G863" s="12" t="s">
        <v>312</v>
      </c>
      <c r="H863" s="12"/>
      <c r="I863" s="12" t="s">
        <v>45</v>
      </c>
      <c r="J863" s="12" t="s">
        <v>47</v>
      </c>
      <c r="K863" s="12" t="s">
        <v>49</v>
      </c>
      <c r="L863" s="12" t="s">
        <v>49</v>
      </c>
      <c r="M863" s="11" t="s">
        <v>56</v>
      </c>
      <c r="N863" s="11" t="s">
        <v>76</v>
      </c>
      <c r="O863" s="50" t="s">
        <v>674</v>
      </c>
      <c r="P863" s="11" t="s">
        <v>51</v>
      </c>
      <c r="Q863" s="50" t="s">
        <v>124</v>
      </c>
      <c r="R863" s="48">
        <v>53</v>
      </c>
      <c r="S863" s="48">
        <v>25</v>
      </c>
      <c r="T863" s="48">
        <v>10.3</v>
      </c>
      <c r="U863" s="48">
        <v>53</v>
      </c>
      <c r="V863" s="47">
        <v>21.3</v>
      </c>
      <c r="W863" s="48">
        <v>9.1</v>
      </c>
      <c r="X863" s="130">
        <f t="shared" si="147"/>
        <v>-3.6999999999999993</v>
      </c>
      <c r="Y863" s="16">
        <f t="shared" si="148"/>
        <v>1.3400225286757272</v>
      </c>
      <c r="Z863" s="15">
        <f t="shared" si="149"/>
        <v>-8.5</v>
      </c>
      <c r="AA863" s="16">
        <f t="shared" si="150"/>
        <v>107.04529411764705</v>
      </c>
      <c r="AB863" s="16">
        <f t="shared" si="151"/>
        <v>2.0294457041669727</v>
      </c>
      <c r="AC863" s="66" t="s">
        <v>48</v>
      </c>
      <c r="AD863" s="51" t="s">
        <v>675</v>
      </c>
      <c r="AE863" s="13">
        <v>36</v>
      </c>
      <c r="AF863" s="13">
        <v>2</v>
      </c>
      <c r="AG863" s="13">
        <v>75</v>
      </c>
      <c r="AH863" s="13" t="s">
        <v>676</v>
      </c>
      <c r="AI863" s="13">
        <v>3</v>
      </c>
      <c r="AJ863" s="135">
        <v>208.5</v>
      </c>
      <c r="AK863" s="45">
        <f t="shared" si="145"/>
        <v>417</v>
      </c>
      <c r="AL863" s="136" t="str" cm="1">
        <f t="array" ref="AL863">_xlfn.IFS(
AI863&lt;3,"Ligera",
AI863&lt;=6,"Moderada",
AI863&gt;6,"Vigorosa"
)</f>
        <v>Moderada</v>
      </c>
      <c r="AM863" s="45" t="s">
        <v>48</v>
      </c>
      <c r="AN863" s="289" t="s">
        <v>663</v>
      </c>
      <c r="AO863" s="61" t="s">
        <v>61</v>
      </c>
      <c r="AP863" s="97" t="s">
        <v>173</v>
      </c>
      <c r="AQ863" s="303">
        <v>0</v>
      </c>
    </row>
    <row r="864" spans="1:46" s="273" customFormat="1" ht="55.5" customHeight="1" thickBot="1">
      <c r="A864" s="138" t="s">
        <v>672</v>
      </c>
      <c r="B864" s="12">
        <v>112</v>
      </c>
      <c r="C864" s="12">
        <v>83</v>
      </c>
      <c r="D864" s="12">
        <v>24</v>
      </c>
      <c r="E864" s="12" t="s">
        <v>45</v>
      </c>
      <c r="F864" s="12" t="s">
        <v>45</v>
      </c>
      <c r="G864" s="12" t="s">
        <v>312</v>
      </c>
      <c r="H864" s="12"/>
      <c r="I864" s="12" t="s">
        <v>45</v>
      </c>
      <c r="J864" s="12" t="s">
        <v>47</v>
      </c>
      <c r="K864" s="12" t="s">
        <v>49</v>
      </c>
      <c r="L864" s="12" t="s">
        <v>49</v>
      </c>
      <c r="M864" s="11" t="s">
        <v>50</v>
      </c>
      <c r="N864" s="11" t="s">
        <v>50</v>
      </c>
      <c r="O864" s="11" t="s">
        <v>50</v>
      </c>
      <c r="P864" s="11" t="s">
        <v>86</v>
      </c>
      <c r="Q864" s="50" t="s">
        <v>156</v>
      </c>
      <c r="R864" s="48">
        <v>51</v>
      </c>
      <c r="S864" s="48">
        <v>9.1999999999999993</v>
      </c>
      <c r="T864" s="48">
        <v>3.6</v>
      </c>
      <c r="U864" s="48">
        <v>51</v>
      </c>
      <c r="V864" s="47">
        <v>8.4</v>
      </c>
      <c r="W864" s="48">
        <v>3.5</v>
      </c>
      <c r="X864" s="130">
        <f t="shared" si="147"/>
        <v>-0.79999999999999893</v>
      </c>
      <c r="Y864" s="16">
        <f t="shared" si="148"/>
        <v>0.49724732473969563</v>
      </c>
      <c r="Z864" s="286" t="s">
        <v>53</v>
      </c>
      <c r="AA864" s="286" t="s">
        <v>53</v>
      </c>
      <c r="AB864" s="16">
        <v>0.49724732473969563</v>
      </c>
      <c r="AC864" s="66" t="s">
        <v>49</v>
      </c>
      <c r="AD864" s="51" t="s">
        <v>673</v>
      </c>
      <c r="AE864" s="13">
        <v>36</v>
      </c>
      <c r="AF864" s="13">
        <v>0</v>
      </c>
      <c r="AG864" s="13">
        <v>0</v>
      </c>
      <c r="AH864" s="134">
        <v>0</v>
      </c>
      <c r="AI864" s="134">
        <v>0</v>
      </c>
      <c r="AJ864" s="135">
        <f t="shared" si="146"/>
        <v>0</v>
      </c>
      <c r="AK864" s="45">
        <f t="shared" si="145"/>
        <v>0</v>
      </c>
      <c r="AL864" s="136" t="str" cm="1">
        <f t="array" ref="AL864">_xlfn.IFS(
AI864&lt;3,"Ligera",
AI864&lt;=6,"Moderada",
AI864&gt;6,"Vigorosa"
)</f>
        <v>Ligera</v>
      </c>
      <c r="AM864" s="45" t="s">
        <v>49</v>
      </c>
      <c r="AN864" s="45" t="s">
        <v>49</v>
      </c>
      <c r="AO864" s="45" t="s">
        <v>49</v>
      </c>
      <c r="AP864" s="45" t="s">
        <v>49</v>
      </c>
      <c r="AQ864" s="303">
        <v>0</v>
      </c>
    </row>
    <row r="865" spans="1:43" s="273" customFormat="1" ht="55.5" customHeight="1" thickBot="1">
      <c r="A865" s="138" t="s">
        <v>672</v>
      </c>
      <c r="B865" s="12">
        <v>112</v>
      </c>
      <c r="C865" s="12">
        <v>83</v>
      </c>
      <c r="D865" s="12">
        <v>21</v>
      </c>
      <c r="E865" s="12" t="s">
        <v>45</v>
      </c>
      <c r="F865" s="12" t="s">
        <v>45</v>
      </c>
      <c r="G865" s="12" t="s">
        <v>312</v>
      </c>
      <c r="H865" s="12"/>
      <c r="I865" s="12" t="s">
        <v>45</v>
      </c>
      <c r="J865" s="12" t="s">
        <v>47</v>
      </c>
      <c r="K865" s="12" t="s">
        <v>49</v>
      </c>
      <c r="L865" s="12" t="s">
        <v>49</v>
      </c>
      <c r="M865" s="11" t="s">
        <v>56</v>
      </c>
      <c r="N865" s="11" t="s">
        <v>76</v>
      </c>
      <c r="O865" s="50" t="s">
        <v>674</v>
      </c>
      <c r="P865" s="11" t="s">
        <v>86</v>
      </c>
      <c r="Q865" s="50" t="s">
        <v>156</v>
      </c>
      <c r="R865" s="48">
        <v>53</v>
      </c>
      <c r="S865" s="48">
        <v>9.6999999999999993</v>
      </c>
      <c r="T865" s="48">
        <v>3.4</v>
      </c>
      <c r="U865" s="48">
        <v>53</v>
      </c>
      <c r="V865" s="47">
        <v>12</v>
      </c>
      <c r="W865" s="48">
        <v>2.8</v>
      </c>
      <c r="X865" s="130">
        <f t="shared" si="147"/>
        <v>2.3000000000000007</v>
      </c>
      <c r="Y865" s="16">
        <f t="shared" si="148"/>
        <v>0.43175814333909512</v>
      </c>
      <c r="Z865" s="15">
        <f t="shared" si="149"/>
        <v>3.0999999999999996</v>
      </c>
      <c r="AA865" s="16">
        <f t="shared" si="150"/>
        <v>10.001764705882353</v>
      </c>
      <c r="AB865" s="16">
        <f t="shared" si="151"/>
        <v>0.62034311076137161</v>
      </c>
      <c r="AC865" s="66" t="s">
        <v>49</v>
      </c>
      <c r="AD865" s="51" t="s">
        <v>677</v>
      </c>
      <c r="AE865" s="13">
        <v>36</v>
      </c>
      <c r="AF865" s="13">
        <v>2</v>
      </c>
      <c r="AG865" s="13">
        <v>75</v>
      </c>
      <c r="AH865" s="13" t="s">
        <v>676</v>
      </c>
      <c r="AI865" s="13">
        <v>3</v>
      </c>
      <c r="AJ865" s="135">
        <v>208.5</v>
      </c>
      <c r="AK865" s="45">
        <f t="shared" si="145"/>
        <v>417</v>
      </c>
      <c r="AL865" s="136" t="str" cm="1">
        <f t="array" ref="AL865">_xlfn.IFS(
AI865&lt;3,"Ligera",
AI865&lt;=6,"Moderada",
AI865&gt;6,"Vigorosa"
)</f>
        <v>Moderada</v>
      </c>
      <c r="AM865" s="45" t="s">
        <v>48</v>
      </c>
      <c r="AN865" s="289" t="s">
        <v>663</v>
      </c>
      <c r="AO865" s="61" t="s">
        <v>61</v>
      </c>
      <c r="AP865" s="97" t="s">
        <v>173</v>
      </c>
      <c r="AQ865" s="303">
        <v>0</v>
      </c>
    </row>
    <row r="866" spans="1:43" s="273" customFormat="1" ht="55.5" customHeight="1" thickBot="1">
      <c r="A866" s="124" t="s">
        <v>678</v>
      </c>
      <c r="B866" s="125">
        <v>23</v>
      </c>
      <c r="C866" s="125">
        <v>71</v>
      </c>
      <c r="D866" s="125">
        <v>85.71</v>
      </c>
      <c r="E866" s="125" t="s">
        <v>45</v>
      </c>
      <c r="F866" s="125" t="s">
        <v>45</v>
      </c>
      <c r="G866" s="125" t="s">
        <v>223</v>
      </c>
      <c r="H866" s="125"/>
      <c r="I866" s="125" t="s">
        <v>45</v>
      </c>
      <c r="J866" s="125" t="s">
        <v>47</v>
      </c>
      <c r="K866" s="125" t="s">
        <v>49</v>
      </c>
      <c r="L866" s="125" t="s">
        <v>49</v>
      </c>
      <c r="M866" s="126" t="s">
        <v>50</v>
      </c>
      <c r="N866" s="126" t="s">
        <v>50</v>
      </c>
      <c r="O866" s="126" t="s">
        <v>50</v>
      </c>
      <c r="P866" s="126" t="s">
        <v>94</v>
      </c>
      <c r="Q866" s="159" t="s">
        <v>119</v>
      </c>
      <c r="R866" s="167">
        <v>12</v>
      </c>
      <c r="S866" s="168">
        <v>27.8</v>
      </c>
      <c r="T866" s="168">
        <v>3.2</v>
      </c>
      <c r="U866" s="168">
        <v>12</v>
      </c>
      <c r="V866" s="167" t="s">
        <v>47</v>
      </c>
      <c r="W866" s="168" t="s">
        <v>47</v>
      </c>
      <c r="X866" s="130"/>
      <c r="Y866" s="16"/>
      <c r="Z866" s="286"/>
      <c r="AA866" s="286"/>
      <c r="AB866" s="16"/>
      <c r="AC866" s="66" t="s">
        <v>49</v>
      </c>
      <c r="AD866" s="133" t="s">
        <v>679</v>
      </c>
      <c r="AE866" s="134">
        <v>24</v>
      </c>
      <c r="AF866" s="134">
        <v>0</v>
      </c>
      <c r="AG866" s="134">
        <v>0</v>
      </c>
      <c r="AH866" s="134">
        <v>0</v>
      </c>
      <c r="AI866" s="134">
        <v>0</v>
      </c>
      <c r="AJ866" s="135">
        <f t="shared" si="146"/>
        <v>0</v>
      </c>
      <c r="AK866" s="45">
        <f t="shared" si="145"/>
        <v>0</v>
      </c>
      <c r="AL866" s="136" t="str" cm="1">
        <f t="array" ref="AL866">_xlfn.IFS(
AI866&lt;3,"Ligera",
AI866&lt;=6,"Moderada",
AI866&gt;6,"Vigorosa"
)</f>
        <v>Ligera</v>
      </c>
      <c r="AM866" s="136" t="s">
        <v>49</v>
      </c>
      <c r="AN866" s="136" t="s">
        <v>49</v>
      </c>
      <c r="AO866" s="136" t="s">
        <v>49</v>
      </c>
      <c r="AP866" s="136" t="s">
        <v>49</v>
      </c>
      <c r="AQ866" s="298">
        <v>0</v>
      </c>
    </row>
    <row r="867" spans="1:43" s="273" customFormat="1" ht="55.5" customHeight="1" thickBot="1">
      <c r="A867" s="138" t="s">
        <v>678</v>
      </c>
      <c r="B867" s="12">
        <v>23</v>
      </c>
      <c r="C867" s="12">
        <v>69.599999999999994</v>
      </c>
      <c r="D867" s="12">
        <v>80</v>
      </c>
      <c r="E867" s="12" t="s">
        <v>45</v>
      </c>
      <c r="F867" s="12" t="s">
        <v>45</v>
      </c>
      <c r="G867" s="12" t="s">
        <v>223</v>
      </c>
      <c r="H867" s="12"/>
      <c r="I867" s="12" t="s">
        <v>45</v>
      </c>
      <c r="J867" s="12" t="s">
        <v>47</v>
      </c>
      <c r="K867" s="12" t="s">
        <v>49</v>
      </c>
      <c r="L867" s="12" t="s">
        <v>49</v>
      </c>
      <c r="M867" s="11" t="s">
        <v>56</v>
      </c>
      <c r="N867" s="11" t="s">
        <v>162</v>
      </c>
      <c r="O867" s="11" t="s">
        <v>163</v>
      </c>
      <c r="P867" s="11" t="s">
        <v>94</v>
      </c>
      <c r="Q867" s="50" t="s">
        <v>119</v>
      </c>
      <c r="R867" s="47">
        <v>11</v>
      </c>
      <c r="S867" s="48">
        <v>26.7</v>
      </c>
      <c r="T867" s="48">
        <v>3.4</v>
      </c>
      <c r="U867" s="48">
        <v>11</v>
      </c>
      <c r="V867" s="47" t="s">
        <v>47</v>
      </c>
      <c r="W867" s="48" t="s">
        <v>47</v>
      </c>
      <c r="X867" s="130"/>
      <c r="Y867" s="16"/>
      <c r="Z867" s="15"/>
      <c r="AA867" s="16"/>
      <c r="AB867" s="16"/>
      <c r="AC867" s="66" t="s">
        <v>49</v>
      </c>
      <c r="AD867" s="51" t="s">
        <v>680</v>
      </c>
      <c r="AE867" s="13">
        <v>24</v>
      </c>
      <c r="AF867" s="13">
        <v>3</v>
      </c>
      <c r="AG867" s="13">
        <v>75</v>
      </c>
      <c r="AH867" s="134" t="s">
        <v>681</v>
      </c>
      <c r="AI867" s="134">
        <v>3.5</v>
      </c>
      <c r="AJ867" s="135">
        <v>252.5</v>
      </c>
      <c r="AK867" s="45">
        <f t="shared" si="145"/>
        <v>757.5</v>
      </c>
      <c r="AL867" s="136" t="str" cm="1">
        <f t="array" ref="AL867">_xlfn.IFS(
AI867&lt;3,"Ligera",
AI867&lt;=6,"Moderada",
AI867&gt;6,"Vigorosa"
)</f>
        <v>Moderada</v>
      </c>
      <c r="AM867" s="45" t="s">
        <v>49</v>
      </c>
      <c r="AN867" s="289" t="s">
        <v>49</v>
      </c>
      <c r="AO867" s="61" t="s">
        <v>61</v>
      </c>
      <c r="AP867" s="97" t="s">
        <v>62</v>
      </c>
      <c r="AQ867" s="303">
        <v>0</v>
      </c>
    </row>
    <row r="868" spans="1:43" s="273" customFormat="1" ht="55.5" customHeight="1" thickBot="1">
      <c r="A868" s="138" t="s">
        <v>678</v>
      </c>
      <c r="B868" s="12">
        <v>23</v>
      </c>
      <c r="C868" s="12">
        <v>71</v>
      </c>
      <c r="D868" s="12">
        <v>85.71</v>
      </c>
      <c r="E868" s="12" t="s">
        <v>45</v>
      </c>
      <c r="F868" s="12" t="s">
        <v>45</v>
      </c>
      <c r="G868" s="12" t="s">
        <v>223</v>
      </c>
      <c r="H868" s="12"/>
      <c r="I868" s="12" t="s">
        <v>45</v>
      </c>
      <c r="J868" s="12" t="s">
        <v>47</v>
      </c>
      <c r="K868" s="12" t="s">
        <v>49</v>
      </c>
      <c r="L868" s="12" t="s">
        <v>49</v>
      </c>
      <c r="M868" s="11" t="s">
        <v>50</v>
      </c>
      <c r="N868" s="11" t="s">
        <v>50</v>
      </c>
      <c r="O868" s="11" t="s">
        <v>50</v>
      </c>
      <c r="P868" s="11" t="s">
        <v>51</v>
      </c>
      <c r="Q868" s="50" t="s">
        <v>82</v>
      </c>
      <c r="R868" s="47">
        <v>12</v>
      </c>
      <c r="S868" s="48">
        <v>355.7</v>
      </c>
      <c r="T868" s="48">
        <v>119.2</v>
      </c>
      <c r="U868" s="48">
        <v>12</v>
      </c>
      <c r="V868" s="47">
        <v>340.5</v>
      </c>
      <c r="W868" s="48">
        <v>122.9</v>
      </c>
      <c r="X868" s="130">
        <f t="shared" si="147"/>
        <v>-15.199999999999989</v>
      </c>
      <c r="Y868" s="16">
        <f t="shared" si="148"/>
        <v>34.956365657773979</v>
      </c>
      <c r="Z868" s="286" t="s">
        <v>53</v>
      </c>
      <c r="AA868" s="286" t="s">
        <v>53</v>
      </c>
      <c r="AB868" s="16">
        <v>34.956365657773979</v>
      </c>
      <c r="AC868" s="66" t="s">
        <v>49</v>
      </c>
      <c r="AD868" s="51" t="s">
        <v>679</v>
      </c>
      <c r="AE868" s="13">
        <v>24</v>
      </c>
      <c r="AF868" s="13">
        <v>0</v>
      </c>
      <c r="AG868" s="13">
        <v>0</v>
      </c>
      <c r="AH868" s="134">
        <v>0</v>
      </c>
      <c r="AI868" s="134">
        <v>0</v>
      </c>
      <c r="AJ868" s="135">
        <f t="shared" si="146"/>
        <v>0</v>
      </c>
      <c r="AK868" s="45">
        <f t="shared" si="145"/>
        <v>0</v>
      </c>
      <c r="AL868" s="136" t="str" cm="1">
        <f t="array" ref="AL868">_xlfn.IFS(
AI868&lt;3,"Ligera",
AI868&lt;=6,"Moderada",
AI868&gt;6,"Vigorosa"
)</f>
        <v>Ligera</v>
      </c>
      <c r="AM868" s="45" t="s">
        <v>49</v>
      </c>
      <c r="AN868" s="45" t="s">
        <v>49</v>
      </c>
      <c r="AO868" s="45" t="s">
        <v>49</v>
      </c>
      <c r="AP868" s="45" t="s">
        <v>49</v>
      </c>
      <c r="AQ868" s="303">
        <v>0</v>
      </c>
    </row>
    <row r="869" spans="1:43" s="273" customFormat="1" ht="55.5" customHeight="1" thickBot="1">
      <c r="A869" s="138" t="s">
        <v>678</v>
      </c>
      <c r="B869" s="12">
        <v>23</v>
      </c>
      <c r="C869" s="12">
        <v>69.599999999999994</v>
      </c>
      <c r="D869" s="12">
        <v>80</v>
      </c>
      <c r="E869" s="12" t="s">
        <v>45</v>
      </c>
      <c r="F869" s="12" t="s">
        <v>45</v>
      </c>
      <c r="G869" s="12" t="s">
        <v>223</v>
      </c>
      <c r="H869" s="12"/>
      <c r="I869" s="12" t="s">
        <v>45</v>
      </c>
      <c r="J869" s="12" t="s">
        <v>47</v>
      </c>
      <c r="K869" s="12" t="s">
        <v>49</v>
      </c>
      <c r="L869" s="12" t="s">
        <v>49</v>
      </c>
      <c r="M869" s="11" t="s">
        <v>56</v>
      </c>
      <c r="N869" s="11" t="s">
        <v>162</v>
      </c>
      <c r="O869" s="11" t="s">
        <v>163</v>
      </c>
      <c r="P869" s="11" t="s">
        <v>51</v>
      </c>
      <c r="Q869" s="50" t="s">
        <v>82</v>
      </c>
      <c r="R869" s="47">
        <v>11</v>
      </c>
      <c r="S869" s="48">
        <v>387.9</v>
      </c>
      <c r="T869" s="48">
        <v>95.9</v>
      </c>
      <c r="U869" s="48">
        <v>11</v>
      </c>
      <c r="V869" s="47">
        <v>496.3</v>
      </c>
      <c r="W869" s="48">
        <v>112.1</v>
      </c>
      <c r="X869" s="130">
        <f t="shared" si="147"/>
        <v>108.40000000000003</v>
      </c>
      <c r="Y869" s="16">
        <f t="shared" si="148"/>
        <v>31.641213055702586</v>
      </c>
      <c r="Z869" s="15">
        <f t="shared" si="149"/>
        <v>123.60000000000002</v>
      </c>
      <c r="AA869" s="16">
        <f t="shared" si="150"/>
        <v>13895.838571428571</v>
      </c>
      <c r="AB869" s="16">
        <f t="shared" si="151"/>
        <v>49.206143920928206</v>
      </c>
      <c r="AC869" s="66" t="s">
        <v>49</v>
      </c>
      <c r="AD869" s="51" t="s">
        <v>680</v>
      </c>
      <c r="AE869" s="13">
        <v>24</v>
      </c>
      <c r="AF869" s="13">
        <v>3</v>
      </c>
      <c r="AG869" s="13">
        <v>75</v>
      </c>
      <c r="AH869" s="134" t="s">
        <v>681</v>
      </c>
      <c r="AI869" s="134">
        <v>3.5</v>
      </c>
      <c r="AJ869" s="135">
        <v>252.5</v>
      </c>
      <c r="AK869" s="45">
        <f t="shared" si="145"/>
        <v>757.5</v>
      </c>
      <c r="AL869" s="136" t="str" cm="1">
        <f t="array" ref="AL869">_xlfn.IFS(
AI869&lt;3,"Ligera",
AI869&lt;=6,"Moderada",
AI869&gt;6,"Vigorosa"
)</f>
        <v>Moderada</v>
      </c>
      <c r="AM869" s="45" t="s">
        <v>49</v>
      </c>
      <c r="AN869" s="289" t="s">
        <v>49</v>
      </c>
      <c r="AO869" s="61" t="s">
        <v>61</v>
      </c>
      <c r="AP869" s="97" t="s">
        <v>62</v>
      </c>
      <c r="AQ869" s="303">
        <v>0</v>
      </c>
    </row>
    <row r="870" spans="1:43" s="273" customFormat="1" ht="55.5" customHeight="1" thickBot="1">
      <c r="A870" s="138" t="s">
        <v>678</v>
      </c>
      <c r="B870" s="12">
        <v>23</v>
      </c>
      <c r="C870" s="12">
        <v>71</v>
      </c>
      <c r="D870" s="12">
        <v>85.71</v>
      </c>
      <c r="E870" s="12" t="s">
        <v>45</v>
      </c>
      <c r="F870" s="12" t="s">
        <v>45</v>
      </c>
      <c r="G870" s="12" t="s">
        <v>223</v>
      </c>
      <c r="H870" s="12"/>
      <c r="I870" s="12" t="s">
        <v>45</v>
      </c>
      <c r="J870" s="12" t="s">
        <v>47</v>
      </c>
      <c r="K870" s="12" t="s">
        <v>49</v>
      </c>
      <c r="L870" s="12" t="s">
        <v>49</v>
      </c>
      <c r="M870" s="11" t="s">
        <v>50</v>
      </c>
      <c r="N870" s="11" t="s">
        <v>50</v>
      </c>
      <c r="O870" s="11" t="s">
        <v>50</v>
      </c>
      <c r="P870" s="11" t="s">
        <v>51</v>
      </c>
      <c r="Q870" s="50" t="s">
        <v>64</v>
      </c>
      <c r="R870" s="47">
        <v>12</v>
      </c>
      <c r="S870" s="48">
        <v>9.4</v>
      </c>
      <c r="T870" s="48">
        <v>2.8</v>
      </c>
      <c r="U870" s="48">
        <v>12</v>
      </c>
      <c r="V870" s="47">
        <v>8.6999999999999993</v>
      </c>
      <c r="W870" s="48">
        <v>2</v>
      </c>
      <c r="X870" s="130">
        <f t="shared" si="147"/>
        <v>-0.70000000000000107</v>
      </c>
      <c r="Y870" s="16">
        <f t="shared" si="148"/>
        <v>0.72111025509279791</v>
      </c>
      <c r="Z870" s="286" t="s">
        <v>53</v>
      </c>
      <c r="AA870" s="286" t="s">
        <v>53</v>
      </c>
      <c r="AB870" s="16">
        <v>0.72111025509279791</v>
      </c>
      <c r="AC870" s="66" t="s">
        <v>49</v>
      </c>
      <c r="AD870" s="51" t="s">
        <v>679</v>
      </c>
      <c r="AE870" s="13">
        <v>24</v>
      </c>
      <c r="AF870" s="13">
        <v>0</v>
      </c>
      <c r="AG870" s="13">
        <v>0</v>
      </c>
      <c r="AH870" s="134">
        <v>0</v>
      </c>
      <c r="AI870" s="134">
        <v>0</v>
      </c>
      <c r="AJ870" s="135">
        <f t="shared" si="146"/>
        <v>0</v>
      </c>
      <c r="AK870" s="45">
        <f t="shared" si="145"/>
        <v>0</v>
      </c>
      <c r="AL870" s="136" t="str" cm="1">
        <f t="array" ref="AL870">_xlfn.IFS(
AI870&lt;3,"Ligera",
AI870&lt;=6,"Moderada",
AI870&gt;6,"Vigorosa"
)</f>
        <v>Ligera</v>
      </c>
      <c r="AM870" s="45" t="s">
        <v>49</v>
      </c>
      <c r="AN870" s="45" t="s">
        <v>49</v>
      </c>
      <c r="AO870" s="45" t="s">
        <v>49</v>
      </c>
      <c r="AP870" s="45" t="s">
        <v>49</v>
      </c>
      <c r="AQ870" s="303">
        <v>0</v>
      </c>
    </row>
    <row r="871" spans="1:43" s="273" customFormat="1" ht="55.5" customHeight="1" thickBot="1">
      <c r="A871" s="138" t="s">
        <v>678</v>
      </c>
      <c r="B871" s="12">
        <v>23</v>
      </c>
      <c r="C871" s="12">
        <v>69.599999999999994</v>
      </c>
      <c r="D871" s="12">
        <v>80</v>
      </c>
      <c r="E871" s="12" t="s">
        <v>45</v>
      </c>
      <c r="F871" s="12" t="s">
        <v>45</v>
      </c>
      <c r="G871" s="12" t="s">
        <v>223</v>
      </c>
      <c r="H871" s="12"/>
      <c r="I871" s="12" t="s">
        <v>45</v>
      </c>
      <c r="J871" s="12" t="s">
        <v>47</v>
      </c>
      <c r="K871" s="12" t="s">
        <v>49</v>
      </c>
      <c r="L871" s="12" t="s">
        <v>49</v>
      </c>
      <c r="M871" s="11" t="s">
        <v>56</v>
      </c>
      <c r="N871" s="11" t="s">
        <v>162</v>
      </c>
      <c r="O871" s="11" t="s">
        <v>163</v>
      </c>
      <c r="P871" s="11" t="s">
        <v>51</v>
      </c>
      <c r="Q871" s="50" t="s">
        <v>64</v>
      </c>
      <c r="R871" s="47">
        <v>11</v>
      </c>
      <c r="S871" s="48">
        <v>10.7</v>
      </c>
      <c r="T871" s="48">
        <v>2.5</v>
      </c>
      <c r="U871" s="48">
        <v>11</v>
      </c>
      <c r="V871" s="47">
        <v>14.4</v>
      </c>
      <c r="W871" s="48">
        <v>2.1</v>
      </c>
      <c r="X871" s="130">
        <f t="shared" si="147"/>
        <v>3.7000000000000011</v>
      </c>
      <c r="Y871" s="16">
        <f t="shared" si="148"/>
        <v>0.70129749879646786</v>
      </c>
      <c r="Z871" s="15">
        <f t="shared" si="149"/>
        <v>4.4000000000000021</v>
      </c>
      <c r="AA871" s="16">
        <f t="shared" si="150"/>
        <v>4.1952380952380945</v>
      </c>
      <c r="AB871" s="16">
        <f t="shared" si="151"/>
        <v>0.8549786289659268</v>
      </c>
      <c r="AC871" s="66" t="s">
        <v>49</v>
      </c>
      <c r="AD871" s="51" t="s">
        <v>680</v>
      </c>
      <c r="AE871" s="13">
        <v>24</v>
      </c>
      <c r="AF871" s="13">
        <v>3</v>
      </c>
      <c r="AG871" s="13">
        <v>75</v>
      </c>
      <c r="AH871" s="134" t="s">
        <v>681</v>
      </c>
      <c r="AI871" s="134">
        <v>3.5</v>
      </c>
      <c r="AJ871" s="135">
        <v>252.5</v>
      </c>
      <c r="AK871" s="45">
        <f t="shared" ref="AK871:AK928" si="152">AJ871*AF871</f>
        <v>757.5</v>
      </c>
      <c r="AL871" s="136" t="str" cm="1">
        <f t="array" ref="AL871">_xlfn.IFS(
AI871&lt;3,"Ligera",
AI871&lt;=6,"Moderada",
AI871&gt;6,"Vigorosa"
)</f>
        <v>Moderada</v>
      </c>
      <c r="AM871" s="45" t="s">
        <v>49</v>
      </c>
      <c r="AN871" s="289" t="s">
        <v>49</v>
      </c>
      <c r="AO871" s="61" t="s">
        <v>61</v>
      </c>
      <c r="AP871" s="97" t="s">
        <v>62</v>
      </c>
      <c r="AQ871" s="303">
        <v>0</v>
      </c>
    </row>
    <row r="872" spans="1:43" s="273" customFormat="1" ht="55.5" customHeight="1" thickBot="1">
      <c r="A872" s="138" t="s">
        <v>678</v>
      </c>
      <c r="B872" s="12">
        <v>23</v>
      </c>
      <c r="C872" s="12">
        <v>71</v>
      </c>
      <c r="D872" s="12">
        <v>85.71</v>
      </c>
      <c r="E872" s="12" t="s">
        <v>45</v>
      </c>
      <c r="F872" s="12" t="s">
        <v>45</v>
      </c>
      <c r="G872" s="12" t="s">
        <v>223</v>
      </c>
      <c r="H872" s="12"/>
      <c r="I872" s="12" t="s">
        <v>45</v>
      </c>
      <c r="J872" s="12" t="s">
        <v>47</v>
      </c>
      <c r="K872" s="12" t="s">
        <v>49</v>
      </c>
      <c r="L872" s="12" t="s">
        <v>49</v>
      </c>
      <c r="M872" s="11" t="s">
        <v>50</v>
      </c>
      <c r="N872" s="11" t="s">
        <v>50</v>
      </c>
      <c r="O872" s="11" t="s">
        <v>50</v>
      </c>
      <c r="P872" s="11" t="s">
        <v>51</v>
      </c>
      <c r="Q872" s="50" t="s">
        <v>52</v>
      </c>
      <c r="R872" s="47">
        <v>12</v>
      </c>
      <c r="S872" s="48">
        <v>8.1</v>
      </c>
      <c r="T872" s="48">
        <v>3.8</v>
      </c>
      <c r="U872" s="48">
        <v>12</v>
      </c>
      <c r="V872" s="47">
        <v>10.7</v>
      </c>
      <c r="W872" s="48">
        <v>4.2</v>
      </c>
      <c r="X872" s="130">
        <f t="shared" si="147"/>
        <v>2.5999999999999996</v>
      </c>
      <c r="Y872" s="16">
        <f t="shared" si="148"/>
        <v>1.1590225767142472</v>
      </c>
      <c r="Z872" s="286" t="s">
        <v>53</v>
      </c>
      <c r="AA872" s="286" t="s">
        <v>53</v>
      </c>
      <c r="AB872" s="16">
        <v>1.1590225767142472</v>
      </c>
      <c r="AC872" s="66" t="s">
        <v>48</v>
      </c>
      <c r="AD872" s="51" t="s">
        <v>679</v>
      </c>
      <c r="AE872" s="13">
        <v>24</v>
      </c>
      <c r="AF872" s="13">
        <v>0</v>
      </c>
      <c r="AG872" s="13">
        <v>0</v>
      </c>
      <c r="AH872" s="134">
        <v>0</v>
      </c>
      <c r="AI872" s="134">
        <v>0</v>
      </c>
      <c r="AJ872" s="135">
        <f t="shared" si="146"/>
        <v>0</v>
      </c>
      <c r="AK872" s="45">
        <f t="shared" si="152"/>
        <v>0</v>
      </c>
      <c r="AL872" s="136" t="str" cm="1">
        <f t="array" ref="AL872">_xlfn.IFS(
AI872&lt;3,"Ligera",
AI872&lt;=6,"Moderada",
AI872&gt;6,"Vigorosa"
)</f>
        <v>Ligera</v>
      </c>
      <c r="AM872" s="45" t="s">
        <v>49</v>
      </c>
      <c r="AN872" s="45" t="s">
        <v>49</v>
      </c>
      <c r="AO872" s="45" t="s">
        <v>49</v>
      </c>
      <c r="AP872" s="45" t="s">
        <v>49</v>
      </c>
      <c r="AQ872" s="303">
        <v>0</v>
      </c>
    </row>
    <row r="873" spans="1:43" s="273" customFormat="1" ht="55.5" customHeight="1" thickBot="1">
      <c r="A873" s="138" t="s">
        <v>678</v>
      </c>
      <c r="B873" s="12">
        <v>23</v>
      </c>
      <c r="C873" s="12">
        <v>69.599999999999994</v>
      </c>
      <c r="D873" s="12">
        <v>80</v>
      </c>
      <c r="E873" s="12" t="s">
        <v>45</v>
      </c>
      <c r="F873" s="12" t="s">
        <v>45</v>
      </c>
      <c r="G873" s="12" t="s">
        <v>223</v>
      </c>
      <c r="H873" s="12"/>
      <c r="I873" s="12" t="s">
        <v>45</v>
      </c>
      <c r="J873" s="12" t="s">
        <v>47</v>
      </c>
      <c r="K873" s="12" t="s">
        <v>49</v>
      </c>
      <c r="L873" s="12" t="s">
        <v>49</v>
      </c>
      <c r="M873" s="11" t="s">
        <v>56</v>
      </c>
      <c r="N873" s="11" t="s">
        <v>162</v>
      </c>
      <c r="O873" s="11" t="s">
        <v>163</v>
      </c>
      <c r="P873" s="11" t="s">
        <v>51</v>
      </c>
      <c r="Q873" s="50" t="s">
        <v>52</v>
      </c>
      <c r="R873" s="47">
        <v>11</v>
      </c>
      <c r="S873" s="48">
        <v>7.5</v>
      </c>
      <c r="T873" s="48">
        <v>1.5</v>
      </c>
      <c r="U873" s="48">
        <v>11</v>
      </c>
      <c r="V873" s="47">
        <v>6.1</v>
      </c>
      <c r="W873" s="48">
        <v>1.1000000000000001</v>
      </c>
      <c r="X873" s="130">
        <f t="shared" si="147"/>
        <v>-1.4000000000000004</v>
      </c>
      <c r="Y873" s="16">
        <f t="shared" si="148"/>
        <v>0.4056420275876928</v>
      </c>
      <c r="Z873" s="15">
        <f t="shared" si="149"/>
        <v>-4</v>
      </c>
      <c r="AA873" s="16">
        <f t="shared" si="150"/>
        <v>9.8161904761904761</v>
      </c>
      <c r="AB873" s="16">
        <f t="shared" si="151"/>
        <v>1.307821404243265</v>
      </c>
      <c r="AC873" s="66" t="s">
        <v>48</v>
      </c>
      <c r="AD873" s="51" t="s">
        <v>680</v>
      </c>
      <c r="AE873" s="13">
        <v>24</v>
      </c>
      <c r="AF873" s="13">
        <v>3</v>
      </c>
      <c r="AG873" s="13">
        <v>75</v>
      </c>
      <c r="AH873" s="134" t="s">
        <v>681</v>
      </c>
      <c r="AI873" s="134">
        <v>3.5</v>
      </c>
      <c r="AJ873" s="135">
        <v>252.5</v>
      </c>
      <c r="AK873" s="45">
        <f t="shared" si="152"/>
        <v>757.5</v>
      </c>
      <c r="AL873" s="136" t="str" cm="1">
        <f t="array" ref="AL873">_xlfn.IFS(
AI873&lt;3,"Ligera",
AI873&lt;=6,"Moderada",
AI873&gt;6,"Vigorosa"
)</f>
        <v>Moderada</v>
      </c>
      <c r="AM873" s="45" t="s">
        <v>49</v>
      </c>
      <c r="AN873" s="289" t="s">
        <v>49</v>
      </c>
      <c r="AO873" s="61" t="s">
        <v>61</v>
      </c>
      <c r="AP873" s="97" t="s">
        <v>62</v>
      </c>
      <c r="AQ873" s="303">
        <v>0</v>
      </c>
    </row>
    <row r="874" spans="1:43" s="273" customFormat="1" ht="55.5" customHeight="1" thickBot="1">
      <c r="A874" s="138" t="s">
        <v>678</v>
      </c>
      <c r="B874" s="12">
        <v>23</v>
      </c>
      <c r="C874" s="12">
        <v>71</v>
      </c>
      <c r="D874" s="12">
        <v>85.71</v>
      </c>
      <c r="E874" s="12" t="s">
        <v>45</v>
      </c>
      <c r="F874" s="12" t="s">
        <v>45</v>
      </c>
      <c r="G874" s="12" t="s">
        <v>223</v>
      </c>
      <c r="H874" s="12"/>
      <c r="I874" s="12" t="s">
        <v>45</v>
      </c>
      <c r="J874" s="12" t="s">
        <v>47</v>
      </c>
      <c r="K874" s="12" t="s">
        <v>49</v>
      </c>
      <c r="L874" s="12" t="s">
        <v>49</v>
      </c>
      <c r="M874" s="11" t="s">
        <v>50</v>
      </c>
      <c r="N874" s="11" t="s">
        <v>50</v>
      </c>
      <c r="O874" s="11" t="s">
        <v>50</v>
      </c>
      <c r="P874" s="11" t="s">
        <v>51</v>
      </c>
      <c r="Q874" s="50" t="s">
        <v>81</v>
      </c>
      <c r="R874" s="47">
        <v>12</v>
      </c>
      <c r="S874" s="48">
        <v>10.7</v>
      </c>
      <c r="T874" s="48">
        <v>3.3</v>
      </c>
      <c r="U874" s="48">
        <v>12</v>
      </c>
      <c r="V874" s="47">
        <v>10.7</v>
      </c>
      <c r="W874" s="48">
        <v>2.7</v>
      </c>
      <c r="X874" s="130">
        <f t="shared" si="147"/>
        <v>0</v>
      </c>
      <c r="Y874" s="16">
        <f t="shared" si="148"/>
        <v>0.87891979156234723</v>
      </c>
      <c r="Z874" s="286" t="s">
        <v>53</v>
      </c>
      <c r="AA874" s="286" t="s">
        <v>53</v>
      </c>
      <c r="AB874" s="16">
        <v>0.87891979156234723</v>
      </c>
      <c r="AC874" s="66" t="s">
        <v>49</v>
      </c>
      <c r="AD874" s="51" t="s">
        <v>679</v>
      </c>
      <c r="AE874" s="13">
        <v>24</v>
      </c>
      <c r="AF874" s="13">
        <v>0</v>
      </c>
      <c r="AG874" s="13">
        <v>0</v>
      </c>
      <c r="AH874" s="134">
        <v>0</v>
      </c>
      <c r="AI874" s="134">
        <v>0</v>
      </c>
      <c r="AJ874" s="135">
        <f t="shared" si="146"/>
        <v>0</v>
      </c>
      <c r="AK874" s="45">
        <f t="shared" si="152"/>
        <v>0</v>
      </c>
      <c r="AL874" s="136" t="str" cm="1">
        <f t="array" ref="AL874">_xlfn.IFS(
AI874&lt;3,"Ligera",
AI874&lt;=6,"Moderada",
AI874&gt;6,"Vigorosa"
)</f>
        <v>Ligera</v>
      </c>
      <c r="AM874" s="45" t="s">
        <v>49</v>
      </c>
      <c r="AN874" s="45" t="s">
        <v>49</v>
      </c>
      <c r="AO874" s="45" t="s">
        <v>49</v>
      </c>
      <c r="AP874" s="45" t="s">
        <v>49</v>
      </c>
      <c r="AQ874" s="303">
        <v>0</v>
      </c>
    </row>
    <row r="875" spans="1:43" s="273" customFormat="1" ht="55.5" customHeight="1" thickBot="1">
      <c r="A875" s="138" t="s">
        <v>678</v>
      </c>
      <c r="B875" s="12">
        <v>23</v>
      </c>
      <c r="C875" s="12">
        <v>69.599999999999994</v>
      </c>
      <c r="D875" s="12">
        <v>80</v>
      </c>
      <c r="E875" s="12" t="s">
        <v>45</v>
      </c>
      <c r="F875" s="12" t="s">
        <v>45</v>
      </c>
      <c r="G875" s="12" t="s">
        <v>223</v>
      </c>
      <c r="H875" s="12"/>
      <c r="I875" s="12" t="s">
        <v>45</v>
      </c>
      <c r="J875" s="12" t="s">
        <v>47</v>
      </c>
      <c r="K875" s="12" t="s">
        <v>49</v>
      </c>
      <c r="L875" s="12" t="s">
        <v>49</v>
      </c>
      <c r="M875" s="11" t="s">
        <v>56</v>
      </c>
      <c r="N875" s="11" t="s">
        <v>162</v>
      </c>
      <c r="O875" s="11" t="s">
        <v>163</v>
      </c>
      <c r="P875" s="11" t="s">
        <v>51</v>
      </c>
      <c r="Q875" s="50" t="s">
        <v>81</v>
      </c>
      <c r="R875" s="47">
        <v>11</v>
      </c>
      <c r="S875" s="48">
        <v>13</v>
      </c>
      <c r="T875" s="48">
        <v>3.3</v>
      </c>
      <c r="U875" s="302">
        <v>11</v>
      </c>
      <c r="V875" s="48">
        <v>15.2</v>
      </c>
      <c r="W875" s="47">
        <v>3.2</v>
      </c>
      <c r="X875" s="130">
        <f t="shared" si="147"/>
        <v>2.1999999999999993</v>
      </c>
      <c r="Y875" s="16">
        <f t="shared" si="148"/>
        <v>0.98025970584794064</v>
      </c>
      <c r="Z875" s="15">
        <f t="shared" si="149"/>
        <v>2.1999999999999993</v>
      </c>
      <c r="AA875" s="16">
        <f t="shared" si="150"/>
        <v>8.694761904761906</v>
      </c>
      <c r="AB875" s="16">
        <f t="shared" si="151"/>
        <v>1.2308518970600779</v>
      </c>
      <c r="AC875" s="66" t="s">
        <v>49</v>
      </c>
      <c r="AD875" s="51" t="s">
        <v>680</v>
      </c>
      <c r="AE875" s="13">
        <v>24</v>
      </c>
      <c r="AF875" s="13">
        <v>3</v>
      </c>
      <c r="AG875" s="13">
        <v>75</v>
      </c>
      <c r="AH875" s="134" t="s">
        <v>681</v>
      </c>
      <c r="AI875" s="134">
        <v>3.5</v>
      </c>
      <c r="AJ875" s="135">
        <v>252.5</v>
      </c>
      <c r="AK875" s="45">
        <f t="shared" si="152"/>
        <v>757.5</v>
      </c>
      <c r="AL875" s="136" t="str" cm="1">
        <f t="array" ref="AL875">_xlfn.IFS(
AI875&lt;3,"Ligera",
AI875&lt;=6,"Moderada",
AI875&gt;6,"Vigorosa"
)</f>
        <v>Moderada</v>
      </c>
      <c r="AM875" s="45" t="s">
        <v>49</v>
      </c>
      <c r="AN875" s="289" t="s">
        <v>49</v>
      </c>
      <c r="AO875" s="61" t="s">
        <v>61</v>
      </c>
      <c r="AP875" s="97" t="s">
        <v>62</v>
      </c>
      <c r="AQ875" s="303">
        <v>0</v>
      </c>
    </row>
    <row r="876" spans="1:43" s="273" customFormat="1" ht="55.5" customHeight="1" thickBot="1">
      <c r="A876" s="138" t="s">
        <v>678</v>
      </c>
      <c r="B876" s="12">
        <v>23</v>
      </c>
      <c r="C876" s="12">
        <v>71</v>
      </c>
      <c r="D876" s="12">
        <v>85.71</v>
      </c>
      <c r="E876" s="12" t="s">
        <v>45</v>
      </c>
      <c r="F876" s="12" t="s">
        <v>45</v>
      </c>
      <c r="G876" s="12" t="s">
        <v>223</v>
      </c>
      <c r="H876" s="12"/>
      <c r="I876" s="12" t="s">
        <v>45</v>
      </c>
      <c r="J876" s="12" t="s">
        <v>47</v>
      </c>
      <c r="K876" s="12" t="s">
        <v>49</v>
      </c>
      <c r="L876" s="12" t="s">
        <v>49</v>
      </c>
      <c r="M876" s="11" t="s">
        <v>50</v>
      </c>
      <c r="N876" s="11" t="s">
        <v>50</v>
      </c>
      <c r="O876" s="11" t="s">
        <v>50</v>
      </c>
      <c r="P876" s="11" t="s">
        <v>51</v>
      </c>
      <c r="Q876" s="50" t="s">
        <v>83</v>
      </c>
      <c r="R876" s="47">
        <v>12</v>
      </c>
      <c r="S876" s="48">
        <v>-14.3</v>
      </c>
      <c r="T876" s="48">
        <v>12.2</v>
      </c>
      <c r="U876" s="48">
        <v>12</v>
      </c>
      <c r="V876" s="47">
        <v>-15.8</v>
      </c>
      <c r="W876" s="48">
        <v>12.3</v>
      </c>
      <c r="X876" s="130">
        <f t="shared" si="147"/>
        <v>-1.5</v>
      </c>
      <c r="Y876" s="16">
        <f t="shared" si="148"/>
        <v>3.5363587676214832</v>
      </c>
      <c r="Z876" s="286" t="s">
        <v>53</v>
      </c>
      <c r="AA876" s="286" t="s">
        <v>53</v>
      </c>
      <c r="AB876" s="16">
        <v>3.5363587676214832</v>
      </c>
      <c r="AC876" s="66" t="s">
        <v>49</v>
      </c>
      <c r="AD876" s="51" t="s">
        <v>679</v>
      </c>
      <c r="AE876" s="13">
        <v>24</v>
      </c>
      <c r="AF876" s="13">
        <v>0</v>
      </c>
      <c r="AG876" s="13">
        <v>0</v>
      </c>
      <c r="AH876" s="134">
        <v>0</v>
      </c>
      <c r="AI876" s="134">
        <v>0</v>
      </c>
      <c r="AJ876" s="135">
        <f t="shared" si="146"/>
        <v>0</v>
      </c>
      <c r="AK876" s="45">
        <f t="shared" si="152"/>
        <v>0</v>
      </c>
      <c r="AL876" s="136" t="str" cm="1">
        <f t="array" ref="AL876">_xlfn.IFS(
AI876&lt;3,"Ligera",
AI876&lt;=6,"Moderada",
AI876&gt;6,"Vigorosa"
)</f>
        <v>Ligera</v>
      </c>
      <c r="AM876" s="45" t="s">
        <v>49</v>
      </c>
      <c r="AN876" s="45" t="s">
        <v>49</v>
      </c>
      <c r="AO876" s="45" t="s">
        <v>49</v>
      </c>
      <c r="AP876" s="45" t="s">
        <v>49</v>
      </c>
      <c r="AQ876" s="303">
        <v>0</v>
      </c>
    </row>
    <row r="877" spans="1:43" s="273" customFormat="1" ht="55.5" customHeight="1" thickBot="1">
      <c r="A877" s="140" t="s">
        <v>678</v>
      </c>
      <c r="B877" s="141">
        <v>23</v>
      </c>
      <c r="C877" s="141">
        <v>69.599999999999994</v>
      </c>
      <c r="D877" s="141">
        <v>80</v>
      </c>
      <c r="E877" s="141" t="s">
        <v>45</v>
      </c>
      <c r="F877" s="141" t="s">
        <v>45</v>
      </c>
      <c r="G877" s="141" t="s">
        <v>223</v>
      </c>
      <c r="H877" s="141"/>
      <c r="I877" s="141" t="s">
        <v>45</v>
      </c>
      <c r="J877" s="141" t="s">
        <v>47</v>
      </c>
      <c r="K877" s="141" t="s">
        <v>49</v>
      </c>
      <c r="L877" s="141" t="s">
        <v>49</v>
      </c>
      <c r="M877" s="142" t="s">
        <v>56</v>
      </c>
      <c r="N877" s="142" t="s">
        <v>162</v>
      </c>
      <c r="O877" s="142" t="s">
        <v>163</v>
      </c>
      <c r="P877" s="142" t="s">
        <v>51</v>
      </c>
      <c r="Q877" s="158" t="s">
        <v>83</v>
      </c>
      <c r="R877" s="169">
        <v>11</v>
      </c>
      <c r="S877" s="170">
        <v>-10.3</v>
      </c>
      <c r="T877" s="170">
        <v>11.2</v>
      </c>
      <c r="U877" s="170">
        <v>11</v>
      </c>
      <c r="V877" s="169">
        <v>-8.1999999999999993</v>
      </c>
      <c r="W877" s="170">
        <v>9.8000000000000007</v>
      </c>
      <c r="X877" s="130">
        <f t="shared" si="147"/>
        <v>2.1000000000000014</v>
      </c>
      <c r="Y877" s="16">
        <f t="shared" si="148"/>
        <v>3.1869050246851787</v>
      </c>
      <c r="Z877" s="15">
        <f t="shared" si="149"/>
        <v>3.6000000000000014</v>
      </c>
      <c r="AA877" s="16">
        <f t="shared" si="150"/>
        <v>124.98047619047622</v>
      </c>
      <c r="AB877" s="16">
        <f t="shared" si="151"/>
        <v>4.6665727417882561</v>
      </c>
      <c r="AC877" s="66" t="s">
        <v>49</v>
      </c>
      <c r="AD877" s="151" t="s">
        <v>680</v>
      </c>
      <c r="AE877" s="146">
        <v>24</v>
      </c>
      <c r="AF877" s="146">
        <v>3</v>
      </c>
      <c r="AG877" s="146">
        <v>75</v>
      </c>
      <c r="AH877" s="134" t="s">
        <v>681</v>
      </c>
      <c r="AI877" s="134">
        <v>3.5</v>
      </c>
      <c r="AJ877" s="135">
        <v>252.5</v>
      </c>
      <c r="AK877" s="45">
        <f t="shared" si="152"/>
        <v>757.5</v>
      </c>
      <c r="AL877" s="136" t="str" cm="1">
        <f t="array" ref="AL877">_xlfn.IFS(
AI877&lt;3,"Ligera",
AI877&lt;=6,"Moderada",
AI877&gt;6,"Vigorosa"
)</f>
        <v>Moderada</v>
      </c>
      <c r="AM877" s="147" t="s">
        <v>49</v>
      </c>
      <c r="AN877" s="290" t="s">
        <v>49</v>
      </c>
      <c r="AO877" s="240" t="s">
        <v>61</v>
      </c>
      <c r="AP877" s="247" t="s">
        <v>62</v>
      </c>
      <c r="AQ877" s="301">
        <v>0</v>
      </c>
    </row>
    <row r="878" spans="1:43" s="273" customFormat="1" ht="55.5" customHeight="1" thickBot="1">
      <c r="A878" s="138" t="s">
        <v>682</v>
      </c>
      <c r="B878" s="12">
        <v>20</v>
      </c>
      <c r="C878" s="12">
        <v>80.900000000000006</v>
      </c>
      <c r="D878" s="12">
        <v>0</v>
      </c>
      <c r="E878" s="12" t="s">
        <v>45</v>
      </c>
      <c r="F878" s="12" t="s">
        <v>45</v>
      </c>
      <c r="G878" s="12" t="s">
        <v>570</v>
      </c>
      <c r="H878" s="12"/>
      <c r="I878" s="12" t="s">
        <v>45</v>
      </c>
      <c r="J878" s="12" t="s">
        <v>47</v>
      </c>
      <c r="K878" s="12" t="s">
        <v>49</v>
      </c>
      <c r="L878" s="12" t="s">
        <v>49</v>
      </c>
      <c r="M878" s="11" t="s">
        <v>56</v>
      </c>
      <c r="N878" s="11" t="s">
        <v>57</v>
      </c>
      <c r="O878" s="11" t="s">
        <v>58</v>
      </c>
      <c r="P878" s="11" t="s">
        <v>51</v>
      </c>
      <c r="Q878" s="50" t="s">
        <v>210</v>
      </c>
      <c r="R878" s="47">
        <v>10</v>
      </c>
      <c r="S878" s="48">
        <v>1.44</v>
      </c>
      <c r="T878" s="48">
        <v>0.24</v>
      </c>
      <c r="U878" s="48">
        <v>10</v>
      </c>
      <c r="V878" s="47">
        <v>1.45</v>
      </c>
      <c r="W878" s="48">
        <v>0.19</v>
      </c>
      <c r="X878" s="130">
        <f t="shared" si="147"/>
        <v>1.0000000000000009E-2</v>
      </c>
      <c r="Y878" s="16">
        <f t="shared" si="148"/>
        <v>6.9354163537598809E-2</v>
      </c>
      <c r="Z878" s="286" t="s">
        <v>53</v>
      </c>
      <c r="AA878" s="286" t="s">
        <v>53</v>
      </c>
      <c r="AB878" s="16">
        <v>6.9354163537598809E-2</v>
      </c>
      <c r="AC878" s="66" t="s">
        <v>49</v>
      </c>
      <c r="AD878" s="51" t="s">
        <v>683</v>
      </c>
      <c r="AE878" s="13">
        <v>12</v>
      </c>
      <c r="AF878" s="13">
        <v>3</v>
      </c>
      <c r="AG878" s="13">
        <v>30</v>
      </c>
      <c r="AH878" s="13">
        <v>205160</v>
      </c>
      <c r="AI878" s="13">
        <v>3</v>
      </c>
      <c r="AJ878" s="135">
        <f t="shared" si="146"/>
        <v>90</v>
      </c>
      <c r="AK878" s="45">
        <f t="shared" si="152"/>
        <v>270</v>
      </c>
      <c r="AL878" s="136" t="str" cm="1">
        <f t="array" ref="AL878">_xlfn.IFS(
AI878&lt;3,"Ligera",
AI878&lt;=6,"Moderada",
AI878&gt;6,"Vigorosa"
)</f>
        <v>Moderada</v>
      </c>
      <c r="AM878" s="45" t="s">
        <v>48</v>
      </c>
      <c r="AN878" s="289" t="s">
        <v>663</v>
      </c>
      <c r="AO878" s="61" t="s">
        <v>61</v>
      </c>
      <c r="AP878" s="97" t="s">
        <v>684</v>
      </c>
      <c r="AQ878" s="303">
        <v>0</v>
      </c>
    </row>
    <row r="879" spans="1:43" s="273" customFormat="1" ht="55.5" customHeight="1" thickBot="1">
      <c r="A879" s="138" t="s">
        <v>682</v>
      </c>
      <c r="B879" s="12">
        <v>20</v>
      </c>
      <c r="C879" s="12">
        <v>80.2</v>
      </c>
      <c r="D879" s="12">
        <v>0</v>
      </c>
      <c r="E879" s="12" t="s">
        <v>45</v>
      </c>
      <c r="F879" s="12" t="s">
        <v>45</v>
      </c>
      <c r="G879" s="12" t="s">
        <v>570</v>
      </c>
      <c r="H879" s="12"/>
      <c r="I879" s="12" t="s">
        <v>45</v>
      </c>
      <c r="J879" s="12" t="s">
        <v>47</v>
      </c>
      <c r="K879" s="12" t="s">
        <v>49</v>
      </c>
      <c r="L879" s="12" t="s">
        <v>49</v>
      </c>
      <c r="M879" s="11" t="s">
        <v>56</v>
      </c>
      <c r="N879" s="11" t="s">
        <v>233</v>
      </c>
      <c r="O879" s="11" t="s">
        <v>233</v>
      </c>
      <c r="P879" s="11" t="s">
        <v>51</v>
      </c>
      <c r="Q879" s="50" t="s">
        <v>210</v>
      </c>
      <c r="R879" s="47">
        <v>10</v>
      </c>
      <c r="S879" s="48">
        <v>1.38</v>
      </c>
      <c r="T879" s="48">
        <v>0.18</v>
      </c>
      <c r="U879" s="48">
        <v>10</v>
      </c>
      <c r="V879" s="47">
        <v>1.5</v>
      </c>
      <c r="W879" s="48">
        <v>0.2</v>
      </c>
      <c r="X879" s="130">
        <f t="shared" si="147"/>
        <v>0.12000000000000011</v>
      </c>
      <c r="Y879" s="16">
        <f t="shared" si="148"/>
        <v>6.033241251599343E-2</v>
      </c>
      <c r="Z879" s="15">
        <f t="shared" si="149"/>
        <v>0.1100000000000001</v>
      </c>
      <c r="AA879" s="16">
        <f t="shared" si="150"/>
        <v>3.805E-2</v>
      </c>
      <c r="AB879" s="16">
        <f t="shared" si="151"/>
        <v>8.7235313950257562E-2</v>
      </c>
      <c r="AC879" s="66" t="s">
        <v>49</v>
      </c>
      <c r="AD879" s="51" t="s">
        <v>685</v>
      </c>
      <c r="AE879" s="13">
        <v>12</v>
      </c>
      <c r="AF879" s="13">
        <v>3</v>
      </c>
      <c r="AG879" s="13">
        <v>30</v>
      </c>
      <c r="AH879" s="134">
        <v>211360</v>
      </c>
      <c r="AI879" s="134">
        <v>3.5</v>
      </c>
      <c r="AJ879" s="135">
        <f t="shared" si="146"/>
        <v>105</v>
      </c>
      <c r="AK879" s="45">
        <f t="shared" si="152"/>
        <v>315</v>
      </c>
      <c r="AL879" s="136" t="str" cm="1">
        <f t="array" ref="AL879">_xlfn.IFS(
AI879&lt;3,"Ligera",
AI879&lt;=6,"Moderada",
AI879&gt;6,"Vigorosa"
)</f>
        <v>Moderada</v>
      </c>
      <c r="AM879" s="45" t="s">
        <v>49</v>
      </c>
      <c r="AN879" s="289" t="s">
        <v>49</v>
      </c>
      <c r="AO879" s="61" t="s">
        <v>61</v>
      </c>
      <c r="AP879" s="97" t="s">
        <v>684</v>
      </c>
      <c r="AQ879" s="303">
        <v>0</v>
      </c>
    </row>
    <row r="880" spans="1:43" s="273" customFormat="1" ht="55.5" customHeight="1" thickBot="1">
      <c r="A880" s="138" t="s">
        <v>682</v>
      </c>
      <c r="B880" s="12">
        <v>20</v>
      </c>
      <c r="C880" s="12">
        <v>80.900000000000006</v>
      </c>
      <c r="D880" s="12">
        <v>0</v>
      </c>
      <c r="E880" s="12" t="s">
        <v>45</v>
      </c>
      <c r="F880" s="12" t="s">
        <v>45</v>
      </c>
      <c r="G880" s="12" t="s">
        <v>570</v>
      </c>
      <c r="H880" s="12"/>
      <c r="I880" s="12" t="s">
        <v>45</v>
      </c>
      <c r="J880" s="12" t="s">
        <v>47</v>
      </c>
      <c r="K880" s="12" t="s">
        <v>49</v>
      </c>
      <c r="L880" s="12" t="s">
        <v>49</v>
      </c>
      <c r="M880" s="11" t="s">
        <v>56</v>
      </c>
      <c r="N880" s="11" t="s">
        <v>57</v>
      </c>
      <c r="O880" s="11" t="s">
        <v>58</v>
      </c>
      <c r="P880" s="11" t="s">
        <v>51</v>
      </c>
      <c r="Q880" s="50" t="s">
        <v>124</v>
      </c>
      <c r="R880" s="47">
        <v>10</v>
      </c>
      <c r="S880" s="48">
        <v>9.06</v>
      </c>
      <c r="T880" s="48">
        <v>2.1</v>
      </c>
      <c r="U880" s="48">
        <v>10</v>
      </c>
      <c r="V880" s="47">
        <v>8.5299999999999994</v>
      </c>
      <c r="W880" s="48">
        <v>1.85</v>
      </c>
      <c r="X880" s="130">
        <f t="shared" si="147"/>
        <v>-0.53000000000000114</v>
      </c>
      <c r="Y880" s="16">
        <f t="shared" si="148"/>
        <v>0.62829133369799084</v>
      </c>
      <c r="Z880" s="286" t="s">
        <v>53</v>
      </c>
      <c r="AA880" s="286" t="s">
        <v>53</v>
      </c>
      <c r="AB880" s="16">
        <v>0.62829133369799084</v>
      </c>
      <c r="AC880" s="66" t="s">
        <v>48</v>
      </c>
      <c r="AD880" s="51" t="s">
        <v>683</v>
      </c>
      <c r="AE880" s="13">
        <v>12</v>
      </c>
      <c r="AF880" s="13">
        <v>3</v>
      </c>
      <c r="AG880" s="13">
        <v>30</v>
      </c>
      <c r="AH880" s="13">
        <v>205160</v>
      </c>
      <c r="AI880" s="13">
        <v>3</v>
      </c>
      <c r="AJ880" s="135">
        <f t="shared" si="146"/>
        <v>90</v>
      </c>
      <c r="AK880" s="45">
        <f t="shared" si="152"/>
        <v>270</v>
      </c>
      <c r="AL880" s="136" t="str" cm="1">
        <f t="array" ref="AL880">_xlfn.IFS(
AI880&lt;3,"Ligera",
AI880&lt;=6,"Moderada",
AI880&gt;6,"Vigorosa"
)</f>
        <v>Moderada</v>
      </c>
      <c r="AM880" s="45" t="s">
        <v>48</v>
      </c>
      <c r="AN880" s="289" t="s">
        <v>663</v>
      </c>
      <c r="AO880" s="61" t="s">
        <v>61</v>
      </c>
      <c r="AP880" s="97" t="s">
        <v>684</v>
      </c>
      <c r="AQ880" s="303">
        <v>0</v>
      </c>
    </row>
    <row r="881" spans="1:45" s="273" customFormat="1" ht="55.5" customHeight="1" thickBot="1">
      <c r="A881" s="138" t="s">
        <v>682</v>
      </c>
      <c r="B881" s="12">
        <v>20</v>
      </c>
      <c r="C881" s="12">
        <v>80.2</v>
      </c>
      <c r="D881" s="12">
        <v>0</v>
      </c>
      <c r="E881" s="12" t="s">
        <v>45</v>
      </c>
      <c r="F881" s="12" t="s">
        <v>45</v>
      </c>
      <c r="G881" s="12" t="s">
        <v>570</v>
      </c>
      <c r="H881" s="12"/>
      <c r="I881" s="12" t="s">
        <v>45</v>
      </c>
      <c r="J881" s="12" t="s">
        <v>47</v>
      </c>
      <c r="K881" s="12" t="s">
        <v>49</v>
      </c>
      <c r="L881" s="12" t="s">
        <v>49</v>
      </c>
      <c r="M881" s="11" t="s">
        <v>56</v>
      </c>
      <c r="N881" s="11" t="s">
        <v>233</v>
      </c>
      <c r="O881" s="11" t="s">
        <v>233</v>
      </c>
      <c r="P881" s="11" t="s">
        <v>51</v>
      </c>
      <c r="Q881" s="50" t="s">
        <v>124</v>
      </c>
      <c r="R881" s="47">
        <v>10</v>
      </c>
      <c r="S881" s="48">
        <v>8.52</v>
      </c>
      <c r="T881" s="48">
        <v>1.89</v>
      </c>
      <c r="U881" s="48">
        <v>10</v>
      </c>
      <c r="V881" s="47">
        <v>8.4600000000000009</v>
      </c>
      <c r="W881" s="48">
        <v>1.59</v>
      </c>
      <c r="X881" s="130">
        <f t="shared" si="147"/>
        <v>-5.9999999999998721E-2</v>
      </c>
      <c r="Y881" s="16">
        <f t="shared" si="148"/>
        <v>0.55633622927147208</v>
      </c>
      <c r="Z881" s="15">
        <f t="shared" si="149"/>
        <v>0.47000000000000242</v>
      </c>
      <c r="AA881" s="16">
        <f t="shared" si="150"/>
        <v>2.9753000000000003</v>
      </c>
      <c r="AB881" s="16">
        <f t="shared" si="151"/>
        <v>0.77140132227006197</v>
      </c>
      <c r="AC881" s="66" t="s">
        <v>48</v>
      </c>
      <c r="AD881" s="51" t="s">
        <v>685</v>
      </c>
      <c r="AE881" s="13">
        <v>12</v>
      </c>
      <c r="AF881" s="13">
        <v>3</v>
      </c>
      <c r="AG881" s="13">
        <v>30</v>
      </c>
      <c r="AH881" s="134">
        <v>211360</v>
      </c>
      <c r="AI881" s="134">
        <v>3.5</v>
      </c>
      <c r="AJ881" s="135">
        <f t="shared" si="146"/>
        <v>105</v>
      </c>
      <c r="AK881" s="45">
        <f t="shared" si="152"/>
        <v>315</v>
      </c>
      <c r="AL881" s="136" t="str" cm="1">
        <f t="array" ref="AL881">_xlfn.IFS(
AI881&lt;3,"Ligera",
AI881&lt;=6,"Moderada",
AI881&gt;6,"Vigorosa"
)</f>
        <v>Moderada</v>
      </c>
      <c r="AM881" s="45" t="s">
        <v>49</v>
      </c>
      <c r="AN881" s="289" t="s">
        <v>49</v>
      </c>
      <c r="AO881" s="61" t="s">
        <v>61</v>
      </c>
      <c r="AP881" s="97" t="s">
        <v>684</v>
      </c>
      <c r="AQ881" s="303">
        <v>0</v>
      </c>
    </row>
    <row r="882" spans="1:45" s="273" customFormat="1" ht="55.5" customHeight="1" thickBot="1">
      <c r="A882" s="124" t="s">
        <v>686</v>
      </c>
      <c r="B882" s="125">
        <v>32</v>
      </c>
      <c r="C882" s="125">
        <v>72.900000000000006</v>
      </c>
      <c r="D882" s="125">
        <v>0</v>
      </c>
      <c r="E882" s="125" t="s">
        <v>45</v>
      </c>
      <c r="F882" s="125" t="s">
        <v>45</v>
      </c>
      <c r="G882" s="125" t="s">
        <v>592</v>
      </c>
      <c r="H882" s="125"/>
      <c r="I882" s="125" t="s">
        <v>45</v>
      </c>
      <c r="J882" s="125" t="s">
        <v>47</v>
      </c>
      <c r="K882" s="125" t="s">
        <v>49</v>
      </c>
      <c r="L882" s="125" t="s">
        <v>49</v>
      </c>
      <c r="M882" s="126" t="s">
        <v>50</v>
      </c>
      <c r="N882" s="126" t="s">
        <v>50</v>
      </c>
      <c r="O882" s="126" t="s">
        <v>50</v>
      </c>
      <c r="P882" s="126" t="s">
        <v>51</v>
      </c>
      <c r="Q882" s="159" t="s">
        <v>83</v>
      </c>
      <c r="R882" s="167">
        <v>10</v>
      </c>
      <c r="S882" s="168">
        <v>-11.9</v>
      </c>
      <c r="T882" s="168">
        <v>10.9</v>
      </c>
      <c r="U882" s="167">
        <v>10</v>
      </c>
      <c r="V882" s="167">
        <v>-12.7</v>
      </c>
      <c r="W882" s="168">
        <v>7.9</v>
      </c>
      <c r="X882" s="130">
        <f t="shared" si="147"/>
        <v>-0.79999999999999893</v>
      </c>
      <c r="Y882" s="16">
        <f t="shared" si="148"/>
        <v>3.0839909208686067</v>
      </c>
      <c r="Z882" s="286" t="s">
        <v>53</v>
      </c>
      <c r="AA882" s="286" t="s">
        <v>53</v>
      </c>
      <c r="AB882" s="16">
        <v>3.0839909208686067</v>
      </c>
      <c r="AC882" s="66" t="s">
        <v>49</v>
      </c>
      <c r="AD882" s="133" t="s">
        <v>687</v>
      </c>
      <c r="AE882" s="134">
        <v>12</v>
      </c>
      <c r="AF882" s="134">
        <v>0</v>
      </c>
      <c r="AG882" s="134">
        <v>0</v>
      </c>
      <c r="AH882" s="134">
        <v>0</v>
      </c>
      <c r="AI882" s="134">
        <v>0</v>
      </c>
      <c r="AJ882" s="135">
        <f t="shared" si="146"/>
        <v>0</v>
      </c>
      <c r="AK882" s="45">
        <f t="shared" si="152"/>
        <v>0</v>
      </c>
      <c r="AL882" s="136" t="str" cm="1">
        <f t="array" ref="AL882">_xlfn.IFS(
AI882&lt;3,"Ligera",
AI882&lt;=6,"Moderada",
AI882&gt;6,"Vigorosa"
)</f>
        <v>Ligera</v>
      </c>
      <c r="AM882" s="136" t="s">
        <v>49</v>
      </c>
      <c r="AN882" s="136" t="s">
        <v>49</v>
      </c>
      <c r="AO882" s="136" t="s">
        <v>49</v>
      </c>
      <c r="AP882" s="136" t="s">
        <v>49</v>
      </c>
      <c r="AQ882" s="298">
        <v>0</v>
      </c>
    </row>
    <row r="883" spans="1:45" s="273" customFormat="1" ht="55.5" customHeight="1" thickBot="1">
      <c r="A883" s="138" t="s">
        <v>686</v>
      </c>
      <c r="B883" s="12">
        <v>32</v>
      </c>
      <c r="C883" s="12">
        <v>72.900000000000006</v>
      </c>
      <c r="D883" s="12">
        <v>0</v>
      </c>
      <c r="E883" s="12" t="s">
        <v>45</v>
      </c>
      <c r="F883" s="12" t="s">
        <v>45</v>
      </c>
      <c r="G883" s="12" t="s">
        <v>592</v>
      </c>
      <c r="H883" s="12"/>
      <c r="I883" s="12" t="s">
        <v>45</v>
      </c>
      <c r="J883" s="12" t="s">
        <v>47</v>
      </c>
      <c r="K883" s="12" t="s">
        <v>49</v>
      </c>
      <c r="L883" s="12" t="s">
        <v>49</v>
      </c>
      <c r="M883" s="11" t="s">
        <v>56</v>
      </c>
      <c r="N883" s="11" t="s">
        <v>57</v>
      </c>
      <c r="O883" s="11" t="s">
        <v>126</v>
      </c>
      <c r="P883" s="11" t="s">
        <v>51</v>
      </c>
      <c r="Q883" s="50" t="s">
        <v>83</v>
      </c>
      <c r="R883" s="47">
        <v>12</v>
      </c>
      <c r="S883" s="48">
        <v>-2.1</v>
      </c>
      <c r="T883" s="48">
        <v>10.1</v>
      </c>
      <c r="U883" s="47">
        <v>12</v>
      </c>
      <c r="V883" s="47">
        <v>0.2</v>
      </c>
      <c r="W883" s="48">
        <v>7.7</v>
      </c>
      <c r="X883" s="130">
        <f t="shared" si="147"/>
        <v>2.3000000000000003</v>
      </c>
      <c r="Y883" s="16">
        <f t="shared" si="148"/>
        <v>2.6383391240197565</v>
      </c>
      <c r="Z883" s="15">
        <f t="shared" si="149"/>
        <v>3.0999999999999992</v>
      </c>
      <c r="AA883" s="16">
        <f t="shared" si="150"/>
        <v>60.694000000000003</v>
      </c>
      <c r="AB883" s="16">
        <f t="shared" si="151"/>
        <v>3.3357507900521188</v>
      </c>
      <c r="AC883" s="66" t="s">
        <v>49</v>
      </c>
      <c r="AD883" s="51" t="s">
        <v>688</v>
      </c>
      <c r="AE883" s="13">
        <v>12</v>
      </c>
      <c r="AF883" s="13">
        <v>2</v>
      </c>
      <c r="AG883" s="13">
        <v>52.5</v>
      </c>
      <c r="AH883" s="134">
        <v>205460</v>
      </c>
      <c r="AI883" s="134">
        <v>4.3</v>
      </c>
      <c r="AJ883" s="135">
        <f t="shared" si="146"/>
        <v>225.75</v>
      </c>
      <c r="AK883" s="45">
        <f t="shared" si="152"/>
        <v>451.5</v>
      </c>
      <c r="AL883" s="136" t="str" cm="1">
        <f t="array" ref="AL883">_xlfn.IFS(
AI883&lt;3,"Ligera",
AI883&lt;=6,"Moderada",
AI883&gt;6,"Vigorosa"
)</f>
        <v>Moderada</v>
      </c>
      <c r="AM883" s="45" t="s">
        <v>48</v>
      </c>
      <c r="AN883" s="289" t="s">
        <v>663</v>
      </c>
      <c r="AO883" s="61" t="s">
        <v>61</v>
      </c>
      <c r="AP883" s="97" t="s">
        <v>62</v>
      </c>
      <c r="AQ883" s="303">
        <v>0</v>
      </c>
    </row>
    <row r="884" spans="1:45" s="273" customFormat="1" ht="55.5" customHeight="1" thickBot="1">
      <c r="A884" s="138" t="s">
        <v>686</v>
      </c>
      <c r="B884" s="12">
        <v>32</v>
      </c>
      <c r="C884" s="12">
        <v>72.900000000000006</v>
      </c>
      <c r="D884" s="12">
        <v>0</v>
      </c>
      <c r="E884" s="12" t="s">
        <v>45</v>
      </c>
      <c r="F884" s="12" t="s">
        <v>45</v>
      </c>
      <c r="G884" s="12" t="s">
        <v>592</v>
      </c>
      <c r="H884" s="12"/>
      <c r="I884" s="12" t="s">
        <v>45</v>
      </c>
      <c r="J884" s="12" t="s">
        <v>47</v>
      </c>
      <c r="K884" s="12" t="s">
        <v>49</v>
      </c>
      <c r="L884" s="12" t="s">
        <v>49</v>
      </c>
      <c r="M884" s="11" t="s">
        <v>56</v>
      </c>
      <c r="N884" s="11" t="s">
        <v>76</v>
      </c>
      <c r="O884" s="11" t="s">
        <v>103</v>
      </c>
      <c r="P884" s="11" t="s">
        <v>51</v>
      </c>
      <c r="Q884" s="50" t="s">
        <v>83</v>
      </c>
      <c r="R884" s="47">
        <v>10</v>
      </c>
      <c r="S884" s="48">
        <v>-0.4</v>
      </c>
      <c r="T884" s="48">
        <v>7.6</v>
      </c>
      <c r="U884" s="47">
        <v>10</v>
      </c>
      <c r="V884" s="47">
        <v>5.3</v>
      </c>
      <c r="W884" s="48">
        <v>4.8</v>
      </c>
      <c r="X884" s="130">
        <f t="shared" si="147"/>
        <v>5.7</v>
      </c>
      <c r="Y884" s="16">
        <f t="shared" si="148"/>
        <v>2.1052315787105229</v>
      </c>
      <c r="Z884" s="15">
        <f>X884-X882</f>
        <v>6.4999999999999991</v>
      </c>
      <c r="AA884" s="16">
        <f>((U884-1)*W884^2+(U882-1)*W882^2)/((U884-1)+(U882-1))</f>
        <v>42.725000000000001</v>
      </c>
      <c r="AB884" s="16">
        <f>SQRT(AA884*((1/U884)+(1/U882)))</f>
        <v>2.9231831964486932</v>
      </c>
      <c r="AC884" s="66" t="s">
        <v>49</v>
      </c>
      <c r="AD884" s="51" t="s">
        <v>689</v>
      </c>
      <c r="AE884" s="13">
        <v>12</v>
      </c>
      <c r="AF884" s="13">
        <v>2</v>
      </c>
      <c r="AG884" s="13">
        <v>52.5</v>
      </c>
      <c r="AH884" s="134" t="s">
        <v>690</v>
      </c>
      <c r="AI884" s="134">
        <v>4.05</v>
      </c>
      <c r="AJ884" s="135">
        <f t="shared" si="146"/>
        <v>212.625</v>
      </c>
      <c r="AK884" s="45">
        <f t="shared" si="152"/>
        <v>425.25</v>
      </c>
      <c r="AL884" s="136" t="str" cm="1">
        <f t="array" ref="AL884">_xlfn.IFS(
AI884&lt;3,"Ligera",
AI884&lt;=6,"Moderada",
AI884&gt;6,"Vigorosa"
)</f>
        <v>Moderada</v>
      </c>
      <c r="AM884" s="45" t="s">
        <v>48</v>
      </c>
      <c r="AN884" s="289" t="s">
        <v>663</v>
      </c>
      <c r="AO884" s="61" t="s">
        <v>61</v>
      </c>
      <c r="AP884" s="97" t="s">
        <v>62</v>
      </c>
      <c r="AQ884" s="303">
        <v>0</v>
      </c>
    </row>
    <row r="885" spans="1:45" s="273" customFormat="1" ht="55.5" customHeight="1" thickBot="1">
      <c r="A885" s="138" t="s">
        <v>686</v>
      </c>
      <c r="B885" s="12">
        <v>32</v>
      </c>
      <c r="C885" s="12">
        <v>72.900000000000006</v>
      </c>
      <c r="D885" s="12">
        <v>0</v>
      </c>
      <c r="E885" s="12" t="s">
        <v>45</v>
      </c>
      <c r="F885" s="12" t="s">
        <v>45</v>
      </c>
      <c r="G885" s="12" t="s">
        <v>592</v>
      </c>
      <c r="H885" s="12"/>
      <c r="I885" s="12" t="s">
        <v>45</v>
      </c>
      <c r="J885" s="12" t="s">
        <v>47</v>
      </c>
      <c r="K885" s="12" t="s">
        <v>49</v>
      </c>
      <c r="L885" s="12" t="s">
        <v>49</v>
      </c>
      <c r="M885" s="11" t="s">
        <v>50</v>
      </c>
      <c r="N885" s="11" t="s">
        <v>50</v>
      </c>
      <c r="O885" s="11" t="s">
        <v>50</v>
      </c>
      <c r="P885" s="11" t="s">
        <v>51</v>
      </c>
      <c r="Q885" s="50" t="s">
        <v>64</v>
      </c>
      <c r="R885" s="47">
        <v>10</v>
      </c>
      <c r="S885" s="48">
        <v>7</v>
      </c>
      <c r="T885" s="48">
        <v>2.5</v>
      </c>
      <c r="U885" s="47">
        <v>10</v>
      </c>
      <c r="V885" s="47">
        <v>6.5</v>
      </c>
      <c r="W885" s="48">
        <v>1.6</v>
      </c>
      <c r="X885" s="130">
        <f t="shared" si="147"/>
        <v>-0.5</v>
      </c>
      <c r="Y885" s="16">
        <f t="shared" si="148"/>
        <v>0.69354163537598812</v>
      </c>
      <c r="Z885" s="286" t="s">
        <v>53</v>
      </c>
      <c r="AA885" s="286" t="s">
        <v>53</v>
      </c>
      <c r="AB885" s="16">
        <v>0.69354163537598812</v>
      </c>
      <c r="AC885" s="66" t="s">
        <v>49</v>
      </c>
      <c r="AD885" s="51" t="s">
        <v>687</v>
      </c>
      <c r="AE885" s="13">
        <v>12</v>
      </c>
      <c r="AF885" s="13">
        <v>0</v>
      </c>
      <c r="AG885" s="13">
        <v>0</v>
      </c>
      <c r="AH885" s="134">
        <v>0</v>
      </c>
      <c r="AI885" s="134">
        <v>0</v>
      </c>
      <c r="AJ885" s="135">
        <f t="shared" si="146"/>
        <v>0</v>
      </c>
      <c r="AK885" s="45">
        <f t="shared" si="152"/>
        <v>0</v>
      </c>
      <c r="AL885" s="136" t="str" cm="1">
        <f t="array" ref="AL885">_xlfn.IFS(
AI885&lt;3,"Ligera",
AI885&lt;=6,"Moderada",
AI885&gt;6,"Vigorosa"
)</f>
        <v>Ligera</v>
      </c>
      <c r="AM885" s="45" t="s">
        <v>49</v>
      </c>
      <c r="AN885" s="45" t="s">
        <v>49</v>
      </c>
      <c r="AO885" s="45" t="s">
        <v>49</v>
      </c>
      <c r="AP885" s="45" t="s">
        <v>49</v>
      </c>
      <c r="AQ885" s="303">
        <v>0</v>
      </c>
    </row>
    <row r="886" spans="1:45" s="273" customFormat="1" ht="55.5" customHeight="1" thickBot="1">
      <c r="A886" s="138" t="s">
        <v>686</v>
      </c>
      <c r="B886" s="12">
        <v>32</v>
      </c>
      <c r="C886" s="12">
        <v>72.900000000000006</v>
      </c>
      <c r="D886" s="12">
        <v>0</v>
      </c>
      <c r="E886" s="12" t="s">
        <v>45</v>
      </c>
      <c r="F886" s="12" t="s">
        <v>45</v>
      </c>
      <c r="G886" s="12" t="s">
        <v>592</v>
      </c>
      <c r="H886" s="12"/>
      <c r="I886" s="12" t="s">
        <v>45</v>
      </c>
      <c r="J886" s="12" t="s">
        <v>47</v>
      </c>
      <c r="K886" s="12" t="s">
        <v>49</v>
      </c>
      <c r="L886" s="12" t="s">
        <v>49</v>
      </c>
      <c r="M886" s="11" t="s">
        <v>56</v>
      </c>
      <c r="N886" s="11" t="s">
        <v>57</v>
      </c>
      <c r="O886" s="11" t="s">
        <v>126</v>
      </c>
      <c r="P886" s="11" t="s">
        <v>51</v>
      </c>
      <c r="Q886" s="50" t="s">
        <v>64</v>
      </c>
      <c r="R886" s="47">
        <v>12</v>
      </c>
      <c r="S886" s="48">
        <v>8.1</v>
      </c>
      <c r="T886" s="48">
        <v>3.8</v>
      </c>
      <c r="U886" s="47">
        <v>12</v>
      </c>
      <c r="V886" s="47">
        <v>10.9</v>
      </c>
      <c r="W886" s="48">
        <v>2.9</v>
      </c>
      <c r="X886" s="130">
        <f t="shared" si="147"/>
        <v>2.8000000000000007</v>
      </c>
      <c r="Y886" s="16">
        <f t="shared" si="148"/>
        <v>0.99289140057376546</v>
      </c>
      <c r="Z886" s="15">
        <f t="shared" si="149"/>
        <v>3.3000000000000007</v>
      </c>
      <c r="AA886" s="16">
        <f t="shared" si="150"/>
        <v>5.7775000000000007</v>
      </c>
      <c r="AB886" s="16">
        <f t="shared" si="151"/>
        <v>1.0291784749659962</v>
      </c>
      <c r="AC886" s="66" t="s">
        <v>49</v>
      </c>
      <c r="AD886" s="51" t="s">
        <v>688</v>
      </c>
      <c r="AE886" s="13">
        <v>12</v>
      </c>
      <c r="AF886" s="13">
        <v>2</v>
      </c>
      <c r="AG886" s="13">
        <v>52.5</v>
      </c>
      <c r="AH886" s="134">
        <v>205460</v>
      </c>
      <c r="AI886" s="134">
        <v>4.3</v>
      </c>
      <c r="AJ886" s="135">
        <f t="shared" ref="AJ886:AJ887" si="153">AI886*AG886</f>
        <v>225.75</v>
      </c>
      <c r="AK886" s="45">
        <f t="shared" si="152"/>
        <v>451.5</v>
      </c>
      <c r="AL886" s="136" t="str" cm="1">
        <f t="array" ref="AL886">_xlfn.IFS(
AI886&lt;3,"Ligera",
AI886&lt;=6,"Moderada",
AI886&gt;6,"Vigorosa"
)</f>
        <v>Moderada</v>
      </c>
      <c r="AM886" s="45" t="s">
        <v>48</v>
      </c>
      <c r="AN886" s="289" t="s">
        <v>663</v>
      </c>
      <c r="AO886" s="61" t="s">
        <v>61</v>
      </c>
      <c r="AP886" s="97" t="s">
        <v>62</v>
      </c>
      <c r="AQ886" s="303">
        <v>0</v>
      </c>
    </row>
    <row r="887" spans="1:45" s="273" customFormat="1" ht="55.5" customHeight="1" thickBot="1">
      <c r="A887" s="138" t="s">
        <v>686</v>
      </c>
      <c r="B887" s="12">
        <v>32</v>
      </c>
      <c r="C887" s="12">
        <v>72.900000000000006</v>
      </c>
      <c r="D887" s="12">
        <v>0</v>
      </c>
      <c r="E887" s="12" t="s">
        <v>45</v>
      </c>
      <c r="F887" s="12" t="s">
        <v>45</v>
      </c>
      <c r="G887" s="12" t="s">
        <v>592</v>
      </c>
      <c r="H887" s="12"/>
      <c r="I887" s="12" t="s">
        <v>45</v>
      </c>
      <c r="J887" s="12" t="s">
        <v>47</v>
      </c>
      <c r="K887" s="12" t="s">
        <v>49</v>
      </c>
      <c r="L887" s="12" t="s">
        <v>49</v>
      </c>
      <c r="M887" s="11" t="s">
        <v>56</v>
      </c>
      <c r="N887" s="11" t="s">
        <v>76</v>
      </c>
      <c r="O887" s="11" t="s">
        <v>103</v>
      </c>
      <c r="P887" s="11" t="s">
        <v>51</v>
      </c>
      <c r="Q887" s="50" t="s">
        <v>64</v>
      </c>
      <c r="R887" s="47">
        <v>10</v>
      </c>
      <c r="S887" s="48">
        <v>6.2</v>
      </c>
      <c r="T887" s="48">
        <v>3</v>
      </c>
      <c r="U887" s="47">
        <v>10</v>
      </c>
      <c r="V887" s="47">
        <v>10.199999999999999</v>
      </c>
      <c r="W887" s="48">
        <v>0.8</v>
      </c>
      <c r="X887" s="130">
        <f t="shared" si="147"/>
        <v>3.9999999999999991</v>
      </c>
      <c r="Y887" s="16">
        <f t="shared" si="148"/>
        <v>0.85088189544730586</v>
      </c>
      <c r="Z887" s="15">
        <f>X887-X885</f>
        <v>4.4999999999999991</v>
      </c>
      <c r="AA887" s="16">
        <f>((U887-1)*W887^2+(U885-1)*W885^2)/((U887-1)+(U885-1))</f>
        <v>1.6000000000000005</v>
      </c>
      <c r="AB887" s="16">
        <f>SQRT(AA887*((1/U887)+(1/U885)))</f>
        <v>0.56568542494923812</v>
      </c>
      <c r="AC887" s="66" t="s">
        <v>49</v>
      </c>
      <c r="AD887" s="51" t="s">
        <v>689</v>
      </c>
      <c r="AE887" s="13">
        <v>12</v>
      </c>
      <c r="AF887" s="13">
        <v>2</v>
      </c>
      <c r="AG887" s="13">
        <v>52.5</v>
      </c>
      <c r="AH887" s="134" t="s">
        <v>690</v>
      </c>
      <c r="AI887" s="134">
        <v>4.05</v>
      </c>
      <c r="AJ887" s="135">
        <f t="shared" si="153"/>
        <v>212.625</v>
      </c>
      <c r="AK887" s="45">
        <f t="shared" si="152"/>
        <v>425.25</v>
      </c>
      <c r="AL887" s="136" t="str" cm="1">
        <f t="array" ref="AL887">_xlfn.IFS(
AI887&lt;3,"Ligera",
AI887&lt;=6,"Moderada",
AI887&gt;6,"Vigorosa"
)</f>
        <v>Moderada</v>
      </c>
      <c r="AM887" s="45" t="s">
        <v>48</v>
      </c>
      <c r="AN887" s="289" t="s">
        <v>663</v>
      </c>
      <c r="AO887" s="61" t="s">
        <v>61</v>
      </c>
      <c r="AP887" s="97" t="s">
        <v>62</v>
      </c>
      <c r="AQ887" s="303">
        <v>0</v>
      </c>
    </row>
    <row r="888" spans="1:45" s="273" customFormat="1" ht="55.5" customHeight="1" thickBot="1">
      <c r="A888" s="138" t="s">
        <v>686</v>
      </c>
      <c r="B888" s="12">
        <v>32</v>
      </c>
      <c r="C888" s="12">
        <v>72.900000000000006</v>
      </c>
      <c r="D888" s="12">
        <v>0</v>
      </c>
      <c r="E888" s="12" t="s">
        <v>45</v>
      </c>
      <c r="F888" s="12" t="s">
        <v>45</v>
      </c>
      <c r="G888" s="12" t="s">
        <v>592</v>
      </c>
      <c r="H888" s="12"/>
      <c r="I888" s="12" t="s">
        <v>45</v>
      </c>
      <c r="J888" s="12" t="s">
        <v>47</v>
      </c>
      <c r="K888" s="12" t="s">
        <v>49</v>
      </c>
      <c r="L888" s="12" t="s">
        <v>49</v>
      </c>
      <c r="M888" s="11" t="s">
        <v>50</v>
      </c>
      <c r="N888" s="11" t="s">
        <v>50</v>
      </c>
      <c r="O888" s="11" t="s">
        <v>50</v>
      </c>
      <c r="P888" s="11" t="s">
        <v>51</v>
      </c>
      <c r="Q888" s="50" t="s">
        <v>81</v>
      </c>
      <c r="R888" s="47">
        <v>10</v>
      </c>
      <c r="S888" s="48">
        <v>10.1</v>
      </c>
      <c r="T888" s="48">
        <v>2</v>
      </c>
      <c r="U888" s="47">
        <v>10</v>
      </c>
      <c r="V888" s="47">
        <v>9.6999999999999993</v>
      </c>
      <c r="W888" s="48">
        <v>2.2999999999999998</v>
      </c>
      <c r="X888" s="130">
        <f t="shared" si="147"/>
        <v>-0.40000000000000036</v>
      </c>
      <c r="Y888" s="16">
        <f t="shared" si="148"/>
        <v>0.68483574673055725</v>
      </c>
      <c r="Z888" s="286" t="s">
        <v>53</v>
      </c>
      <c r="AA888" s="286" t="s">
        <v>53</v>
      </c>
      <c r="AB888" s="16">
        <v>0.68483574673055725</v>
      </c>
      <c r="AC888" s="66" t="s">
        <v>49</v>
      </c>
      <c r="AD888" s="51" t="s">
        <v>687</v>
      </c>
      <c r="AE888" s="13">
        <v>12</v>
      </c>
      <c r="AF888" s="13">
        <v>0</v>
      </c>
      <c r="AG888" s="13">
        <v>0</v>
      </c>
      <c r="AH888" s="134">
        <v>0</v>
      </c>
      <c r="AI888" s="134">
        <v>0</v>
      </c>
      <c r="AJ888" s="135">
        <f t="shared" si="146"/>
        <v>0</v>
      </c>
      <c r="AK888" s="45">
        <f t="shared" si="152"/>
        <v>0</v>
      </c>
      <c r="AL888" s="136" t="str" cm="1">
        <f t="array" ref="AL888">_xlfn.IFS(
AI888&lt;3,"Ligera",
AI888&lt;=6,"Moderada",
AI888&gt;6,"Vigorosa"
)</f>
        <v>Ligera</v>
      </c>
      <c r="AM888" s="45" t="s">
        <v>49</v>
      </c>
      <c r="AN888" s="45" t="s">
        <v>49</v>
      </c>
      <c r="AO888" s="45" t="s">
        <v>49</v>
      </c>
      <c r="AP888" s="45" t="s">
        <v>49</v>
      </c>
      <c r="AQ888" s="303">
        <v>0</v>
      </c>
    </row>
    <row r="889" spans="1:45" s="273" customFormat="1" ht="55.5" customHeight="1" thickBot="1">
      <c r="A889" s="138" t="s">
        <v>686</v>
      </c>
      <c r="B889" s="12">
        <v>32</v>
      </c>
      <c r="C889" s="12">
        <v>72.900000000000006</v>
      </c>
      <c r="D889" s="12">
        <v>0</v>
      </c>
      <c r="E889" s="12" t="s">
        <v>45</v>
      </c>
      <c r="F889" s="12" t="s">
        <v>45</v>
      </c>
      <c r="G889" s="12" t="s">
        <v>592</v>
      </c>
      <c r="H889" s="12"/>
      <c r="I889" s="12" t="s">
        <v>45</v>
      </c>
      <c r="J889" s="12" t="s">
        <v>47</v>
      </c>
      <c r="K889" s="12" t="s">
        <v>49</v>
      </c>
      <c r="L889" s="12" t="s">
        <v>49</v>
      </c>
      <c r="M889" s="11" t="s">
        <v>56</v>
      </c>
      <c r="N889" s="11" t="s">
        <v>57</v>
      </c>
      <c r="O889" s="11" t="s">
        <v>126</v>
      </c>
      <c r="P889" s="11" t="s">
        <v>51</v>
      </c>
      <c r="Q889" s="50" t="s">
        <v>81</v>
      </c>
      <c r="R889" s="47">
        <v>12</v>
      </c>
      <c r="S889" s="48">
        <v>12.7</v>
      </c>
      <c r="T889" s="48">
        <v>4.4000000000000004</v>
      </c>
      <c r="U889" s="47">
        <v>12</v>
      </c>
      <c r="V889" s="47">
        <v>16.399999999999999</v>
      </c>
      <c r="W889" s="48">
        <v>4</v>
      </c>
      <c r="X889" s="130">
        <f t="shared" si="147"/>
        <v>3.6999999999999993</v>
      </c>
      <c r="Y889" s="16">
        <f t="shared" si="148"/>
        <v>1.216552506059644</v>
      </c>
      <c r="Z889" s="15">
        <f t="shared" si="149"/>
        <v>4.0999999999999996</v>
      </c>
      <c r="AA889" s="16">
        <f t="shared" si="150"/>
        <v>11.180499999999999</v>
      </c>
      <c r="AB889" s="16">
        <f t="shared" si="151"/>
        <v>1.4316977101795383</v>
      </c>
      <c r="AC889" s="66" t="s">
        <v>49</v>
      </c>
      <c r="AD889" s="51" t="s">
        <v>688</v>
      </c>
      <c r="AE889" s="13">
        <v>12</v>
      </c>
      <c r="AF889" s="13">
        <v>2</v>
      </c>
      <c r="AG889" s="13">
        <v>52.5</v>
      </c>
      <c r="AH889" s="134">
        <v>205460</v>
      </c>
      <c r="AI889" s="134">
        <v>4.3</v>
      </c>
      <c r="AJ889" s="135">
        <f t="shared" ref="AJ889:AJ890" si="154">AI889*AG889</f>
        <v>225.75</v>
      </c>
      <c r="AK889" s="45">
        <f t="shared" si="152"/>
        <v>451.5</v>
      </c>
      <c r="AL889" s="136" t="str" cm="1">
        <f t="array" ref="AL889">_xlfn.IFS(
AI889&lt;3,"Ligera",
AI889&lt;=6,"Moderada",
AI889&gt;6,"Vigorosa"
)</f>
        <v>Moderada</v>
      </c>
      <c r="AM889" s="45" t="s">
        <v>48</v>
      </c>
      <c r="AN889" s="289" t="s">
        <v>663</v>
      </c>
      <c r="AO889" s="61" t="s">
        <v>61</v>
      </c>
      <c r="AP889" s="97" t="s">
        <v>62</v>
      </c>
      <c r="AQ889" s="303">
        <v>0</v>
      </c>
    </row>
    <row r="890" spans="1:45" s="273" customFormat="1" ht="55.5" customHeight="1" thickBot="1">
      <c r="A890" s="138" t="s">
        <v>686</v>
      </c>
      <c r="B890" s="12">
        <v>32</v>
      </c>
      <c r="C890" s="12">
        <v>72.900000000000006</v>
      </c>
      <c r="D890" s="12">
        <v>0</v>
      </c>
      <c r="E890" s="12" t="s">
        <v>45</v>
      </c>
      <c r="F890" s="12" t="s">
        <v>45</v>
      </c>
      <c r="G890" s="12" t="s">
        <v>592</v>
      </c>
      <c r="H890" s="12"/>
      <c r="I890" s="12" t="s">
        <v>45</v>
      </c>
      <c r="J890" s="12" t="s">
        <v>47</v>
      </c>
      <c r="K890" s="12" t="s">
        <v>49</v>
      </c>
      <c r="L890" s="12" t="s">
        <v>49</v>
      </c>
      <c r="M890" s="11" t="s">
        <v>56</v>
      </c>
      <c r="N890" s="11" t="s">
        <v>76</v>
      </c>
      <c r="O890" s="11" t="s">
        <v>103</v>
      </c>
      <c r="P890" s="11" t="s">
        <v>51</v>
      </c>
      <c r="Q890" s="50" t="s">
        <v>81</v>
      </c>
      <c r="R890" s="47">
        <v>10</v>
      </c>
      <c r="S890" s="48">
        <v>9</v>
      </c>
      <c r="T890" s="48">
        <v>3.7</v>
      </c>
      <c r="U890" s="47">
        <v>10</v>
      </c>
      <c r="V890" s="47">
        <v>12.6</v>
      </c>
      <c r="W890" s="48">
        <v>4.4000000000000004</v>
      </c>
      <c r="X890" s="130">
        <f t="shared" si="147"/>
        <v>3.5999999999999996</v>
      </c>
      <c r="Y890" s="16">
        <f t="shared" si="148"/>
        <v>1.2949903474543738</v>
      </c>
      <c r="Z890" s="15">
        <f>X890-X888</f>
        <v>4</v>
      </c>
      <c r="AA890" s="16">
        <f>((U890-1)*W890^2+(U888-1)*W888^2)/((U890-1)+(U888-1))</f>
        <v>12.325000000000001</v>
      </c>
      <c r="AB890" s="16">
        <f>SQRT(AA890*((1/U890)+(1/U888)))</f>
        <v>1.5700318468107584</v>
      </c>
      <c r="AC890" s="66" t="s">
        <v>49</v>
      </c>
      <c r="AD890" s="51" t="s">
        <v>689</v>
      </c>
      <c r="AE890" s="13">
        <v>12</v>
      </c>
      <c r="AF890" s="13">
        <v>2</v>
      </c>
      <c r="AG890" s="13">
        <v>52.5</v>
      </c>
      <c r="AH890" s="134" t="s">
        <v>690</v>
      </c>
      <c r="AI890" s="134">
        <v>4.05</v>
      </c>
      <c r="AJ890" s="135">
        <f t="shared" si="154"/>
        <v>212.625</v>
      </c>
      <c r="AK890" s="45">
        <f t="shared" si="152"/>
        <v>425.25</v>
      </c>
      <c r="AL890" s="136" t="str" cm="1">
        <f t="array" ref="AL890">_xlfn.IFS(
AI890&lt;3,"Ligera",
AI890&lt;=6,"Moderada",
AI890&gt;6,"Vigorosa"
)</f>
        <v>Moderada</v>
      </c>
      <c r="AM890" s="45" t="s">
        <v>48</v>
      </c>
      <c r="AN890" s="289" t="s">
        <v>663</v>
      </c>
      <c r="AO890" s="61" t="s">
        <v>61</v>
      </c>
      <c r="AP890" s="97" t="s">
        <v>62</v>
      </c>
      <c r="AQ890" s="303">
        <v>0</v>
      </c>
    </row>
    <row r="891" spans="1:45" s="273" customFormat="1" ht="55.5" customHeight="1" thickBot="1">
      <c r="A891" s="138" t="s">
        <v>686</v>
      </c>
      <c r="B891" s="12">
        <v>32</v>
      </c>
      <c r="C891" s="12">
        <v>72.900000000000006</v>
      </c>
      <c r="D891" s="12">
        <v>0</v>
      </c>
      <c r="E891" s="12" t="s">
        <v>45</v>
      </c>
      <c r="F891" s="12" t="s">
        <v>45</v>
      </c>
      <c r="G891" s="12" t="s">
        <v>592</v>
      </c>
      <c r="H891" s="12"/>
      <c r="I891" s="12" t="s">
        <v>45</v>
      </c>
      <c r="J891" s="12" t="s">
        <v>47</v>
      </c>
      <c r="K891" s="12" t="s">
        <v>49</v>
      </c>
      <c r="L891" s="12" t="s">
        <v>49</v>
      </c>
      <c r="M891" s="11" t="s">
        <v>50</v>
      </c>
      <c r="N891" s="11" t="s">
        <v>50</v>
      </c>
      <c r="O891" s="11" t="s">
        <v>50</v>
      </c>
      <c r="P891" s="11" t="s">
        <v>51</v>
      </c>
      <c r="Q891" s="50" t="s">
        <v>52</v>
      </c>
      <c r="R891" s="47">
        <v>10</v>
      </c>
      <c r="S891" s="48">
        <v>14.1</v>
      </c>
      <c r="T891" s="48">
        <v>5.7</v>
      </c>
      <c r="U891" s="47">
        <v>10</v>
      </c>
      <c r="V891" s="47">
        <v>14.9</v>
      </c>
      <c r="W891" s="48">
        <v>4.7</v>
      </c>
      <c r="X891" s="130">
        <f t="shared" si="147"/>
        <v>0.80000000000000071</v>
      </c>
      <c r="Y891" s="16">
        <f t="shared" si="148"/>
        <v>1.6670332930088709</v>
      </c>
      <c r="Z891" s="286" t="s">
        <v>53</v>
      </c>
      <c r="AA891" s="286" t="s">
        <v>53</v>
      </c>
      <c r="AB891" s="286" t="s">
        <v>53</v>
      </c>
      <c r="AC891" s="66" t="s">
        <v>48</v>
      </c>
      <c r="AD891" s="51" t="s">
        <v>687</v>
      </c>
      <c r="AE891" s="13">
        <v>12</v>
      </c>
      <c r="AF891" s="13">
        <v>0</v>
      </c>
      <c r="AG891" s="13">
        <v>0</v>
      </c>
      <c r="AH891" s="134">
        <v>0</v>
      </c>
      <c r="AI891" s="134">
        <v>0</v>
      </c>
      <c r="AJ891" s="135">
        <f t="shared" si="146"/>
        <v>0</v>
      </c>
      <c r="AK891" s="45">
        <f t="shared" si="152"/>
        <v>0</v>
      </c>
      <c r="AL891" s="136" t="str" cm="1">
        <f t="array" ref="AL891">_xlfn.IFS(
AI891&lt;3,"Ligera",
AI891&lt;=6,"Moderada",
AI891&gt;6,"Vigorosa"
)</f>
        <v>Ligera</v>
      </c>
      <c r="AM891" s="45" t="s">
        <v>49</v>
      </c>
      <c r="AN891" s="45" t="s">
        <v>49</v>
      </c>
      <c r="AO891" s="45" t="s">
        <v>49</v>
      </c>
      <c r="AP891" s="45" t="s">
        <v>49</v>
      </c>
      <c r="AQ891" s="303">
        <v>0</v>
      </c>
    </row>
    <row r="892" spans="1:45" s="273" customFormat="1" ht="55.5" customHeight="1" thickBot="1">
      <c r="A892" s="138" t="s">
        <v>686</v>
      </c>
      <c r="B892" s="12">
        <v>32</v>
      </c>
      <c r="C892" s="12">
        <v>72.900000000000006</v>
      </c>
      <c r="D892" s="12">
        <v>0</v>
      </c>
      <c r="E892" s="12" t="s">
        <v>45</v>
      </c>
      <c r="F892" s="12" t="s">
        <v>45</v>
      </c>
      <c r="G892" s="12" t="s">
        <v>592</v>
      </c>
      <c r="H892" s="12"/>
      <c r="I892" s="12" t="s">
        <v>45</v>
      </c>
      <c r="J892" s="12" t="s">
        <v>47</v>
      </c>
      <c r="K892" s="12" t="s">
        <v>49</v>
      </c>
      <c r="L892" s="12" t="s">
        <v>49</v>
      </c>
      <c r="M892" s="11" t="s">
        <v>56</v>
      </c>
      <c r="N892" s="11" t="s">
        <v>57</v>
      </c>
      <c r="O892" s="11" t="s">
        <v>126</v>
      </c>
      <c r="P892" s="11" t="s">
        <v>51</v>
      </c>
      <c r="Q892" s="50" t="s">
        <v>52</v>
      </c>
      <c r="R892" s="47">
        <v>12</v>
      </c>
      <c r="S892" s="48">
        <v>11.6</v>
      </c>
      <c r="T892" s="48">
        <v>0.9</v>
      </c>
      <c r="U892" s="47">
        <v>12</v>
      </c>
      <c r="V892" s="47">
        <v>11.1</v>
      </c>
      <c r="W892" s="48">
        <v>0.6</v>
      </c>
      <c r="X892" s="130">
        <f t="shared" si="147"/>
        <v>-0.5</v>
      </c>
      <c r="Y892" s="16">
        <f t="shared" si="148"/>
        <v>0.229128784747792</v>
      </c>
      <c r="Z892" s="15">
        <f t="shared" si="149"/>
        <v>-1.3000000000000007</v>
      </c>
      <c r="AA892" s="16">
        <f t="shared" si="150"/>
        <v>10.138500000000002</v>
      </c>
      <c r="AB892" s="16">
        <f t="shared" si="151"/>
        <v>1.3633506518867406</v>
      </c>
      <c r="AC892" s="66" t="s">
        <v>48</v>
      </c>
      <c r="AD892" s="51" t="s">
        <v>688</v>
      </c>
      <c r="AE892" s="13">
        <v>12</v>
      </c>
      <c r="AF892" s="13">
        <v>2</v>
      </c>
      <c r="AG892" s="13">
        <v>52.5</v>
      </c>
      <c r="AH892" s="134">
        <v>205460</v>
      </c>
      <c r="AI892" s="134">
        <v>4.3</v>
      </c>
      <c r="AJ892" s="135">
        <f t="shared" ref="AJ892:AJ893" si="155">AI892*AG892</f>
        <v>225.75</v>
      </c>
      <c r="AK892" s="45">
        <f t="shared" si="152"/>
        <v>451.5</v>
      </c>
      <c r="AL892" s="136" t="str" cm="1">
        <f t="array" ref="AL892">_xlfn.IFS(
AI892&lt;3,"Ligera",
AI892&lt;=6,"Moderada",
AI892&gt;6,"Vigorosa"
)</f>
        <v>Moderada</v>
      </c>
      <c r="AM892" s="45" t="s">
        <v>48</v>
      </c>
      <c r="AN892" s="289" t="s">
        <v>663</v>
      </c>
      <c r="AO892" s="61" t="s">
        <v>61</v>
      </c>
      <c r="AP892" s="97" t="s">
        <v>62</v>
      </c>
      <c r="AQ892" s="303">
        <v>0</v>
      </c>
    </row>
    <row r="893" spans="1:45" s="273" customFormat="1" ht="55.5" customHeight="1" thickBot="1">
      <c r="A893" s="138" t="s">
        <v>686</v>
      </c>
      <c r="B893" s="12">
        <v>32</v>
      </c>
      <c r="C893" s="12">
        <v>72.900000000000006</v>
      </c>
      <c r="D893" s="12">
        <v>0</v>
      </c>
      <c r="E893" s="12" t="s">
        <v>45</v>
      </c>
      <c r="F893" s="12" t="s">
        <v>45</v>
      </c>
      <c r="G893" s="12" t="s">
        <v>592</v>
      </c>
      <c r="H893" s="12"/>
      <c r="I893" s="12" t="s">
        <v>45</v>
      </c>
      <c r="J893" s="12" t="s">
        <v>47</v>
      </c>
      <c r="K893" s="12" t="s">
        <v>49</v>
      </c>
      <c r="L893" s="12" t="s">
        <v>49</v>
      </c>
      <c r="M893" s="11" t="s">
        <v>56</v>
      </c>
      <c r="N893" s="11" t="s">
        <v>76</v>
      </c>
      <c r="O893" s="11" t="s">
        <v>103</v>
      </c>
      <c r="P893" s="11" t="s">
        <v>51</v>
      </c>
      <c r="Q893" s="50" t="s">
        <v>52</v>
      </c>
      <c r="R893" s="47">
        <v>10</v>
      </c>
      <c r="S893" s="48">
        <v>13.4</v>
      </c>
      <c r="T893" s="48">
        <v>2.2999999999999998</v>
      </c>
      <c r="U893" s="47">
        <v>10</v>
      </c>
      <c r="V893" s="47">
        <v>11.1</v>
      </c>
      <c r="W893" s="48">
        <v>0.5</v>
      </c>
      <c r="X893" s="130">
        <f t="shared" si="147"/>
        <v>-2.3000000000000007</v>
      </c>
      <c r="Y893" s="16">
        <f t="shared" si="148"/>
        <v>0.66257075093909767</v>
      </c>
      <c r="Z893" s="15">
        <f>X893-X891</f>
        <v>-3.1000000000000014</v>
      </c>
      <c r="AA893" s="16">
        <f>((U893-1)*W893^2+(U891-1)*W891^2)/((U893-1)+(U891-1))</f>
        <v>11.170000000000002</v>
      </c>
      <c r="AB893" s="16">
        <f>SQRT(AA893*((1/U893)+(1/U891)))</f>
        <v>1.4946571513226705</v>
      </c>
      <c r="AC893" s="66" t="s">
        <v>48</v>
      </c>
      <c r="AD893" s="51" t="s">
        <v>689</v>
      </c>
      <c r="AE893" s="13">
        <v>12</v>
      </c>
      <c r="AF893" s="13">
        <v>2</v>
      </c>
      <c r="AG893" s="13">
        <v>52.5</v>
      </c>
      <c r="AH893" s="134" t="s">
        <v>690</v>
      </c>
      <c r="AI893" s="134">
        <v>4.05</v>
      </c>
      <c r="AJ893" s="135">
        <f t="shared" si="155"/>
        <v>212.625</v>
      </c>
      <c r="AK893" s="45">
        <f t="shared" si="152"/>
        <v>425.25</v>
      </c>
      <c r="AL893" s="136" t="str" cm="1">
        <f t="array" ref="AL893">_xlfn.IFS(
AI893&lt;3,"Ligera",
AI893&lt;=6,"Moderada",
AI893&gt;6,"Vigorosa"
)</f>
        <v>Moderada</v>
      </c>
      <c r="AM893" s="45" t="s">
        <v>48</v>
      </c>
      <c r="AN893" s="289" t="s">
        <v>663</v>
      </c>
      <c r="AO893" s="61" t="s">
        <v>61</v>
      </c>
      <c r="AP893" s="97" t="s">
        <v>62</v>
      </c>
      <c r="AQ893" s="303">
        <v>0</v>
      </c>
    </row>
    <row r="894" spans="1:45" s="273" customFormat="1" ht="55.5" customHeight="1" thickBot="1">
      <c r="A894" s="138" t="s">
        <v>686</v>
      </c>
      <c r="B894" s="12">
        <v>32</v>
      </c>
      <c r="C894" s="12">
        <v>72.900000000000006</v>
      </c>
      <c r="D894" s="12">
        <v>0</v>
      </c>
      <c r="E894" s="12" t="s">
        <v>45</v>
      </c>
      <c r="F894" s="12" t="s">
        <v>45</v>
      </c>
      <c r="G894" s="12" t="s">
        <v>592</v>
      </c>
      <c r="H894" s="12"/>
      <c r="I894" s="12" t="s">
        <v>45</v>
      </c>
      <c r="J894" s="12" t="s">
        <v>47</v>
      </c>
      <c r="K894" s="12" t="s">
        <v>49</v>
      </c>
      <c r="L894" s="12" t="s">
        <v>49</v>
      </c>
      <c r="M894" s="11" t="s">
        <v>50</v>
      </c>
      <c r="N894" s="11" t="s">
        <v>50</v>
      </c>
      <c r="O894" s="11" t="s">
        <v>50</v>
      </c>
      <c r="P894" s="11" t="s">
        <v>51</v>
      </c>
      <c r="Q894" s="50" t="s">
        <v>82</v>
      </c>
      <c r="R894" s="47">
        <v>10</v>
      </c>
      <c r="S894" s="48">
        <v>349.9</v>
      </c>
      <c r="T894" s="48">
        <v>79.099999999999994</v>
      </c>
      <c r="U894" s="47">
        <v>10</v>
      </c>
      <c r="V894" s="47">
        <v>346.1</v>
      </c>
      <c r="W894" s="48">
        <v>70.099999999999994</v>
      </c>
      <c r="X894" s="130">
        <f t="shared" si="147"/>
        <v>-3.7999999999999545</v>
      </c>
      <c r="Y894" s="16">
        <f t="shared" si="148"/>
        <v>23.719000822125707</v>
      </c>
      <c r="Z894" s="286" t="s">
        <v>53</v>
      </c>
      <c r="AA894" s="286" t="s">
        <v>53</v>
      </c>
      <c r="AB894" s="16">
        <v>23.719000822125707</v>
      </c>
      <c r="AC894" s="66" t="s">
        <v>49</v>
      </c>
      <c r="AD894" s="51" t="s">
        <v>687</v>
      </c>
      <c r="AE894" s="13">
        <v>12</v>
      </c>
      <c r="AF894" s="13">
        <v>0</v>
      </c>
      <c r="AG894" s="13">
        <v>0</v>
      </c>
      <c r="AH894" s="134">
        <v>0</v>
      </c>
      <c r="AI894" s="134">
        <v>0</v>
      </c>
      <c r="AJ894" s="135">
        <f t="shared" si="146"/>
        <v>0</v>
      </c>
      <c r="AK894" s="45">
        <f t="shared" si="152"/>
        <v>0</v>
      </c>
      <c r="AL894" s="136" t="str" cm="1">
        <f t="array" ref="AL894">_xlfn.IFS(
AI894&lt;3,"Ligera",
AI894&lt;=6,"Moderada",
AI894&gt;6,"Vigorosa"
)</f>
        <v>Ligera</v>
      </c>
      <c r="AM894" s="45" t="s">
        <v>49</v>
      </c>
      <c r="AN894" s="45" t="s">
        <v>49</v>
      </c>
      <c r="AO894" s="45" t="s">
        <v>49</v>
      </c>
      <c r="AP894" s="45" t="s">
        <v>49</v>
      </c>
      <c r="AQ894" s="303">
        <v>0</v>
      </c>
    </row>
    <row r="895" spans="1:45" s="273" customFormat="1" ht="55.5" customHeight="1" thickBot="1">
      <c r="A895" s="138" t="s">
        <v>686</v>
      </c>
      <c r="B895" s="12">
        <v>32</v>
      </c>
      <c r="C895" s="12">
        <v>72.900000000000006</v>
      </c>
      <c r="D895" s="12">
        <v>0</v>
      </c>
      <c r="E895" s="12" t="s">
        <v>45</v>
      </c>
      <c r="F895" s="12" t="s">
        <v>45</v>
      </c>
      <c r="G895" s="12" t="s">
        <v>592</v>
      </c>
      <c r="H895" s="12"/>
      <c r="I895" s="12" t="s">
        <v>45</v>
      </c>
      <c r="J895" s="12" t="s">
        <v>47</v>
      </c>
      <c r="K895" s="12" t="s">
        <v>49</v>
      </c>
      <c r="L895" s="12" t="s">
        <v>49</v>
      </c>
      <c r="M895" s="11" t="s">
        <v>56</v>
      </c>
      <c r="N895" s="11" t="s">
        <v>57</v>
      </c>
      <c r="O895" s="11" t="s">
        <v>126</v>
      </c>
      <c r="P895" s="11" t="s">
        <v>51</v>
      </c>
      <c r="Q895" s="50" t="s">
        <v>82</v>
      </c>
      <c r="R895" s="47">
        <v>12</v>
      </c>
      <c r="S895" s="48">
        <v>411.4</v>
      </c>
      <c r="T895" s="48">
        <v>59.2</v>
      </c>
      <c r="U895" s="47">
        <v>12</v>
      </c>
      <c r="V895" s="47">
        <v>456.2</v>
      </c>
      <c r="W895" s="48">
        <v>30.6</v>
      </c>
      <c r="X895" s="130">
        <f t="shared" si="147"/>
        <v>44.800000000000011</v>
      </c>
      <c r="Y895" s="16">
        <f t="shared" si="148"/>
        <v>14.802815047595958</v>
      </c>
      <c r="Z895" s="15">
        <f>X895-X894</f>
        <v>48.599999999999966</v>
      </c>
      <c r="AA895" s="16">
        <f t="shared" si="150"/>
        <v>2726.3024999999998</v>
      </c>
      <c r="AB895" s="16">
        <f t="shared" si="151"/>
        <v>22.356702015279446</v>
      </c>
      <c r="AC895" s="66" t="s">
        <v>49</v>
      </c>
      <c r="AD895" s="51" t="s">
        <v>688</v>
      </c>
      <c r="AE895" s="13">
        <v>12</v>
      </c>
      <c r="AF895" s="13">
        <v>2</v>
      </c>
      <c r="AG895" s="13">
        <v>52.5</v>
      </c>
      <c r="AH895" s="134">
        <v>205460</v>
      </c>
      <c r="AI895" s="134">
        <v>4.3</v>
      </c>
      <c r="AJ895" s="135">
        <f t="shared" ref="AJ895:AJ896" si="156">AI895*AG895</f>
        <v>225.75</v>
      </c>
      <c r="AK895" s="45">
        <f t="shared" si="152"/>
        <v>451.5</v>
      </c>
      <c r="AL895" s="136" t="str" cm="1">
        <f t="array" ref="AL895">_xlfn.IFS(
AI895&lt;3,"Ligera",
AI895&lt;=6,"Moderada",
AI895&gt;6,"Vigorosa"
)</f>
        <v>Moderada</v>
      </c>
      <c r="AM895" s="45" t="s">
        <v>48</v>
      </c>
      <c r="AN895" s="289" t="s">
        <v>663</v>
      </c>
      <c r="AO895" s="61" t="s">
        <v>61</v>
      </c>
      <c r="AP895" s="97" t="s">
        <v>62</v>
      </c>
      <c r="AQ895" s="303">
        <v>0</v>
      </c>
    </row>
    <row r="896" spans="1:45" s="273" customFormat="1" ht="55.5" customHeight="1" thickBot="1">
      <c r="A896" s="138" t="s">
        <v>686</v>
      </c>
      <c r="B896" s="12">
        <v>32</v>
      </c>
      <c r="C896" s="12">
        <v>72.900000000000006</v>
      </c>
      <c r="D896" s="12">
        <v>0</v>
      </c>
      <c r="E896" s="12" t="s">
        <v>45</v>
      </c>
      <c r="F896" s="12" t="s">
        <v>45</v>
      </c>
      <c r="G896" s="12" t="s">
        <v>592</v>
      </c>
      <c r="H896" s="12"/>
      <c r="I896" s="12" t="s">
        <v>45</v>
      </c>
      <c r="J896" s="12" t="s">
        <v>47</v>
      </c>
      <c r="K896" s="12" t="s">
        <v>49</v>
      </c>
      <c r="L896" s="12" t="s">
        <v>49</v>
      </c>
      <c r="M896" s="11" t="s">
        <v>56</v>
      </c>
      <c r="N896" s="11" t="s">
        <v>76</v>
      </c>
      <c r="O896" s="11" t="s">
        <v>103</v>
      </c>
      <c r="P896" s="11" t="s">
        <v>51</v>
      </c>
      <c r="Q896" s="50" t="s">
        <v>82</v>
      </c>
      <c r="R896" s="47">
        <v>10</v>
      </c>
      <c r="S896" s="48">
        <v>431</v>
      </c>
      <c r="T896" s="48">
        <v>37.9</v>
      </c>
      <c r="U896" s="47">
        <v>10</v>
      </c>
      <c r="V896" s="47">
        <v>460.5</v>
      </c>
      <c r="W896" s="48">
        <v>33.6</v>
      </c>
      <c r="X896" s="130">
        <f t="shared" si="147"/>
        <v>29.5</v>
      </c>
      <c r="Y896" s="16">
        <f t="shared" si="148"/>
        <v>11.366309867322814</v>
      </c>
      <c r="Z896" s="15">
        <f>X896-X894</f>
        <v>33.299999999999955</v>
      </c>
      <c r="AA896" s="16">
        <f>((U896-1)*W896^2+(U894-1)*W894^2)/((U896-1)+(U894-1))</f>
        <v>3021.4849999999997</v>
      </c>
      <c r="AB896" s="16">
        <f>SQRT(AA896*((1/U896)+(1/U894)))</f>
        <v>24.582453091585467</v>
      </c>
      <c r="AC896" s="66" t="s">
        <v>49</v>
      </c>
      <c r="AD896" s="51" t="s">
        <v>689</v>
      </c>
      <c r="AE896" s="13">
        <v>12</v>
      </c>
      <c r="AF896" s="13">
        <v>2</v>
      </c>
      <c r="AG896" s="13">
        <v>52.5</v>
      </c>
      <c r="AH896" s="134" t="s">
        <v>690</v>
      </c>
      <c r="AI896" s="134">
        <v>4.05</v>
      </c>
      <c r="AJ896" s="135">
        <f t="shared" si="156"/>
        <v>212.625</v>
      </c>
      <c r="AK896" s="45">
        <f t="shared" si="152"/>
        <v>425.25</v>
      </c>
      <c r="AL896" s="136" t="str" cm="1">
        <f t="array" ref="AL896">_xlfn.IFS(
AI896&lt;3,"Ligera",
AI896&lt;=6,"Moderada",
AI896&gt;6,"Vigorosa"
)</f>
        <v>Moderada</v>
      </c>
      <c r="AM896" s="45" t="s">
        <v>48</v>
      </c>
      <c r="AN896" s="289" t="s">
        <v>663</v>
      </c>
      <c r="AO896" s="61" t="s">
        <v>61</v>
      </c>
      <c r="AP896" s="97" t="s">
        <v>62</v>
      </c>
      <c r="AQ896" s="303">
        <v>0</v>
      </c>
      <c r="AR896" s="299"/>
      <c r="AS896" s="299"/>
    </row>
    <row r="897" spans="1:45" s="273" customFormat="1" ht="55.5" customHeight="1" thickBot="1">
      <c r="A897" s="138" t="s">
        <v>691</v>
      </c>
      <c r="B897" s="12">
        <v>891</v>
      </c>
      <c r="C897" s="12">
        <v>86.3</v>
      </c>
      <c r="D897" s="12">
        <v>22</v>
      </c>
      <c r="E897" s="12" t="s">
        <v>45</v>
      </c>
      <c r="F897" s="12" t="s">
        <v>45</v>
      </c>
      <c r="G897" s="12" t="s">
        <v>692</v>
      </c>
      <c r="H897" s="12"/>
      <c r="I897" s="12" t="s">
        <v>45</v>
      </c>
      <c r="J897" s="12" t="s">
        <v>47</v>
      </c>
      <c r="K897" s="12" t="s">
        <v>49</v>
      </c>
      <c r="L897" s="12" t="s">
        <v>48</v>
      </c>
      <c r="M897" s="11" t="s">
        <v>50</v>
      </c>
      <c r="N897" s="11" t="s">
        <v>50</v>
      </c>
      <c r="O897" s="11" t="s">
        <v>50</v>
      </c>
      <c r="P897" s="11" t="s">
        <v>94</v>
      </c>
      <c r="Q897" s="50" t="s">
        <v>119</v>
      </c>
      <c r="R897" s="47">
        <v>234</v>
      </c>
      <c r="S897" s="48">
        <v>19</v>
      </c>
      <c r="T897" s="48">
        <v>6.3</v>
      </c>
      <c r="U897" s="48">
        <v>234</v>
      </c>
      <c r="V897" s="47">
        <v>17.3</v>
      </c>
      <c r="W897" s="48">
        <v>6.9</v>
      </c>
      <c r="X897" s="130">
        <f t="shared" si="147"/>
        <v>-1.6999999999999993</v>
      </c>
      <c r="Y897" s="16">
        <f t="shared" si="148"/>
        <v>0.43279058712926316</v>
      </c>
      <c r="Z897" s="286" t="s">
        <v>53</v>
      </c>
      <c r="AA897" s="286" t="s">
        <v>53</v>
      </c>
      <c r="AB897" s="16">
        <v>0.43279058712926316</v>
      </c>
      <c r="AC897" s="66" t="s">
        <v>49</v>
      </c>
      <c r="AD897" s="51" t="s">
        <v>693</v>
      </c>
      <c r="AE897" s="13">
        <v>52</v>
      </c>
      <c r="AF897" s="13">
        <v>0</v>
      </c>
      <c r="AG897" s="13">
        <v>0</v>
      </c>
      <c r="AH897" s="134">
        <v>0</v>
      </c>
      <c r="AI897" s="134">
        <v>0</v>
      </c>
      <c r="AJ897" s="135">
        <f t="shared" si="146"/>
        <v>0</v>
      </c>
      <c r="AK897" s="45">
        <f t="shared" si="152"/>
        <v>0</v>
      </c>
      <c r="AL897" s="136" t="str" cm="1">
        <f t="array" ref="AL897">_xlfn.IFS(
AI897&lt;3,"Ligera",
AI897&lt;=6,"Moderada",
AI897&gt;6,"Vigorosa"
)</f>
        <v>Ligera</v>
      </c>
      <c r="AM897" s="45" t="s">
        <v>49</v>
      </c>
      <c r="AN897" s="45" t="s">
        <v>49</v>
      </c>
      <c r="AO897" s="45" t="s">
        <v>49</v>
      </c>
      <c r="AP897" s="45" t="s">
        <v>49</v>
      </c>
      <c r="AQ897" s="303">
        <v>0</v>
      </c>
      <c r="AR897" s="299"/>
      <c r="AS897" s="299"/>
    </row>
    <row r="898" spans="1:45" s="273" customFormat="1" ht="55.5" customHeight="1" thickBot="1">
      <c r="A898" s="138" t="s">
        <v>691</v>
      </c>
      <c r="B898" s="12">
        <v>891</v>
      </c>
      <c r="C898" s="12">
        <v>86.7</v>
      </c>
      <c r="D898" s="12">
        <v>26</v>
      </c>
      <c r="E898" s="12" t="s">
        <v>45</v>
      </c>
      <c r="F898" s="12" t="s">
        <v>45</v>
      </c>
      <c r="G898" s="12" t="s">
        <v>692</v>
      </c>
      <c r="H898" s="12"/>
      <c r="I898" s="12" t="s">
        <v>45</v>
      </c>
      <c r="J898" s="12" t="s">
        <v>47</v>
      </c>
      <c r="K898" s="12" t="s">
        <v>49</v>
      </c>
      <c r="L898" s="12" t="s">
        <v>48</v>
      </c>
      <c r="M898" s="11" t="s">
        <v>56</v>
      </c>
      <c r="N898" s="11" t="s">
        <v>76</v>
      </c>
      <c r="O898" s="11" t="s">
        <v>100</v>
      </c>
      <c r="P898" s="11" t="s">
        <v>94</v>
      </c>
      <c r="Q898" s="50" t="s">
        <v>119</v>
      </c>
      <c r="R898" s="47">
        <v>227</v>
      </c>
      <c r="S898" s="48">
        <v>19.600000000000001</v>
      </c>
      <c r="T898" s="48">
        <v>6.4</v>
      </c>
      <c r="U898" s="48">
        <v>227</v>
      </c>
      <c r="V898" s="47">
        <v>18.2</v>
      </c>
      <c r="W898" s="48">
        <v>7.5</v>
      </c>
      <c r="X898" s="130">
        <f t="shared" si="147"/>
        <v>-1.4000000000000021</v>
      </c>
      <c r="Y898" s="16">
        <f t="shared" si="148"/>
        <v>0.46560083866887852</v>
      </c>
      <c r="Z898" s="15">
        <f t="shared" si="149"/>
        <v>0.29999999999999716</v>
      </c>
      <c r="AA898" s="16">
        <f t="shared" si="150"/>
        <v>51.864117647058826</v>
      </c>
      <c r="AB898" s="16">
        <f t="shared" si="151"/>
        <v>0.67090820355718273</v>
      </c>
      <c r="AC898" s="66" t="s">
        <v>49</v>
      </c>
      <c r="AD898" s="51" t="s">
        <v>694</v>
      </c>
      <c r="AE898" s="13">
        <v>52</v>
      </c>
      <c r="AF898" s="13">
        <v>2</v>
      </c>
      <c r="AG898" s="13">
        <v>45</v>
      </c>
      <c r="AH898" s="134" t="s">
        <v>690</v>
      </c>
      <c r="AI898" s="134">
        <v>4.05</v>
      </c>
      <c r="AJ898" s="135">
        <f t="shared" si="146"/>
        <v>182.25</v>
      </c>
      <c r="AK898" s="45">
        <f t="shared" si="152"/>
        <v>364.5</v>
      </c>
      <c r="AL898" s="136" t="str" cm="1">
        <f t="array" ref="AL898">_xlfn.IFS(
AI898&lt;3,"Ligera",
AI898&lt;=6,"Moderada",
AI898&gt;6,"Vigorosa"
)</f>
        <v>Moderada</v>
      </c>
      <c r="AM898" s="45" t="s">
        <v>48</v>
      </c>
      <c r="AN898" s="289" t="s">
        <v>663</v>
      </c>
      <c r="AO898" s="61" t="s">
        <v>61</v>
      </c>
      <c r="AP898" s="97" t="s">
        <v>155</v>
      </c>
      <c r="AQ898" s="303">
        <v>0</v>
      </c>
      <c r="AR898" s="299"/>
      <c r="AS898" s="299"/>
    </row>
    <row r="899" spans="1:45" s="273" customFormat="1" ht="55.5" customHeight="1" thickBot="1">
      <c r="A899" s="124" t="s">
        <v>695</v>
      </c>
      <c r="B899" s="125">
        <v>21</v>
      </c>
      <c r="C899" s="125">
        <v>90.6</v>
      </c>
      <c r="D899" s="125">
        <v>8.33</v>
      </c>
      <c r="E899" s="125" t="s">
        <v>45</v>
      </c>
      <c r="F899" s="125" t="s">
        <v>45</v>
      </c>
      <c r="G899" s="125" t="s">
        <v>696</v>
      </c>
      <c r="H899" s="125"/>
      <c r="I899" s="125" t="s">
        <v>145</v>
      </c>
      <c r="J899" s="125" t="s">
        <v>47</v>
      </c>
      <c r="K899" s="125" t="s">
        <v>49</v>
      </c>
      <c r="L899" s="125" t="s">
        <v>49</v>
      </c>
      <c r="M899" s="126" t="s">
        <v>50</v>
      </c>
      <c r="N899" s="126" t="s">
        <v>50</v>
      </c>
      <c r="O899" s="126" t="s">
        <v>50</v>
      </c>
      <c r="P899" s="126" t="s">
        <v>51</v>
      </c>
      <c r="Q899" s="159" t="s">
        <v>461</v>
      </c>
      <c r="R899" s="167">
        <v>11</v>
      </c>
      <c r="S899" s="191">
        <v>78.709999999999994</v>
      </c>
      <c r="T899" s="191">
        <v>36.82</v>
      </c>
      <c r="U899" s="168">
        <v>11</v>
      </c>
      <c r="V899" s="274">
        <v>83.7</v>
      </c>
      <c r="W899" s="191">
        <v>36.21</v>
      </c>
      <c r="X899" s="130">
        <f t="shared" si="147"/>
        <v>4.9900000000000091</v>
      </c>
      <c r="Y899" s="16">
        <f t="shared" si="148"/>
        <v>11.010838874821154</v>
      </c>
      <c r="Z899" s="286" t="s">
        <v>53</v>
      </c>
      <c r="AA899" s="286" t="s">
        <v>53</v>
      </c>
      <c r="AB899" s="16">
        <v>11.010838874821154</v>
      </c>
      <c r="AC899" s="66" t="s">
        <v>49</v>
      </c>
      <c r="AD899" s="133" t="s">
        <v>697</v>
      </c>
      <c r="AE899" s="134">
        <v>12</v>
      </c>
      <c r="AF899" s="134">
        <v>0</v>
      </c>
      <c r="AG899" s="134">
        <v>0</v>
      </c>
      <c r="AH899" s="134">
        <v>0</v>
      </c>
      <c r="AI899" s="134">
        <v>0</v>
      </c>
      <c r="AJ899" s="135">
        <f t="shared" si="146"/>
        <v>0</v>
      </c>
      <c r="AK899" s="45">
        <f t="shared" si="152"/>
        <v>0</v>
      </c>
      <c r="AL899" s="136" t="str" cm="1">
        <f t="array" ref="AL899">_xlfn.IFS(
AI899&lt;3,"Ligera",
AI899&lt;=6,"Moderada",
AI899&gt;6,"Vigorosa"
)</f>
        <v>Ligera</v>
      </c>
      <c r="AM899" s="136" t="s">
        <v>49</v>
      </c>
      <c r="AN899" s="136" t="s">
        <v>49</v>
      </c>
      <c r="AO899" s="136" t="s">
        <v>49</v>
      </c>
      <c r="AP899" s="136" t="s">
        <v>49</v>
      </c>
      <c r="AQ899" s="298">
        <v>0</v>
      </c>
      <c r="AR899" s="299"/>
      <c r="AS899" s="300" t="s">
        <v>698</v>
      </c>
    </row>
    <row r="900" spans="1:45" s="273" customFormat="1" ht="55.5" customHeight="1" thickBot="1">
      <c r="A900" s="138" t="s">
        <v>695</v>
      </c>
      <c r="B900" s="12">
        <v>21</v>
      </c>
      <c r="C900" s="12">
        <v>88.6</v>
      </c>
      <c r="D900" s="12">
        <v>9.09</v>
      </c>
      <c r="E900" s="12" t="s">
        <v>45</v>
      </c>
      <c r="F900" s="12" t="s">
        <v>45</v>
      </c>
      <c r="G900" s="12" t="s">
        <v>696</v>
      </c>
      <c r="H900" s="12"/>
      <c r="I900" s="12" t="s">
        <v>145</v>
      </c>
      <c r="J900" s="12" t="s">
        <v>47</v>
      </c>
      <c r="K900" s="12" t="s">
        <v>49</v>
      </c>
      <c r="L900" s="12" t="s">
        <v>49</v>
      </c>
      <c r="M900" s="11" t="s">
        <v>56</v>
      </c>
      <c r="N900" s="11" t="s">
        <v>57</v>
      </c>
      <c r="O900" s="11" t="s">
        <v>126</v>
      </c>
      <c r="P900" s="11" t="s">
        <v>51</v>
      </c>
      <c r="Q900" s="50" t="s">
        <v>461</v>
      </c>
      <c r="R900" s="47">
        <v>10</v>
      </c>
      <c r="S900" s="85">
        <v>78.709999999999994</v>
      </c>
      <c r="T900" s="85">
        <v>36.82</v>
      </c>
      <c r="U900" s="48">
        <v>10</v>
      </c>
      <c r="V900" s="181">
        <v>142.51</v>
      </c>
      <c r="W900" s="85">
        <v>38.53</v>
      </c>
      <c r="X900" s="130">
        <f t="shared" si="147"/>
        <v>63.8</v>
      </c>
      <c r="Y900" s="16">
        <f t="shared" si="148"/>
        <v>11.923081397021493</v>
      </c>
      <c r="Z900" s="15">
        <f t="shared" si="149"/>
        <v>58.809999999999988</v>
      </c>
      <c r="AA900" s="16">
        <f t="shared" si="150"/>
        <v>1393.2994263157896</v>
      </c>
      <c r="AB900" s="16">
        <f t="shared" si="151"/>
        <v>16.309307981704965</v>
      </c>
      <c r="AC900" s="66" t="s">
        <v>49</v>
      </c>
      <c r="AD900" s="51" t="s">
        <v>699</v>
      </c>
      <c r="AE900" s="13">
        <v>12</v>
      </c>
      <c r="AF900" s="13">
        <v>3</v>
      </c>
      <c r="AG900" s="13">
        <v>45</v>
      </c>
      <c r="AH900" s="134">
        <v>205460</v>
      </c>
      <c r="AI900" s="134">
        <v>4.3</v>
      </c>
      <c r="AJ900" s="135">
        <f t="shared" si="146"/>
        <v>193.5</v>
      </c>
      <c r="AK900" s="45">
        <f t="shared" si="152"/>
        <v>580.5</v>
      </c>
      <c r="AL900" s="136" t="str" cm="1">
        <f t="array" ref="AL900">_xlfn.IFS(
AI900&lt;3,"Ligera",
AI900&lt;=6,"Moderada",
AI900&gt;6,"Vigorosa"
)</f>
        <v>Moderada</v>
      </c>
      <c r="AM900" s="45" t="s">
        <v>48</v>
      </c>
      <c r="AN900" s="289" t="s">
        <v>663</v>
      </c>
      <c r="AO900" s="61" t="s">
        <v>61</v>
      </c>
      <c r="AP900" s="97" t="s">
        <v>155</v>
      </c>
      <c r="AQ900" s="303">
        <v>0</v>
      </c>
      <c r="AR900" s="299"/>
      <c r="AS900" s="300" t="s">
        <v>698</v>
      </c>
    </row>
    <row r="901" spans="1:45" s="273" customFormat="1" ht="55.5" customHeight="1" thickBot="1">
      <c r="A901" s="138" t="s">
        <v>695</v>
      </c>
      <c r="B901" s="12">
        <v>21</v>
      </c>
      <c r="C901" s="12">
        <v>90.6</v>
      </c>
      <c r="D901" s="12">
        <v>8.33</v>
      </c>
      <c r="E901" s="12" t="s">
        <v>45</v>
      </c>
      <c r="F901" s="12" t="s">
        <v>45</v>
      </c>
      <c r="G901" s="12" t="s">
        <v>696</v>
      </c>
      <c r="H901" s="12"/>
      <c r="I901" s="12" t="s">
        <v>145</v>
      </c>
      <c r="J901" s="12" t="s">
        <v>47</v>
      </c>
      <c r="K901" s="12" t="s">
        <v>49</v>
      </c>
      <c r="L901" s="12" t="s">
        <v>49</v>
      </c>
      <c r="M901" s="11" t="s">
        <v>50</v>
      </c>
      <c r="N901" s="11" t="s">
        <v>50</v>
      </c>
      <c r="O901" s="11" t="s">
        <v>50</v>
      </c>
      <c r="P901" s="11" t="s">
        <v>51</v>
      </c>
      <c r="Q901" s="50" t="s">
        <v>700</v>
      </c>
      <c r="R901" s="47">
        <v>11</v>
      </c>
      <c r="S901" s="85">
        <v>61.58</v>
      </c>
      <c r="T901" s="85">
        <v>34.17</v>
      </c>
      <c r="U901" s="48">
        <v>11</v>
      </c>
      <c r="V901" s="181">
        <v>82.11</v>
      </c>
      <c r="W901" s="85">
        <v>41.8</v>
      </c>
      <c r="X901" s="130">
        <f t="shared" si="147"/>
        <v>20.53</v>
      </c>
      <c r="Y901" s="16">
        <f t="shared" si="148"/>
        <v>11.624906255731505</v>
      </c>
      <c r="Z901" s="286" t="s">
        <v>53</v>
      </c>
      <c r="AA901" s="286" t="s">
        <v>53</v>
      </c>
      <c r="AB901" s="16">
        <v>11.624906255731505</v>
      </c>
      <c r="AC901" s="66" t="s">
        <v>49</v>
      </c>
      <c r="AD901" s="51" t="s">
        <v>697</v>
      </c>
      <c r="AE901" s="13">
        <v>12</v>
      </c>
      <c r="AF901" s="13">
        <v>0</v>
      </c>
      <c r="AG901" s="13">
        <v>0</v>
      </c>
      <c r="AH901" s="134">
        <v>0</v>
      </c>
      <c r="AI901" s="134">
        <v>0</v>
      </c>
      <c r="AJ901" s="135">
        <f t="shared" si="146"/>
        <v>0</v>
      </c>
      <c r="AK901" s="45">
        <f t="shared" si="152"/>
        <v>0</v>
      </c>
      <c r="AL901" s="136" t="str" cm="1">
        <f t="array" ref="AL901">_xlfn.IFS(
AI901&lt;3,"Ligera",
AI901&lt;=6,"Moderada",
AI901&gt;6,"Vigorosa"
)</f>
        <v>Ligera</v>
      </c>
      <c r="AM901" s="45" t="s">
        <v>49</v>
      </c>
      <c r="AN901" s="45" t="s">
        <v>49</v>
      </c>
      <c r="AO901" s="45" t="s">
        <v>49</v>
      </c>
      <c r="AP901" s="45" t="s">
        <v>49</v>
      </c>
      <c r="AQ901" s="303">
        <v>0</v>
      </c>
      <c r="AR901" s="299"/>
      <c r="AS901" s="300" t="s">
        <v>698</v>
      </c>
    </row>
    <row r="902" spans="1:45" s="273" customFormat="1" ht="55.5" customHeight="1" thickBot="1">
      <c r="A902" s="138" t="s">
        <v>695</v>
      </c>
      <c r="B902" s="12">
        <v>21</v>
      </c>
      <c r="C902" s="12">
        <v>88.6</v>
      </c>
      <c r="D902" s="12">
        <v>9.09</v>
      </c>
      <c r="E902" s="12" t="s">
        <v>45</v>
      </c>
      <c r="F902" s="12" t="s">
        <v>45</v>
      </c>
      <c r="G902" s="12" t="s">
        <v>696</v>
      </c>
      <c r="H902" s="12"/>
      <c r="I902" s="12" t="s">
        <v>145</v>
      </c>
      <c r="J902" s="12" t="s">
        <v>47</v>
      </c>
      <c r="K902" s="12" t="s">
        <v>49</v>
      </c>
      <c r="L902" s="12" t="s">
        <v>49</v>
      </c>
      <c r="M902" s="11" t="s">
        <v>56</v>
      </c>
      <c r="N902" s="11" t="s">
        <v>57</v>
      </c>
      <c r="O902" s="11" t="s">
        <v>126</v>
      </c>
      <c r="P902" s="11" t="s">
        <v>51</v>
      </c>
      <c r="Q902" s="50" t="s">
        <v>700</v>
      </c>
      <c r="R902" s="47">
        <v>10</v>
      </c>
      <c r="S902" s="85">
        <v>68.17</v>
      </c>
      <c r="T902" s="85">
        <v>36.4</v>
      </c>
      <c r="U902" s="48">
        <v>10</v>
      </c>
      <c r="V902" s="181">
        <v>117.3</v>
      </c>
      <c r="W902" s="85">
        <v>31.08</v>
      </c>
      <c r="X902" s="130">
        <f t="shared" si="147"/>
        <v>49.129999999999995</v>
      </c>
      <c r="Y902" s="16">
        <f t="shared" si="148"/>
        <v>10.768539362420512</v>
      </c>
      <c r="Z902" s="15">
        <f t="shared" si="149"/>
        <v>28.599999999999994</v>
      </c>
      <c r="AA902" s="16">
        <f t="shared" si="150"/>
        <v>1377.1630315789473</v>
      </c>
      <c r="AB902" s="16">
        <f t="shared" si="151"/>
        <v>16.214590417039357</v>
      </c>
      <c r="AC902" s="66" t="s">
        <v>49</v>
      </c>
      <c r="AD902" s="51" t="s">
        <v>699</v>
      </c>
      <c r="AE902" s="13">
        <v>12</v>
      </c>
      <c r="AF902" s="13">
        <v>3</v>
      </c>
      <c r="AG902" s="13">
        <v>45</v>
      </c>
      <c r="AH902" s="134">
        <v>205460</v>
      </c>
      <c r="AI902" s="134">
        <v>4.3</v>
      </c>
      <c r="AJ902" s="135">
        <f t="shared" si="146"/>
        <v>193.5</v>
      </c>
      <c r="AK902" s="45">
        <f t="shared" si="152"/>
        <v>580.5</v>
      </c>
      <c r="AL902" s="136" t="str" cm="1">
        <f t="array" ref="AL902">_xlfn.IFS(
AI902&lt;3,"Ligera",
AI902&lt;=6,"Moderada",
AI902&gt;6,"Vigorosa"
)</f>
        <v>Moderada</v>
      </c>
      <c r="AM902" s="45" t="s">
        <v>48</v>
      </c>
      <c r="AN902" s="289" t="s">
        <v>663</v>
      </c>
      <c r="AO902" s="61" t="s">
        <v>61</v>
      </c>
      <c r="AP902" s="97" t="s">
        <v>155</v>
      </c>
      <c r="AQ902" s="303">
        <v>0</v>
      </c>
      <c r="AR902" s="299"/>
      <c r="AS902" s="300" t="s">
        <v>698</v>
      </c>
    </row>
    <row r="903" spans="1:45" s="273" customFormat="1" ht="59.25" customHeight="1" thickBot="1">
      <c r="A903" s="124" t="s">
        <v>701</v>
      </c>
      <c r="B903" s="125">
        <v>59</v>
      </c>
      <c r="C903" s="125">
        <v>78.73</v>
      </c>
      <c r="D903" s="125">
        <v>30</v>
      </c>
      <c r="E903" s="125" t="s">
        <v>45</v>
      </c>
      <c r="F903" s="125" t="s">
        <v>45</v>
      </c>
      <c r="G903" s="125" t="s">
        <v>702</v>
      </c>
      <c r="H903" s="125"/>
      <c r="I903" s="125" t="s">
        <v>45</v>
      </c>
      <c r="J903" s="125" t="s">
        <v>47</v>
      </c>
      <c r="K903" s="125" t="s">
        <v>49</v>
      </c>
      <c r="L903" s="125" t="s">
        <v>49</v>
      </c>
      <c r="M903" s="126" t="s">
        <v>50</v>
      </c>
      <c r="N903" s="126" t="s">
        <v>50</v>
      </c>
      <c r="O903" s="126" t="s">
        <v>50</v>
      </c>
      <c r="P903" s="126" t="s">
        <v>51</v>
      </c>
      <c r="Q903" s="159" t="s">
        <v>700</v>
      </c>
      <c r="R903" s="167">
        <v>30</v>
      </c>
      <c r="S903" s="305">
        <v>97.48</v>
      </c>
      <c r="T903" s="305">
        <v>46.39</v>
      </c>
      <c r="U903" s="167">
        <v>30</v>
      </c>
      <c r="V903" s="167">
        <v>81.2</v>
      </c>
      <c r="W903" s="191">
        <v>61.93</v>
      </c>
      <c r="X903" s="130">
        <f t="shared" si="147"/>
        <v>-16.28</v>
      </c>
      <c r="Y903" s="16">
        <f t="shared" si="148"/>
        <v>10.188922579612299</v>
      </c>
      <c r="Z903" s="286" t="s">
        <v>53</v>
      </c>
      <c r="AA903" s="286" t="s">
        <v>53</v>
      </c>
      <c r="AB903" s="16">
        <v>10.188922579612299</v>
      </c>
      <c r="AC903" s="66" t="s">
        <v>49</v>
      </c>
      <c r="AD903" s="133" t="s">
        <v>703</v>
      </c>
      <c r="AE903" s="134">
        <v>12</v>
      </c>
      <c r="AF903" s="134">
        <v>0</v>
      </c>
      <c r="AG903" s="134">
        <v>0</v>
      </c>
      <c r="AH903" s="134">
        <v>0</v>
      </c>
      <c r="AI903" s="134">
        <v>0</v>
      </c>
      <c r="AJ903" s="135">
        <f t="shared" si="146"/>
        <v>0</v>
      </c>
      <c r="AK903" s="45">
        <f t="shared" si="152"/>
        <v>0</v>
      </c>
      <c r="AL903" s="136" t="str" cm="1">
        <f t="array" ref="AL903">_xlfn.IFS(
AI903&lt;3,"Ligera",
AI903&lt;=6,"Moderada",
AI903&gt;6,"Vigorosa"
)</f>
        <v>Ligera</v>
      </c>
      <c r="AM903" s="136" t="s">
        <v>49</v>
      </c>
      <c r="AN903" s="136" t="s">
        <v>49</v>
      </c>
      <c r="AO903" s="136" t="s">
        <v>49</v>
      </c>
      <c r="AP903" s="136" t="s">
        <v>49</v>
      </c>
      <c r="AQ903" s="298">
        <v>0</v>
      </c>
      <c r="AR903" s="299"/>
      <c r="AS903" s="300" t="s">
        <v>451</v>
      </c>
    </row>
    <row r="904" spans="1:45" s="273" customFormat="1" ht="59.25" customHeight="1" thickBot="1">
      <c r="A904" s="138" t="s">
        <v>701</v>
      </c>
      <c r="B904" s="12">
        <v>59</v>
      </c>
      <c r="C904" s="12">
        <v>76.959999999999994</v>
      </c>
      <c r="D904" s="12">
        <v>21</v>
      </c>
      <c r="E904" s="12" t="s">
        <v>45</v>
      </c>
      <c r="F904" s="12" t="s">
        <v>45</v>
      </c>
      <c r="G904" s="12" t="s">
        <v>439</v>
      </c>
      <c r="H904" s="12"/>
      <c r="I904" s="12" t="s">
        <v>45</v>
      </c>
      <c r="J904" s="12" t="s">
        <v>47</v>
      </c>
      <c r="K904" s="12" t="s">
        <v>49</v>
      </c>
      <c r="L904" s="12" t="s">
        <v>49</v>
      </c>
      <c r="M904" s="11" t="s">
        <v>56</v>
      </c>
      <c r="N904" s="11" t="s">
        <v>410</v>
      </c>
      <c r="O904" s="11" t="s">
        <v>411</v>
      </c>
      <c r="P904" s="11" t="s">
        <v>51</v>
      </c>
      <c r="Q904" s="50" t="s">
        <v>700</v>
      </c>
      <c r="R904" s="47">
        <v>29</v>
      </c>
      <c r="S904" s="48">
        <v>75.319999999999993</v>
      </c>
      <c r="T904" s="48">
        <v>39.909999999999997</v>
      </c>
      <c r="U904" s="47">
        <v>29</v>
      </c>
      <c r="V904" s="47">
        <v>94.93</v>
      </c>
      <c r="W904" s="85">
        <v>55.64</v>
      </c>
      <c r="X904" s="130">
        <f t="shared" si="147"/>
        <v>19.610000000000014</v>
      </c>
      <c r="Y904" s="16">
        <f t="shared" si="148"/>
        <v>9.2252003062077303</v>
      </c>
      <c r="Z904" s="15">
        <f t="shared" si="149"/>
        <v>35.890000000000015</v>
      </c>
      <c r="AA904" s="16">
        <f t="shared" si="150"/>
        <v>3472.0542263157895</v>
      </c>
      <c r="AB904" s="16">
        <f t="shared" si="151"/>
        <v>15.344743356641249</v>
      </c>
      <c r="AC904" s="66" t="s">
        <v>49</v>
      </c>
      <c r="AD904" s="51" t="s">
        <v>704</v>
      </c>
      <c r="AE904" s="13">
        <v>12</v>
      </c>
      <c r="AF904" s="13">
        <v>3</v>
      </c>
      <c r="AG904" s="13">
        <v>35</v>
      </c>
      <c r="AH904" s="134" t="s">
        <v>705</v>
      </c>
      <c r="AI904" s="13">
        <v>3.15</v>
      </c>
      <c r="AJ904" s="135">
        <v>113.5</v>
      </c>
      <c r="AK904" s="45">
        <f t="shared" si="152"/>
        <v>340.5</v>
      </c>
      <c r="AL904" s="136" t="str" cm="1">
        <f t="array" ref="AL904">_xlfn.IFS(
AI904&lt;3,"Ligera",
AI904&lt;=6,"Moderada",
AI904&gt;6,"Vigorosa"
)</f>
        <v>Moderada</v>
      </c>
      <c r="AM904" s="45" t="s">
        <v>49</v>
      </c>
      <c r="AN904" s="289" t="s">
        <v>49</v>
      </c>
      <c r="AO904" s="61" t="s">
        <v>61</v>
      </c>
      <c r="AP904" s="97" t="s">
        <v>173</v>
      </c>
      <c r="AQ904" s="303">
        <v>0</v>
      </c>
      <c r="AR904" s="299"/>
      <c r="AS904" s="300" t="s">
        <v>451</v>
      </c>
    </row>
    <row r="905" spans="1:45" s="273" customFormat="1" ht="59.25" customHeight="1" thickBot="1">
      <c r="A905" s="138" t="s">
        <v>701</v>
      </c>
      <c r="B905" s="12">
        <v>59</v>
      </c>
      <c r="C905" s="12">
        <v>78.73</v>
      </c>
      <c r="D905" s="12">
        <v>30</v>
      </c>
      <c r="E905" s="12" t="s">
        <v>45</v>
      </c>
      <c r="F905" s="12" t="s">
        <v>45</v>
      </c>
      <c r="G905" s="12" t="s">
        <v>702</v>
      </c>
      <c r="H905" s="12"/>
      <c r="I905" s="12" t="s">
        <v>45</v>
      </c>
      <c r="J905" s="12" t="s">
        <v>47</v>
      </c>
      <c r="K905" s="12" t="s">
        <v>49</v>
      </c>
      <c r="L905" s="12" t="s">
        <v>49</v>
      </c>
      <c r="M905" s="11" t="s">
        <v>50</v>
      </c>
      <c r="N905" s="11" t="s">
        <v>50</v>
      </c>
      <c r="O905" s="11" t="s">
        <v>50</v>
      </c>
      <c r="P905" s="11" t="s">
        <v>51</v>
      </c>
      <c r="Q905" s="50" t="s">
        <v>461</v>
      </c>
      <c r="R905" s="47">
        <v>30</v>
      </c>
      <c r="S905" s="48">
        <v>121.99</v>
      </c>
      <c r="T905" s="48">
        <v>45.31</v>
      </c>
      <c r="U905" s="47">
        <v>30</v>
      </c>
      <c r="V905" s="47">
        <v>142.49</v>
      </c>
      <c r="W905" s="85">
        <v>69.44</v>
      </c>
      <c r="X905" s="130">
        <f t="shared" si="147"/>
        <v>20.500000000000014</v>
      </c>
      <c r="Y905" s="16">
        <f t="shared" si="148"/>
        <v>11.148368042005073</v>
      </c>
      <c r="Z905" s="286" t="s">
        <v>53</v>
      </c>
      <c r="AA905" s="286" t="s">
        <v>53</v>
      </c>
      <c r="AB905" s="16">
        <v>11.148368042005073</v>
      </c>
      <c r="AC905" s="66" t="s">
        <v>49</v>
      </c>
      <c r="AD905" s="51" t="s">
        <v>703</v>
      </c>
      <c r="AE905" s="13">
        <v>12</v>
      </c>
      <c r="AF905" s="13">
        <v>0</v>
      </c>
      <c r="AG905" s="13">
        <v>0</v>
      </c>
      <c r="AH905" s="134">
        <v>0</v>
      </c>
      <c r="AI905" s="134">
        <v>0</v>
      </c>
      <c r="AJ905" s="135">
        <f t="shared" si="146"/>
        <v>0</v>
      </c>
      <c r="AK905" s="45">
        <f t="shared" si="152"/>
        <v>0</v>
      </c>
      <c r="AL905" s="136" t="str" cm="1">
        <f t="array" ref="AL905">_xlfn.IFS(
AI905&lt;3,"Ligera",
AI905&lt;=6,"Moderada",
AI905&gt;6,"Vigorosa"
)</f>
        <v>Ligera</v>
      </c>
      <c r="AM905" s="45" t="s">
        <v>49</v>
      </c>
      <c r="AN905" s="45" t="s">
        <v>49</v>
      </c>
      <c r="AO905" s="45" t="s">
        <v>49</v>
      </c>
      <c r="AP905" s="45" t="s">
        <v>49</v>
      </c>
      <c r="AQ905" s="303">
        <v>0</v>
      </c>
      <c r="AR905" s="299"/>
      <c r="AS905" s="300" t="s">
        <v>451</v>
      </c>
    </row>
    <row r="906" spans="1:45" s="273" customFormat="1" ht="59.25" customHeight="1" thickBot="1">
      <c r="A906" s="138" t="s">
        <v>701</v>
      </c>
      <c r="B906" s="12">
        <v>59</v>
      </c>
      <c r="C906" s="12">
        <v>76.959999999999994</v>
      </c>
      <c r="D906" s="12">
        <v>21</v>
      </c>
      <c r="E906" s="12" t="s">
        <v>45</v>
      </c>
      <c r="F906" s="12" t="s">
        <v>45</v>
      </c>
      <c r="G906" s="12" t="s">
        <v>439</v>
      </c>
      <c r="H906" s="12"/>
      <c r="I906" s="12" t="s">
        <v>45</v>
      </c>
      <c r="J906" s="12" t="s">
        <v>47</v>
      </c>
      <c r="K906" s="12" t="s">
        <v>49</v>
      </c>
      <c r="L906" s="12" t="s">
        <v>49</v>
      </c>
      <c r="M906" s="11" t="s">
        <v>56</v>
      </c>
      <c r="N906" s="11" t="s">
        <v>410</v>
      </c>
      <c r="O906" s="11" t="s">
        <v>411</v>
      </c>
      <c r="P906" s="11" t="s">
        <v>51</v>
      </c>
      <c r="Q906" s="50" t="s">
        <v>461</v>
      </c>
      <c r="R906" s="47">
        <v>29</v>
      </c>
      <c r="S906" s="48">
        <v>113.46</v>
      </c>
      <c r="T906" s="48">
        <v>57.37</v>
      </c>
      <c r="U906" s="47">
        <v>29</v>
      </c>
      <c r="V906" s="47">
        <v>165.93</v>
      </c>
      <c r="W906" s="85">
        <v>75.2</v>
      </c>
      <c r="X906" s="130">
        <f t="shared" si="147"/>
        <v>52.470000000000013</v>
      </c>
      <c r="Y906" s="16">
        <f t="shared" si="148"/>
        <v>12.638382835222835</v>
      </c>
      <c r="Z906" s="15">
        <f t="shared" si="149"/>
        <v>31.97</v>
      </c>
      <c r="AA906" s="16">
        <f t="shared" si="150"/>
        <v>5231.1686736842112</v>
      </c>
      <c r="AB906" s="16">
        <f t="shared" si="151"/>
        <v>18.835005065079567</v>
      </c>
      <c r="AC906" s="66" t="s">
        <v>49</v>
      </c>
      <c r="AD906" s="51" t="s">
        <v>706</v>
      </c>
      <c r="AE906" s="13">
        <v>12</v>
      </c>
      <c r="AF906" s="13">
        <v>3</v>
      </c>
      <c r="AG906" s="13">
        <v>35</v>
      </c>
      <c r="AH906" s="134" t="s">
        <v>705</v>
      </c>
      <c r="AI906" s="13">
        <v>3.15</v>
      </c>
      <c r="AJ906" s="135">
        <v>113.5</v>
      </c>
      <c r="AK906" s="45">
        <f t="shared" si="152"/>
        <v>340.5</v>
      </c>
      <c r="AL906" s="136" t="str" cm="1">
        <f t="array" ref="AL906">_xlfn.IFS(
AI906&lt;3,"Ligera",
AI906&lt;=6,"Moderada",
AI906&gt;6,"Vigorosa"
)</f>
        <v>Moderada</v>
      </c>
      <c r="AM906" s="45" t="s">
        <v>49</v>
      </c>
      <c r="AN906" s="289" t="s">
        <v>49</v>
      </c>
      <c r="AO906" s="61" t="s">
        <v>61</v>
      </c>
      <c r="AP906" s="97" t="s">
        <v>173</v>
      </c>
      <c r="AQ906" s="303">
        <v>0</v>
      </c>
      <c r="AR906" s="299"/>
      <c r="AS906" s="300" t="s">
        <v>451</v>
      </c>
    </row>
    <row r="907" spans="1:45" s="273" customFormat="1" ht="59.25" customHeight="1" thickBot="1">
      <c r="A907" s="138" t="s">
        <v>701</v>
      </c>
      <c r="B907" s="12">
        <v>59</v>
      </c>
      <c r="C907" s="12">
        <v>78.73</v>
      </c>
      <c r="D907" s="12">
        <v>30</v>
      </c>
      <c r="E907" s="12" t="s">
        <v>45</v>
      </c>
      <c r="F907" s="12" t="s">
        <v>45</v>
      </c>
      <c r="G907" s="12" t="s">
        <v>702</v>
      </c>
      <c r="H907" s="12"/>
      <c r="I907" s="12" t="s">
        <v>45</v>
      </c>
      <c r="J907" s="12" t="s">
        <v>47</v>
      </c>
      <c r="K907" s="12" t="s">
        <v>49</v>
      </c>
      <c r="L907" s="12" t="s">
        <v>49</v>
      </c>
      <c r="M907" s="11" t="s">
        <v>50</v>
      </c>
      <c r="N907" s="11" t="s">
        <v>50</v>
      </c>
      <c r="O907" s="11" t="s">
        <v>50</v>
      </c>
      <c r="P907" s="11" t="s">
        <v>51</v>
      </c>
      <c r="Q907" s="50" t="s">
        <v>376</v>
      </c>
      <c r="R907" s="47">
        <v>30</v>
      </c>
      <c r="S907" s="48">
        <v>-3.47</v>
      </c>
      <c r="T907" s="48">
        <v>7.45</v>
      </c>
      <c r="U907" s="47">
        <v>30</v>
      </c>
      <c r="V907" s="47">
        <v>-3.84</v>
      </c>
      <c r="W907" s="85">
        <v>10.9</v>
      </c>
      <c r="X907" s="130">
        <f t="shared" si="147"/>
        <v>-0.36999999999999966</v>
      </c>
      <c r="Y907" s="16">
        <f t="shared" si="148"/>
        <v>1.7616989905580731</v>
      </c>
      <c r="Z907" s="286" t="s">
        <v>53</v>
      </c>
      <c r="AA907" s="286" t="s">
        <v>53</v>
      </c>
      <c r="AB907" s="16">
        <v>1.7616989905580731</v>
      </c>
      <c r="AC907" s="66" t="s">
        <v>49</v>
      </c>
      <c r="AD907" s="51" t="s">
        <v>703</v>
      </c>
      <c r="AE907" s="13">
        <v>12</v>
      </c>
      <c r="AF907" s="13">
        <v>0</v>
      </c>
      <c r="AG907" s="13">
        <v>0</v>
      </c>
      <c r="AH907" s="134">
        <v>0</v>
      </c>
      <c r="AI907" s="134">
        <v>0</v>
      </c>
      <c r="AJ907" s="135">
        <f t="shared" si="146"/>
        <v>0</v>
      </c>
      <c r="AK907" s="45">
        <f t="shared" si="152"/>
        <v>0</v>
      </c>
      <c r="AL907" s="136" t="str" cm="1">
        <f t="array" ref="AL907">_xlfn.IFS(
AI907&lt;3,"Ligera",
AI907&lt;=6,"Moderada",
AI907&gt;6,"Vigorosa"
)</f>
        <v>Ligera</v>
      </c>
      <c r="AM907" s="45" t="s">
        <v>49</v>
      </c>
      <c r="AN907" s="45" t="s">
        <v>49</v>
      </c>
      <c r="AO907" s="45" t="s">
        <v>49</v>
      </c>
      <c r="AP907" s="45" t="s">
        <v>49</v>
      </c>
      <c r="AQ907" s="303">
        <v>0</v>
      </c>
      <c r="AR907" s="299"/>
      <c r="AS907" s="300" t="s">
        <v>451</v>
      </c>
    </row>
    <row r="908" spans="1:45" s="273" customFormat="1" ht="59.25" customHeight="1" thickBot="1">
      <c r="A908" s="138" t="s">
        <v>701</v>
      </c>
      <c r="B908" s="12">
        <v>59</v>
      </c>
      <c r="C908" s="12">
        <v>76.959999999999994</v>
      </c>
      <c r="D908" s="12">
        <v>21</v>
      </c>
      <c r="E908" s="12" t="s">
        <v>45</v>
      </c>
      <c r="F908" s="12" t="s">
        <v>45</v>
      </c>
      <c r="G908" s="12" t="s">
        <v>439</v>
      </c>
      <c r="H908" s="12"/>
      <c r="I908" s="12" t="s">
        <v>45</v>
      </c>
      <c r="J908" s="12" t="s">
        <v>47</v>
      </c>
      <c r="K908" s="12" t="s">
        <v>49</v>
      </c>
      <c r="L908" s="12" t="s">
        <v>49</v>
      </c>
      <c r="M908" s="11" t="s">
        <v>56</v>
      </c>
      <c r="N908" s="11" t="s">
        <v>410</v>
      </c>
      <c r="O908" s="11" t="s">
        <v>411</v>
      </c>
      <c r="P908" s="11" t="s">
        <v>51</v>
      </c>
      <c r="Q908" s="50" t="s">
        <v>376</v>
      </c>
      <c r="R908" s="47">
        <v>29</v>
      </c>
      <c r="S908" s="48">
        <v>-3.11</v>
      </c>
      <c r="T908" s="48">
        <v>6.66</v>
      </c>
      <c r="U908" s="47">
        <v>29</v>
      </c>
      <c r="V908" s="47">
        <v>0.99</v>
      </c>
      <c r="W908" s="85">
        <v>10.87</v>
      </c>
      <c r="X908" s="130">
        <f t="shared" si="147"/>
        <v>4.0999999999999996</v>
      </c>
      <c r="Y908" s="16">
        <f t="shared" si="148"/>
        <v>1.7628180808599896</v>
      </c>
      <c r="Z908" s="15">
        <f t="shared" si="149"/>
        <v>4.4699999999999989</v>
      </c>
      <c r="AA908" s="16">
        <f t="shared" si="150"/>
        <v>118.48917894736843</v>
      </c>
      <c r="AB908" s="16">
        <f t="shared" si="151"/>
        <v>2.8346909981603678</v>
      </c>
      <c r="AC908" s="66" t="s">
        <v>49</v>
      </c>
      <c r="AD908" s="51" t="s">
        <v>706</v>
      </c>
      <c r="AE908" s="13">
        <v>12</v>
      </c>
      <c r="AF908" s="13">
        <v>3</v>
      </c>
      <c r="AG908" s="13">
        <v>35</v>
      </c>
      <c r="AH908" s="134" t="s">
        <v>705</v>
      </c>
      <c r="AI908" s="13">
        <v>3.15</v>
      </c>
      <c r="AJ908" s="135">
        <v>113.5</v>
      </c>
      <c r="AK908" s="45">
        <f t="shared" si="152"/>
        <v>340.5</v>
      </c>
      <c r="AL908" s="136" t="str" cm="1">
        <f t="array" ref="AL908">_xlfn.IFS(
AI908&lt;3,"Ligera",
AI908&lt;=6,"Moderada",
AI908&gt;6,"Vigorosa"
)</f>
        <v>Moderada</v>
      </c>
      <c r="AM908" s="45" t="s">
        <v>49</v>
      </c>
      <c r="AN908" s="289" t="s">
        <v>49</v>
      </c>
      <c r="AO908" s="61" t="s">
        <v>61</v>
      </c>
      <c r="AP908" s="97" t="s">
        <v>173</v>
      </c>
      <c r="AQ908" s="303">
        <v>0</v>
      </c>
      <c r="AR908" s="299"/>
      <c r="AS908" s="300" t="s">
        <v>451</v>
      </c>
    </row>
    <row r="909" spans="1:45" s="273" customFormat="1" ht="59.25" customHeight="1" thickBot="1">
      <c r="A909" s="138" t="s">
        <v>701</v>
      </c>
      <c r="B909" s="12">
        <v>59</v>
      </c>
      <c r="C909" s="12">
        <v>78.73</v>
      </c>
      <c r="D909" s="12">
        <v>30</v>
      </c>
      <c r="E909" s="12" t="s">
        <v>45</v>
      </c>
      <c r="F909" s="12" t="s">
        <v>45</v>
      </c>
      <c r="G909" s="12" t="s">
        <v>702</v>
      </c>
      <c r="H909" s="12"/>
      <c r="I909" s="12" t="s">
        <v>45</v>
      </c>
      <c r="J909" s="12" t="s">
        <v>47</v>
      </c>
      <c r="K909" s="12" t="s">
        <v>49</v>
      </c>
      <c r="L909" s="12" t="s">
        <v>49</v>
      </c>
      <c r="M909" s="11" t="s">
        <v>50</v>
      </c>
      <c r="N909" s="11" t="s">
        <v>50</v>
      </c>
      <c r="O909" s="11" t="s">
        <v>50</v>
      </c>
      <c r="P909" s="11" t="s">
        <v>51</v>
      </c>
      <c r="Q909" s="50" t="s">
        <v>284</v>
      </c>
      <c r="R909" s="47">
        <v>30</v>
      </c>
      <c r="S909" s="48">
        <v>3.03</v>
      </c>
      <c r="T909" s="48">
        <v>4.2300000000000004</v>
      </c>
      <c r="U909" s="47">
        <v>30</v>
      </c>
      <c r="V909" s="47">
        <v>2.59</v>
      </c>
      <c r="W909" s="85">
        <v>6.34</v>
      </c>
      <c r="X909" s="130">
        <f t="shared" si="147"/>
        <v>-0.43999999999999995</v>
      </c>
      <c r="Y909" s="16">
        <f t="shared" si="148"/>
        <v>1.0209521699537807</v>
      </c>
      <c r="Z909" s="286" t="s">
        <v>53</v>
      </c>
      <c r="AA909" s="286" t="s">
        <v>53</v>
      </c>
      <c r="AB909" s="16">
        <v>1.0209521699537807</v>
      </c>
      <c r="AC909" s="66" t="s">
        <v>49</v>
      </c>
      <c r="AD909" s="51" t="s">
        <v>703</v>
      </c>
      <c r="AE909" s="13">
        <v>12</v>
      </c>
      <c r="AF909" s="13">
        <v>0</v>
      </c>
      <c r="AG909" s="13">
        <v>0</v>
      </c>
      <c r="AH909" s="134">
        <v>0</v>
      </c>
      <c r="AI909" s="134">
        <v>0</v>
      </c>
      <c r="AJ909" s="135">
        <f t="shared" si="146"/>
        <v>0</v>
      </c>
      <c r="AK909" s="45">
        <f t="shared" si="152"/>
        <v>0</v>
      </c>
      <c r="AL909" s="136" t="str" cm="1">
        <f t="array" ref="AL909">_xlfn.IFS(
AI909&lt;3,"Ligera",
AI909&lt;=6,"Moderada",
AI909&gt;6,"Vigorosa"
)</f>
        <v>Ligera</v>
      </c>
      <c r="AM909" s="45" t="s">
        <v>49</v>
      </c>
      <c r="AN909" s="45" t="s">
        <v>49</v>
      </c>
      <c r="AO909" s="45" t="s">
        <v>49</v>
      </c>
      <c r="AP909" s="45" t="s">
        <v>49</v>
      </c>
      <c r="AQ909" s="303">
        <v>0</v>
      </c>
      <c r="AR909" s="299"/>
      <c r="AS909" s="300" t="s">
        <v>451</v>
      </c>
    </row>
    <row r="910" spans="1:45" s="273" customFormat="1" ht="59.25" customHeight="1" thickBot="1">
      <c r="A910" s="138" t="s">
        <v>701</v>
      </c>
      <c r="B910" s="12">
        <v>59</v>
      </c>
      <c r="C910" s="12">
        <v>76.959999999999994</v>
      </c>
      <c r="D910" s="12">
        <v>21</v>
      </c>
      <c r="E910" s="12" t="s">
        <v>45</v>
      </c>
      <c r="F910" s="12" t="s">
        <v>45</v>
      </c>
      <c r="G910" s="12" t="s">
        <v>439</v>
      </c>
      <c r="H910" s="12"/>
      <c r="I910" s="12" t="s">
        <v>45</v>
      </c>
      <c r="J910" s="12" t="s">
        <v>47</v>
      </c>
      <c r="K910" s="12" t="s">
        <v>49</v>
      </c>
      <c r="L910" s="12" t="s">
        <v>49</v>
      </c>
      <c r="M910" s="11" t="s">
        <v>56</v>
      </c>
      <c r="N910" s="11" t="s">
        <v>410</v>
      </c>
      <c r="O910" s="11" t="s">
        <v>411</v>
      </c>
      <c r="P910" s="11" t="s">
        <v>51</v>
      </c>
      <c r="Q910" s="50" t="s">
        <v>284</v>
      </c>
      <c r="R910" s="47">
        <v>29</v>
      </c>
      <c r="S910" s="48">
        <v>1.37</v>
      </c>
      <c r="T910" s="48">
        <v>0.98</v>
      </c>
      <c r="U910" s="47">
        <v>29</v>
      </c>
      <c r="V910" s="47">
        <v>3.02</v>
      </c>
      <c r="W910" s="85">
        <v>2.86</v>
      </c>
      <c r="X910" s="130">
        <f t="shared" si="147"/>
        <v>1.65</v>
      </c>
      <c r="Y910" s="16">
        <f t="shared" si="148"/>
        <v>0.46746565427957854</v>
      </c>
      <c r="Z910" s="15">
        <f t="shared" si="149"/>
        <v>2.09</v>
      </c>
      <c r="AA910" s="16">
        <f t="shared" si="150"/>
        <v>24.468442105263158</v>
      </c>
      <c r="AB910" s="16">
        <f t="shared" si="151"/>
        <v>1.2881591981514608</v>
      </c>
      <c r="AC910" s="66" t="s">
        <v>49</v>
      </c>
      <c r="AD910" s="51" t="s">
        <v>706</v>
      </c>
      <c r="AE910" s="13">
        <v>12</v>
      </c>
      <c r="AF910" s="13">
        <v>3</v>
      </c>
      <c r="AG910" s="13">
        <v>35</v>
      </c>
      <c r="AH910" s="134" t="s">
        <v>705</v>
      </c>
      <c r="AI910" s="13">
        <v>3.15</v>
      </c>
      <c r="AJ910" s="135">
        <v>113.5</v>
      </c>
      <c r="AK910" s="45">
        <f t="shared" si="152"/>
        <v>340.5</v>
      </c>
      <c r="AL910" s="136" t="str" cm="1">
        <f t="array" ref="AL910">_xlfn.IFS(
AI910&lt;3,"Ligera",
AI910&lt;=6,"Moderada",
AI910&gt;6,"Vigorosa"
)</f>
        <v>Moderada</v>
      </c>
      <c r="AM910" s="45" t="s">
        <v>49</v>
      </c>
      <c r="AN910" s="289" t="s">
        <v>49</v>
      </c>
      <c r="AO910" s="61" t="s">
        <v>61</v>
      </c>
      <c r="AP910" s="97" t="s">
        <v>173</v>
      </c>
      <c r="AQ910" s="303">
        <v>0</v>
      </c>
      <c r="AR910" s="299"/>
      <c r="AS910" s="300" t="s">
        <v>451</v>
      </c>
    </row>
    <row r="911" spans="1:45" s="273" customFormat="1" ht="59.25" customHeight="1" thickBot="1">
      <c r="A911" s="138" t="s">
        <v>701</v>
      </c>
      <c r="B911" s="12">
        <v>59</v>
      </c>
      <c r="C911" s="12">
        <v>78.73</v>
      </c>
      <c r="D911" s="12">
        <v>30</v>
      </c>
      <c r="E911" s="12" t="s">
        <v>45</v>
      </c>
      <c r="F911" s="12" t="s">
        <v>45</v>
      </c>
      <c r="G911" s="12" t="s">
        <v>702</v>
      </c>
      <c r="H911" s="12"/>
      <c r="I911" s="12" t="s">
        <v>45</v>
      </c>
      <c r="J911" s="12" t="s">
        <v>47</v>
      </c>
      <c r="K911" s="12" t="s">
        <v>49</v>
      </c>
      <c r="L911" s="12" t="s">
        <v>49</v>
      </c>
      <c r="M911" s="11" t="s">
        <v>50</v>
      </c>
      <c r="N911" s="11" t="s">
        <v>50</v>
      </c>
      <c r="O911" s="11" t="s">
        <v>50</v>
      </c>
      <c r="P911" s="11" t="s">
        <v>51</v>
      </c>
      <c r="Q911" s="50" t="s">
        <v>287</v>
      </c>
      <c r="R911" s="47">
        <v>30</v>
      </c>
      <c r="S911" s="48">
        <v>1.93</v>
      </c>
      <c r="T911" s="48">
        <v>1.46</v>
      </c>
      <c r="U911" s="47">
        <v>30</v>
      </c>
      <c r="V911" s="47">
        <v>1.79</v>
      </c>
      <c r="W911" s="85">
        <v>2.4300000000000002</v>
      </c>
      <c r="X911" s="130">
        <f t="shared" si="147"/>
        <v>-0.1399999999999999</v>
      </c>
      <c r="Y911" s="16">
        <f t="shared" si="148"/>
        <v>0.38681175438878962</v>
      </c>
      <c r="Z911" s="286" t="s">
        <v>53</v>
      </c>
      <c r="AA911" s="286" t="s">
        <v>53</v>
      </c>
      <c r="AB911" s="16">
        <v>0.38681175438878962</v>
      </c>
      <c r="AC911" s="66" t="s">
        <v>49</v>
      </c>
      <c r="AD911" s="51" t="s">
        <v>703</v>
      </c>
      <c r="AE911" s="13">
        <v>12</v>
      </c>
      <c r="AF911" s="13">
        <v>0</v>
      </c>
      <c r="AG911" s="13">
        <v>0</v>
      </c>
      <c r="AH911" s="134">
        <v>0</v>
      </c>
      <c r="AI911" s="134">
        <v>0</v>
      </c>
      <c r="AJ911" s="135">
        <f t="shared" si="146"/>
        <v>0</v>
      </c>
      <c r="AK911" s="45">
        <f t="shared" si="152"/>
        <v>0</v>
      </c>
      <c r="AL911" s="136" t="str" cm="1">
        <f t="array" ref="AL911">_xlfn.IFS(
AI911&lt;3,"Ligera",
AI911&lt;=6,"Moderada",
AI911&gt;6,"Vigorosa"
)</f>
        <v>Ligera</v>
      </c>
      <c r="AM911" s="45" t="s">
        <v>49</v>
      </c>
      <c r="AN911" s="45" t="s">
        <v>49</v>
      </c>
      <c r="AO911" s="45" t="s">
        <v>49</v>
      </c>
      <c r="AP911" s="45" t="s">
        <v>49</v>
      </c>
      <c r="AQ911" s="303">
        <v>0</v>
      </c>
      <c r="AR911" s="299"/>
      <c r="AS911" s="300" t="s">
        <v>451</v>
      </c>
    </row>
    <row r="912" spans="1:45" s="273" customFormat="1" ht="59.25" customHeight="1" thickBot="1">
      <c r="A912" s="138" t="s">
        <v>701</v>
      </c>
      <c r="B912" s="12">
        <v>59</v>
      </c>
      <c r="C912" s="12">
        <v>76.959999999999994</v>
      </c>
      <c r="D912" s="12">
        <v>21</v>
      </c>
      <c r="E912" s="12" t="s">
        <v>45</v>
      </c>
      <c r="F912" s="12" t="s">
        <v>45</v>
      </c>
      <c r="G912" s="12" t="s">
        <v>439</v>
      </c>
      <c r="H912" s="12"/>
      <c r="I912" s="12" t="s">
        <v>45</v>
      </c>
      <c r="J912" s="12" t="s">
        <v>47</v>
      </c>
      <c r="K912" s="12" t="s">
        <v>49</v>
      </c>
      <c r="L912" s="12" t="s">
        <v>49</v>
      </c>
      <c r="M912" s="11" t="s">
        <v>56</v>
      </c>
      <c r="N912" s="11" t="s">
        <v>410</v>
      </c>
      <c r="O912" s="11" t="s">
        <v>411</v>
      </c>
      <c r="P912" s="11" t="s">
        <v>51</v>
      </c>
      <c r="Q912" s="50" t="s">
        <v>287</v>
      </c>
      <c r="R912" s="47">
        <v>29</v>
      </c>
      <c r="S912" s="48">
        <v>1.28</v>
      </c>
      <c r="T912" s="48">
        <v>0.84</v>
      </c>
      <c r="U912" s="47">
        <v>29</v>
      </c>
      <c r="V912" s="47">
        <v>2.27</v>
      </c>
      <c r="W912" s="85">
        <v>2.73</v>
      </c>
      <c r="X912" s="130">
        <f t="shared" si="147"/>
        <v>0.99</v>
      </c>
      <c r="Y912" s="16">
        <f t="shared" si="148"/>
        <v>0.44972405332373655</v>
      </c>
      <c r="Z912" s="15">
        <f t="shared" si="149"/>
        <v>1.1299999999999999</v>
      </c>
      <c r="AA912" s="16">
        <f t="shared" si="150"/>
        <v>6.6653210526315796</v>
      </c>
      <c r="AB912" s="16">
        <f t="shared" si="151"/>
        <v>0.67232137063189401</v>
      </c>
      <c r="AC912" s="66" t="s">
        <v>49</v>
      </c>
      <c r="AD912" s="51" t="s">
        <v>706</v>
      </c>
      <c r="AE912" s="13">
        <v>12</v>
      </c>
      <c r="AF912" s="13">
        <v>3</v>
      </c>
      <c r="AG912" s="13">
        <v>35</v>
      </c>
      <c r="AH912" s="134" t="s">
        <v>705</v>
      </c>
      <c r="AI912" s="13">
        <v>3.15</v>
      </c>
      <c r="AJ912" s="135">
        <v>113.5</v>
      </c>
      <c r="AK912" s="45">
        <f t="shared" si="152"/>
        <v>340.5</v>
      </c>
      <c r="AL912" s="136" t="str" cm="1">
        <f t="array" ref="AL912">_xlfn.IFS(
AI912&lt;3,"Ligera",
AI912&lt;=6,"Moderada",
AI912&gt;6,"Vigorosa"
)</f>
        <v>Moderada</v>
      </c>
      <c r="AM912" s="45" t="s">
        <v>49</v>
      </c>
      <c r="AN912" s="289" t="s">
        <v>49</v>
      </c>
      <c r="AO912" s="61" t="s">
        <v>61</v>
      </c>
      <c r="AP912" s="97" t="s">
        <v>173</v>
      </c>
      <c r="AQ912" s="303">
        <v>0</v>
      </c>
      <c r="AR912" s="299"/>
      <c r="AS912" s="300" t="s">
        <v>451</v>
      </c>
    </row>
    <row r="913" spans="1:45" s="273" customFormat="1" ht="59.25" customHeight="1" thickBot="1">
      <c r="A913" s="138" t="s">
        <v>701</v>
      </c>
      <c r="B913" s="12">
        <v>59</v>
      </c>
      <c r="C913" s="12">
        <v>78.73</v>
      </c>
      <c r="D913" s="12">
        <v>30</v>
      </c>
      <c r="E913" s="12" t="s">
        <v>45</v>
      </c>
      <c r="F913" s="12" t="s">
        <v>45</v>
      </c>
      <c r="G913" s="12" t="s">
        <v>702</v>
      </c>
      <c r="H913" s="12"/>
      <c r="I913" s="12" t="s">
        <v>45</v>
      </c>
      <c r="J913" s="12" t="s">
        <v>47</v>
      </c>
      <c r="K913" s="12" t="s">
        <v>49</v>
      </c>
      <c r="L913" s="12" t="s">
        <v>49</v>
      </c>
      <c r="M913" s="11" t="s">
        <v>50</v>
      </c>
      <c r="N913" s="11" t="s">
        <v>50</v>
      </c>
      <c r="O913" s="11" t="s">
        <v>50</v>
      </c>
      <c r="P913" s="11" t="s">
        <v>51</v>
      </c>
      <c r="Q913" s="50" t="s">
        <v>249</v>
      </c>
      <c r="R913" s="47">
        <v>30</v>
      </c>
      <c r="S913" s="48">
        <v>0.86399999999999999</v>
      </c>
      <c r="T913" s="48">
        <v>0.28000000000000003</v>
      </c>
      <c r="U913" s="47">
        <v>30</v>
      </c>
      <c r="V913" s="47">
        <v>0.90800000000000003</v>
      </c>
      <c r="W913" s="85">
        <v>0.42899999999999999</v>
      </c>
      <c r="X913" s="130">
        <f t="shared" si="147"/>
        <v>4.4000000000000039E-2</v>
      </c>
      <c r="Y913" s="16">
        <f t="shared" si="148"/>
        <v>6.8876943408758592E-2</v>
      </c>
      <c r="Z913" s="286" t="s">
        <v>53</v>
      </c>
      <c r="AA913" s="286" t="s">
        <v>53</v>
      </c>
      <c r="AB913" s="16">
        <v>6.8876943408758592E-2</v>
      </c>
      <c r="AC913" s="66" t="s">
        <v>49</v>
      </c>
      <c r="AD913" s="51" t="s">
        <v>703</v>
      </c>
      <c r="AE913" s="13">
        <v>12</v>
      </c>
      <c r="AF913" s="13">
        <v>0</v>
      </c>
      <c r="AG913" s="13">
        <v>0</v>
      </c>
      <c r="AH913" s="134">
        <v>0</v>
      </c>
      <c r="AI913" s="134">
        <v>0</v>
      </c>
      <c r="AJ913" s="135">
        <f t="shared" si="146"/>
        <v>0</v>
      </c>
      <c r="AK913" s="45">
        <f t="shared" si="152"/>
        <v>0</v>
      </c>
      <c r="AL913" s="136" t="str" cm="1">
        <f t="array" ref="AL913">_xlfn.IFS(
AI913&lt;3,"Ligera",
AI913&lt;=6,"Moderada",
AI913&gt;6,"Vigorosa"
)</f>
        <v>Ligera</v>
      </c>
      <c r="AM913" s="45" t="s">
        <v>49</v>
      </c>
      <c r="AN913" s="45" t="s">
        <v>49</v>
      </c>
      <c r="AO913" s="45" t="s">
        <v>49</v>
      </c>
      <c r="AP913" s="45" t="s">
        <v>49</v>
      </c>
      <c r="AQ913" s="303">
        <v>0</v>
      </c>
      <c r="AR913" s="299"/>
      <c r="AS913" s="300" t="s">
        <v>451</v>
      </c>
    </row>
    <row r="914" spans="1:45" s="273" customFormat="1" ht="59.25" customHeight="1" thickBot="1">
      <c r="A914" s="138" t="s">
        <v>701</v>
      </c>
      <c r="B914" s="12">
        <v>59</v>
      </c>
      <c r="C914" s="12">
        <v>76.959999999999994</v>
      </c>
      <c r="D914" s="12">
        <v>21</v>
      </c>
      <c r="E914" s="12" t="s">
        <v>45</v>
      </c>
      <c r="F914" s="12" t="s">
        <v>45</v>
      </c>
      <c r="G914" s="12" t="s">
        <v>439</v>
      </c>
      <c r="H914" s="12"/>
      <c r="I914" s="12" t="s">
        <v>45</v>
      </c>
      <c r="J914" s="12" t="s">
        <v>47</v>
      </c>
      <c r="K914" s="12" t="s">
        <v>49</v>
      </c>
      <c r="L914" s="12" t="s">
        <v>49</v>
      </c>
      <c r="M914" s="11" t="s">
        <v>56</v>
      </c>
      <c r="N914" s="11" t="s">
        <v>410</v>
      </c>
      <c r="O914" s="11" t="s">
        <v>411</v>
      </c>
      <c r="P914" s="11" t="s">
        <v>51</v>
      </c>
      <c r="Q914" s="50" t="s">
        <v>249</v>
      </c>
      <c r="R914" s="47">
        <v>29</v>
      </c>
      <c r="S914" s="48">
        <v>0.66400000000000003</v>
      </c>
      <c r="T914" s="48">
        <v>0.224</v>
      </c>
      <c r="U914" s="47">
        <v>29</v>
      </c>
      <c r="V914" s="47">
        <v>0.96099999999999997</v>
      </c>
      <c r="W914" s="85">
        <v>0.65500000000000003</v>
      </c>
      <c r="X914" s="130">
        <f t="shared" si="147"/>
        <v>0.29699999999999993</v>
      </c>
      <c r="Y914" s="16">
        <f t="shared" si="148"/>
        <v>0.10707409616226289</v>
      </c>
      <c r="Z914" s="15">
        <f t="shared" si="149"/>
        <v>0.25299999999999989</v>
      </c>
      <c r="AA914" s="16">
        <f t="shared" si="150"/>
        <v>0.30438401754385969</v>
      </c>
      <c r="AB914" s="16">
        <f t="shared" si="151"/>
        <v>0.14367370853113431</v>
      </c>
      <c r="AC914" s="66" t="s">
        <v>49</v>
      </c>
      <c r="AD914" s="51" t="s">
        <v>706</v>
      </c>
      <c r="AE914" s="13">
        <v>12</v>
      </c>
      <c r="AF914" s="13">
        <v>3</v>
      </c>
      <c r="AG914" s="13">
        <v>35</v>
      </c>
      <c r="AH914" s="134" t="s">
        <v>705</v>
      </c>
      <c r="AI914" s="13">
        <v>3.15</v>
      </c>
      <c r="AJ914" s="135">
        <v>113.5</v>
      </c>
      <c r="AK914" s="45">
        <f t="shared" si="152"/>
        <v>340.5</v>
      </c>
      <c r="AL914" s="136" t="str" cm="1">
        <f t="array" ref="AL914">_xlfn.IFS(
AI914&lt;3,"Ligera",
AI914&lt;=6,"Moderada",
AI914&gt;6,"Vigorosa"
)</f>
        <v>Moderada</v>
      </c>
      <c r="AM914" s="45" t="s">
        <v>49</v>
      </c>
      <c r="AN914" s="289" t="s">
        <v>49</v>
      </c>
      <c r="AO914" s="61" t="s">
        <v>61</v>
      </c>
      <c r="AP914" s="97" t="s">
        <v>173</v>
      </c>
      <c r="AQ914" s="303">
        <v>0</v>
      </c>
      <c r="AR914" s="299"/>
      <c r="AS914" s="300" t="s">
        <v>451</v>
      </c>
    </row>
    <row r="915" spans="1:45" s="273" customFormat="1" ht="59.25" customHeight="1" thickBot="1">
      <c r="A915" s="138" t="s">
        <v>701</v>
      </c>
      <c r="B915" s="12">
        <v>59</v>
      </c>
      <c r="C915" s="12">
        <v>78.73</v>
      </c>
      <c r="D915" s="12">
        <v>30</v>
      </c>
      <c r="E915" s="12" t="s">
        <v>45</v>
      </c>
      <c r="F915" s="12" t="s">
        <v>45</v>
      </c>
      <c r="G915" s="12" t="s">
        <v>702</v>
      </c>
      <c r="H915" s="12"/>
      <c r="I915" s="12" t="s">
        <v>45</v>
      </c>
      <c r="J915" s="12" t="s">
        <v>47</v>
      </c>
      <c r="K915" s="12" t="s">
        <v>49</v>
      </c>
      <c r="L915" s="12" t="s">
        <v>49</v>
      </c>
      <c r="M915" s="11" t="s">
        <v>50</v>
      </c>
      <c r="N915" s="11" t="s">
        <v>50</v>
      </c>
      <c r="O915" s="11" t="s">
        <v>50</v>
      </c>
      <c r="P915" s="11" t="s">
        <v>197</v>
      </c>
      <c r="Q915" s="50" t="s">
        <v>374</v>
      </c>
      <c r="R915" s="47">
        <v>30</v>
      </c>
      <c r="S915" s="48">
        <v>88.97</v>
      </c>
      <c r="T915" s="48">
        <v>10.29</v>
      </c>
      <c r="U915" s="47">
        <v>30</v>
      </c>
      <c r="V915" s="47">
        <v>84.8</v>
      </c>
      <c r="W915" s="85">
        <v>12.55</v>
      </c>
      <c r="X915" s="130">
        <f t="shared" si="147"/>
        <v>-4.1700000000000017</v>
      </c>
      <c r="Y915" s="16">
        <f t="shared" si="148"/>
        <v>2.1153967319000317</v>
      </c>
      <c r="Z915" s="286" t="s">
        <v>53</v>
      </c>
      <c r="AA915" s="286" t="s">
        <v>53</v>
      </c>
      <c r="AB915" s="16">
        <v>2.1153967319000317</v>
      </c>
      <c r="AC915" s="66" t="s">
        <v>48</v>
      </c>
      <c r="AD915" s="51" t="s">
        <v>703</v>
      </c>
      <c r="AE915" s="13">
        <v>12</v>
      </c>
      <c r="AF915" s="13">
        <v>0</v>
      </c>
      <c r="AG915" s="13">
        <v>0</v>
      </c>
      <c r="AH915" s="134">
        <v>0</v>
      </c>
      <c r="AI915" s="134">
        <v>0</v>
      </c>
      <c r="AJ915" s="135">
        <f t="shared" si="146"/>
        <v>0</v>
      </c>
      <c r="AK915" s="45">
        <f t="shared" si="152"/>
        <v>0</v>
      </c>
      <c r="AL915" s="136" t="str" cm="1">
        <f t="array" ref="AL915">_xlfn.IFS(
AI915&lt;3,"Ligera",
AI915&lt;=6,"Moderada",
AI915&gt;6,"Vigorosa"
)</f>
        <v>Ligera</v>
      </c>
      <c r="AM915" s="45" t="s">
        <v>49</v>
      </c>
      <c r="AN915" s="45" t="s">
        <v>49</v>
      </c>
      <c r="AO915" s="45" t="s">
        <v>49</v>
      </c>
      <c r="AP915" s="45" t="s">
        <v>49</v>
      </c>
      <c r="AQ915" s="303">
        <v>0</v>
      </c>
      <c r="AR915" s="299"/>
      <c r="AS915" s="300" t="s">
        <v>451</v>
      </c>
    </row>
    <row r="916" spans="1:45" s="273" customFormat="1" ht="59.25" customHeight="1" thickBot="1">
      <c r="A916" s="138" t="s">
        <v>701</v>
      </c>
      <c r="B916" s="12">
        <v>59</v>
      </c>
      <c r="C916" s="12">
        <v>76.959999999999994</v>
      </c>
      <c r="D916" s="12">
        <v>21</v>
      </c>
      <c r="E916" s="12" t="s">
        <v>45</v>
      </c>
      <c r="F916" s="12" t="s">
        <v>45</v>
      </c>
      <c r="G916" s="12" t="s">
        <v>439</v>
      </c>
      <c r="H916" s="12"/>
      <c r="I916" s="12" t="s">
        <v>45</v>
      </c>
      <c r="J916" s="12" t="s">
        <v>47</v>
      </c>
      <c r="K916" s="12" t="s">
        <v>49</v>
      </c>
      <c r="L916" s="12" t="s">
        <v>49</v>
      </c>
      <c r="M916" s="11" t="s">
        <v>56</v>
      </c>
      <c r="N916" s="11" t="s">
        <v>410</v>
      </c>
      <c r="O916" s="11" t="s">
        <v>411</v>
      </c>
      <c r="P916" s="11" t="s">
        <v>197</v>
      </c>
      <c r="Q916" s="50" t="s">
        <v>374</v>
      </c>
      <c r="R916" s="47">
        <v>29</v>
      </c>
      <c r="S916" s="48">
        <v>87.93</v>
      </c>
      <c r="T916" s="48">
        <v>12.81</v>
      </c>
      <c r="U916" s="47">
        <v>29</v>
      </c>
      <c r="V916" s="47">
        <v>93.13</v>
      </c>
      <c r="W916" s="85">
        <v>14.87</v>
      </c>
      <c r="X916" s="130">
        <f t="shared" ref="X916:X946" si="157">V916-S916</f>
        <v>5.1999999999999886</v>
      </c>
      <c r="Y916" s="16">
        <f t="shared" si="148"/>
        <v>2.5912871252559491</v>
      </c>
      <c r="Z916" s="15">
        <f t="shared" si="149"/>
        <v>9.3699999999999903</v>
      </c>
      <c r="AA916" s="16">
        <f t="shared" si="150"/>
        <v>188.75167894736845</v>
      </c>
      <c r="AB916" s="16">
        <f t="shared" si="151"/>
        <v>3.5777648351968252</v>
      </c>
      <c r="AC916" s="66" t="s">
        <v>48</v>
      </c>
      <c r="AD916" s="51" t="s">
        <v>706</v>
      </c>
      <c r="AE916" s="13">
        <v>12</v>
      </c>
      <c r="AF916" s="13">
        <v>3</v>
      </c>
      <c r="AG916" s="13">
        <v>35</v>
      </c>
      <c r="AH916" s="134" t="s">
        <v>705</v>
      </c>
      <c r="AI916" s="13">
        <v>3.15</v>
      </c>
      <c r="AJ916" s="135">
        <v>113.5</v>
      </c>
      <c r="AK916" s="45">
        <f t="shared" si="152"/>
        <v>340.5</v>
      </c>
      <c r="AL916" s="136" t="str" cm="1">
        <f t="array" ref="AL916">_xlfn.IFS(
AI916&lt;3,"Ligera",
AI916&lt;=6,"Moderada",
AI916&gt;6,"Vigorosa"
)</f>
        <v>Moderada</v>
      </c>
      <c r="AM916" s="45" t="s">
        <v>49</v>
      </c>
      <c r="AN916" s="289" t="s">
        <v>49</v>
      </c>
      <c r="AO916" s="61" t="s">
        <v>61</v>
      </c>
      <c r="AP916" s="97" t="s">
        <v>173</v>
      </c>
      <c r="AQ916" s="303">
        <v>0</v>
      </c>
      <c r="AR916" s="299"/>
      <c r="AS916" s="300" t="s">
        <v>451</v>
      </c>
    </row>
    <row r="917" spans="1:45" s="273" customFormat="1" ht="59.25" customHeight="1" thickBot="1">
      <c r="A917" s="124" t="s">
        <v>707</v>
      </c>
      <c r="B917" s="125">
        <v>22</v>
      </c>
      <c r="C917" s="125">
        <v>79.099999999999994</v>
      </c>
      <c r="D917" s="125">
        <v>27.27</v>
      </c>
      <c r="E917" s="125" t="s">
        <v>45</v>
      </c>
      <c r="F917" s="125" t="s">
        <v>45</v>
      </c>
      <c r="G917" s="125" t="s">
        <v>312</v>
      </c>
      <c r="H917" s="125"/>
      <c r="I917" s="125" t="s">
        <v>45</v>
      </c>
      <c r="J917" s="125" t="s">
        <v>47</v>
      </c>
      <c r="K917" s="125" t="s">
        <v>49</v>
      </c>
      <c r="L917" s="125" t="s">
        <v>48</v>
      </c>
      <c r="M917" s="126" t="s">
        <v>50</v>
      </c>
      <c r="N917" s="126" t="s">
        <v>50</v>
      </c>
      <c r="O917" s="126" t="s">
        <v>50</v>
      </c>
      <c r="P917" s="126" t="s">
        <v>94</v>
      </c>
      <c r="Q917" s="159" t="s">
        <v>119</v>
      </c>
      <c r="R917" s="167">
        <v>11</v>
      </c>
      <c r="S917" s="168">
        <v>27.9</v>
      </c>
      <c r="T917" s="168">
        <v>2.1</v>
      </c>
      <c r="U917" s="168">
        <v>11</v>
      </c>
      <c r="V917" s="167" t="s">
        <v>47</v>
      </c>
      <c r="W917" s="191" t="s">
        <v>47</v>
      </c>
      <c r="X917" s="130"/>
      <c r="Y917" s="16"/>
      <c r="Z917" s="286"/>
      <c r="AA917" s="286"/>
      <c r="AB917" s="16"/>
      <c r="AC917" s="66" t="s">
        <v>49</v>
      </c>
      <c r="AD917" s="133" t="s">
        <v>708</v>
      </c>
      <c r="AE917" s="134">
        <v>4</v>
      </c>
      <c r="AF917" s="134">
        <v>0</v>
      </c>
      <c r="AG917" s="134">
        <v>0</v>
      </c>
      <c r="AH917" s="134">
        <v>0</v>
      </c>
      <c r="AI917" s="134">
        <v>0</v>
      </c>
      <c r="AJ917" s="135">
        <f t="shared" ref="AJ917:AJ946" si="158">AI917*AG917</f>
        <v>0</v>
      </c>
      <c r="AK917" s="45">
        <f t="shared" si="152"/>
        <v>0</v>
      </c>
      <c r="AL917" s="136" t="str" cm="1">
        <f t="array" ref="AL917">_xlfn.IFS(
AI917&lt;3,"Ligera",
AI917&lt;=6,"Moderada",
AI917&gt;6,"Vigorosa"
)</f>
        <v>Ligera</v>
      </c>
      <c r="AM917" s="136" t="s">
        <v>49</v>
      </c>
      <c r="AN917" s="136" t="s">
        <v>49</v>
      </c>
      <c r="AO917" s="136" t="s">
        <v>49</v>
      </c>
      <c r="AP917" s="136" t="s">
        <v>49</v>
      </c>
      <c r="AQ917" s="298">
        <v>0</v>
      </c>
      <c r="AR917" s="299"/>
      <c r="AS917" s="300" t="s">
        <v>451</v>
      </c>
    </row>
    <row r="918" spans="1:45" s="273" customFormat="1" ht="59.25" customHeight="1" thickBot="1">
      <c r="A918" s="138" t="s">
        <v>707</v>
      </c>
      <c r="B918" s="12">
        <v>22</v>
      </c>
      <c r="C918" s="12">
        <v>80.099999999999994</v>
      </c>
      <c r="D918" s="12">
        <v>27.27</v>
      </c>
      <c r="E918" s="12" t="s">
        <v>45</v>
      </c>
      <c r="F918" s="12" t="s">
        <v>45</v>
      </c>
      <c r="G918" s="12" t="s">
        <v>312</v>
      </c>
      <c r="H918" s="12"/>
      <c r="I918" s="12" t="s">
        <v>45</v>
      </c>
      <c r="J918" s="12" t="s">
        <v>47</v>
      </c>
      <c r="K918" s="12" t="s">
        <v>49</v>
      </c>
      <c r="L918" s="12" t="s">
        <v>48</v>
      </c>
      <c r="M918" s="11" t="s">
        <v>56</v>
      </c>
      <c r="N918" s="11" t="s">
        <v>162</v>
      </c>
      <c r="O918" s="11" t="s">
        <v>614</v>
      </c>
      <c r="P918" s="11" t="s">
        <v>94</v>
      </c>
      <c r="Q918" s="50" t="s">
        <v>119</v>
      </c>
      <c r="R918" s="47">
        <v>11</v>
      </c>
      <c r="S918" s="48">
        <v>28.1</v>
      </c>
      <c r="T918" s="48">
        <v>2</v>
      </c>
      <c r="U918" s="48">
        <v>11</v>
      </c>
      <c r="V918" s="47" t="s">
        <v>47</v>
      </c>
      <c r="W918" s="85" t="s">
        <v>47</v>
      </c>
      <c r="X918" s="130"/>
      <c r="Y918" s="16"/>
      <c r="Z918" s="15"/>
      <c r="AA918" s="16"/>
      <c r="AB918" s="16"/>
      <c r="AC918" s="66" t="s">
        <v>49</v>
      </c>
      <c r="AD918" s="51" t="s">
        <v>709</v>
      </c>
      <c r="AE918" s="13">
        <v>4</v>
      </c>
      <c r="AF918" s="13">
        <v>5</v>
      </c>
      <c r="AG918" s="13">
        <v>30</v>
      </c>
      <c r="AH918" s="13" t="s">
        <v>710</v>
      </c>
      <c r="AI918" s="13">
        <v>3.5</v>
      </c>
      <c r="AJ918" s="135">
        <v>101</v>
      </c>
      <c r="AK918" s="45">
        <f t="shared" si="152"/>
        <v>505</v>
      </c>
      <c r="AL918" s="136" t="str" cm="1">
        <f t="array" ref="AL918">_xlfn.IFS(
AI918&lt;3,"Ligera",
AI918&lt;=6,"Moderada",
AI918&gt;6,"Vigorosa"
)</f>
        <v>Moderada</v>
      </c>
      <c r="AM918" s="45" t="s">
        <v>48</v>
      </c>
      <c r="AN918" s="289" t="s">
        <v>663</v>
      </c>
      <c r="AO918" s="61" t="s">
        <v>61</v>
      </c>
      <c r="AP918" s="97" t="s">
        <v>155</v>
      </c>
      <c r="AQ918" s="303">
        <v>0</v>
      </c>
      <c r="AR918" s="299"/>
      <c r="AS918" s="300" t="s">
        <v>451</v>
      </c>
    </row>
    <row r="919" spans="1:45" s="273" customFormat="1" ht="59.25" customHeight="1" thickBot="1">
      <c r="A919" s="138" t="s">
        <v>707</v>
      </c>
      <c r="B919" s="12">
        <v>22</v>
      </c>
      <c r="C919" s="12">
        <v>79.099999999999994</v>
      </c>
      <c r="D919" s="12">
        <v>27.27</v>
      </c>
      <c r="E919" s="12" t="s">
        <v>45</v>
      </c>
      <c r="F919" s="12" t="s">
        <v>45</v>
      </c>
      <c r="G919" s="12" t="s">
        <v>312</v>
      </c>
      <c r="H919" s="12"/>
      <c r="I919" s="12" t="s">
        <v>45</v>
      </c>
      <c r="J919" s="12" t="s">
        <v>47</v>
      </c>
      <c r="K919" s="12" t="s">
        <v>49</v>
      </c>
      <c r="L919" s="12" t="s">
        <v>48</v>
      </c>
      <c r="M919" s="11" t="s">
        <v>50</v>
      </c>
      <c r="N919" s="11" t="s">
        <v>50</v>
      </c>
      <c r="O919" s="11" t="s">
        <v>50</v>
      </c>
      <c r="P919" s="11" t="s">
        <v>51</v>
      </c>
      <c r="Q919" s="50" t="s">
        <v>82</v>
      </c>
      <c r="R919" s="47">
        <v>11</v>
      </c>
      <c r="S919" s="48">
        <v>261</v>
      </c>
      <c r="T919" s="48">
        <v>46</v>
      </c>
      <c r="U919" s="48">
        <v>11</v>
      </c>
      <c r="V919" s="47">
        <v>244</v>
      </c>
      <c r="W919" s="85">
        <v>44</v>
      </c>
      <c r="X919" s="130">
        <f t="shared" si="157"/>
        <v>-17</v>
      </c>
      <c r="Y919" s="16">
        <f t="shared" ref="Y919:Y946" si="159">SQRT((T919^2+W919^2-(2*0.5*T919*W919)))/SQRT(U919)</f>
        <v>13.578057164544431</v>
      </c>
      <c r="Z919" s="286" t="s">
        <v>53</v>
      </c>
      <c r="AA919" s="286" t="s">
        <v>53</v>
      </c>
      <c r="AB919" s="16">
        <v>13.578057164544431</v>
      </c>
      <c r="AC919" s="66" t="s">
        <v>49</v>
      </c>
      <c r="AD919" s="51" t="s">
        <v>708</v>
      </c>
      <c r="AE919" s="13">
        <v>4</v>
      </c>
      <c r="AF919" s="13">
        <v>0</v>
      </c>
      <c r="AG919" s="13">
        <v>0</v>
      </c>
      <c r="AH919" s="134">
        <v>0</v>
      </c>
      <c r="AI919" s="134">
        <v>0</v>
      </c>
      <c r="AJ919" s="135">
        <f t="shared" si="158"/>
        <v>0</v>
      </c>
      <c r="AK919" s="45">
        <f t="shared" si="152"/>
        <v>0</v>
      </c>
      <c r="AL919" s="136" t="str" cm="1">
        <f t="array" ref="AL919">_xlfn.IFS(
AI919&lt;3,"Ligera",
AI919&lt;=6,"Moderada",
AI919&gt;6,"Vigorosa"
)</f>
        <v>Ligera</v>
      </c>
      <c r="AM919" s="45" t="s">
        <v>49</v>
      </c>
      <c r="AN919" s="45" t="s">
        <v>49</v>
      </c>
      <c r="AO919" s="45" t="s">
        <v>49</v>
      </c>
      <c r="AP919" s="45" t="s">
        <v>49</v>
      </c>
      <c r="AQ919" s="303">
        <v>0</v>
      </c>
      <c r="AR919" s="299"/>
      <c r="AS919" s="300" t="s">
        <v>451</v>
      </c>
    </row>
    <row r="920" spans="1:45" s="273" customFormat="1" ht="59.25" customHeight="1" thickBot="1">
      <c r="A920" s="138" t="s">
        <v>707</v>
      </c>
      <c r="B920" s="12">
        <v>22</v>
      </c>
      <c r="C920" s="12">
        <v>80.099999999999994</v>
      </c>
      <c r="D920" s="12">
        <v>27.27</v>
      </c>
      <c r="E920" s="12" t="s">
        <v>45</v>
      </c>
      <c r="F920" s="12" t="s">
        <v>45</v>
      </c>
      <c r="G920" s="12" t="s">
        <v>312</v>
      </c>
      <c r="H920" s="12"/>
      <c r="I920" s="12" t="s">
        <v>45</v>
      </c>
      <c r="J920" s="12" t="s">
        <v>47</v>
      </c>
      <c r="K920" s="12" t="s">
        <v>49</v>
      </c>
      <c r="L920" s="12" t="s">
        <v>48</v>
      </c>
      <c r="M920" s="11" t="s">
        <v>56</v>
      </c>
      <c r="N920" s="11" t="s">
        <v>162</v>
      </c>
      <c r="O920" s="11" t="s">
        <v>614</v>
      </c>
      <c r="P920" s="11" t="s">
        <v>51</v>
      </c>
      <c r="Q920" s="50" t="s">
        <v>82</v>
      </c>
      <c r="R920" s="47">
        <v>11</v>
      </c>
      <c r="S920" s="48">
        <v>282</v>
      </c>
      <c r="T920" s="48">
        <v>58</v>
      </c>
      <c r="U920" s="48">
        <v>11</v>
      </c>
      <c r="V920" s="47">
        <v>334</v>
      </c>
      <c r="W920" s="85">
        <v>52.6</v>
      </c>
      <c r="X920" s="130">
        <f t="shared" si="157"/>
        <v>52</v>
      </c>
      <c r="Y920" s="16">
        <f t="shared" si="159"/>
        <v>16.733091873182424</v>
      </c>
      <c r="Z920" s="15">
        <f t="shared" ref="Z920:Z946" si="160">X920-X919</f>
        <v>69</v>
      </c>
      <c r="AA920" s="16">
        <f t="shared" ref="AA920:AA946" si="161">((U920-1)*W920^2+(U919-1)*W919^2)/((U920-1)+(U919-1))</f>
        <v>2351.38</v>
      </c>
      <c r="AB920" s="16">
        <f t="shared" ref="AB920:AB946" si="162">SQRT(AA920*((1/U920)+(1/U919)))</f>
        <v>20.676644707583396</v>
      </c>
      <c r="AC920" s="66" t="s">
        <v>49</v>
      </c>
      <c r="AD920" s="51" t="s">
        <v>709</v>
      </c>
      <c r="AE920" s="13">
        <v>4</v>
      </c>
      <c r="AF920" s="13">
        <v>5</v>
      </c>
      <c r="AG920" s="13">
        <v>30</v>
      </c>
      <c r="AH920" s="13" t="s">
        <v>710</v>
      </c>
      <c r="AI920" s="13">
        <v>3.5</v>
      </c>
      <c r="AJ920" s="135">
        <v>101</v>
      </c>
      <c r="AK920" s="45">
        <f t="shared" si="152"/>
        <v>505</v>
      </c>
      <c r="AL920" s="136" t="str" cm="1">
        <f t="array" ref="AL920">_xlfn.IFS(
AI920&lt;3,"Ligera",
AI920&lt;=6,"Moderada",
AI920&gt;6,"Vigorosa"
)</f>
        <v>Moderada</v>
      </c>
      <c r="AM920" s="45" t="s">
        <v>48</v>
      </c>
      <c r="AN920" s="289" t="s">
        <v>663</v>
      </c>
      <c r="AO920" s="61" t="s">
        <v>61</v>
      </c>
      <c r="AP920" s="97" t="s">
        <v>155</v>
      </c>
      <c r="AQ920" s="303">
        <v>0</v>
      </c>
      <c r="AR920" s="299"/>
      <c r="AS920" s="300" t="s">
        <v>451</v>
      </c>
    </row>
    <row r="921" spans="1:45" s="14" customFormat="1" ht="67.5" customHeight="1" thickBot="1">
      <c r="A921" s="203" t="s">
        <v>711</v>
      </c>
      <c r="B921" s="204">
        <v>30</v>
      </c>
      <c r="C921" s="204">
        <v>76.13</v>
      </c>
      <c r="D921" s="204">
        <v>46.7</v>
      </c>
      <c r="E921" s="204" t="s">
        <v>45</v>
      </c>
      <c r="F921" s="204" t="s">
        <v>45</v>
      </c>
      <c r="G921" s="204" t="s">
        <v>408</v>
      </c>
      <c r="H921" s="204"/>
      <c r="I921" s="204" t="s">
        <v>98</v>
      </c>
      <c r="J921" s="204" t="s">
        <v>47</v>
      </c>
      <c r="K921" s="204" t="s">
        <v>49</v>
      </c>
      <c r="L921" s="204" t="s">
        <v>49</v>
      </c>
      <c r="M921" s="205" t="s">
        <v>56</v>
      </c>
      <c r="N921" s="205" t="s">
        <v>57</v>
      </c>
      <c r="O921" s="205" t="s">
        <v>126</v>
      </c>
      <c r="P921" s="205" t="s">
        <v>51</v>
      </c>
      <c r="Q921" s="159" t="s">
        <v>92</v>
      </c>
      <c r="R921" s="206">
        <v>15</v>
      </c>
      <c r="S921" s="168">
        <v>13.61</v>
      </c>
      <c r="T921" s="168">
        <v>7.67</v>
      </c>
      <c r="U921" s="168">
        <v>11</v>
      </c>
      <c r="V921" s="206">
        <v>14.29</v>
      </c>
      <c r="W921" s="191">
        <v>10.45</v>
      </c>
      <c r="X921" s="130">
        <f t="shared" si="157"/>
        <v>0.67999999999999972</v>
      </c>
      <c r="Y921" s="16">
        <f>SQRT((T921^2+W921^2-(2*0.5*T921*W921)))/SQRT(U921)</f>
        <v>2.8264963856657976</v>
      </c>
      <c r="Z921" s="286" t="s">
        <v>53</v>
      </c>
      <c r="AA921" s="286" t="s">
        <v>53</v>
      </c>
      <c r="AB921" s="16">
        <v>2.8264963856657976</v>
      </c>
      <c r="AC921" s="66" t="s">
        <v>49</v>
      </c>
      <c r="AD921" s="133" t="s">
        <v>712</v>
      </c>
      <c r="AE921" s="207">
        <v>12</v>
      </c>
      <c r="AF921" s="207">
        <v>2</v>
      </c>
      <c r="AG921" s="207">
        <v>40</v>
      </c>
      <c r="AH921" s="134">
        <v>205460</v>
      </c>
      <c r="AI921" s="134">
        <v>4.3</v>
      </c>
      <c r="AJ921" s="135">
        <f t="shared" si="158"/>
        <v>172</v>
      </c>
      <c r="AK921" s="45">
        <f t="shared" si="152"/>
        <v>344</v>
      </c>
      <c r="AL921" s="136" t="str" cm="1">
        <f t="array" ref="AL921">_xlfn.IFS(
AI921&lt;3,"Ligera",
AI921&lt;=6,"Moderada",
AI921&gt;6,"Vigorosa"
)</f>
        <v>Moderada</v>
      </c>
      <c r="AM921" s="136" t="s">
        <v>48</v>
      </c>
      <c r="AN921" s="288" t="s">
        <v>60</v>
      </c>
      <c r="AO921" s="288" t="s">
        <v>61</v>
      </c>
      <c r="AP921" s="288" t="s">
        <v>62</v>
      </c>
      <c r="AQ921" s="298">
        <v>0</v>
      </c>
      <c r="AS921" s="306" t="s">
        <v>713</v>
      </c>
    </row>
    <row r="922" spans="1:45" s="14" customFormat="1" ht="81.75" customHeight="1" thickBot="1">
      <c r="A922" s="209" t="s">
        <v>711</v>
      </c>
      <c r="B922" s="90">
        <v>30</v>
      </c>
      <c r="C922" s="90">
        <v>75.8</v>
      </c>
      <c r="D922" s="90">
        <v>53.3</v>
      </c>
      <c r="E922" s="90" t="s">
        <v>45</v>
      </c>
      <c r="F922" s="90" t="s">
        <v>45</v>
      </c>
      <c r="G922" s="90" t="s">
        <v>408</v>
      </c>
      <c r="H922" s="90"/>
      <c r="I922" s="90" t="s">
        <v>98</v>
      </c>
      <c r="J922" s="90" t="s">
        <v>47</v>
      </c>
      <c r="K922" s="90" t="s">
        <v>49</v>
      </c>
      <c r="L922" s="90" t="s">
        <v>49</v>
      </c>
      <c r="M922" s="91" t="s">
        <v>56</v>
      </c>
      <c r="N922" s="91" t="s">
        <v>152</v>
      </c>
      <c r="O922" s="91" t="s">
        <v>153</v>
      </c>
      <c r="P922" s="91" t="s">
        <v>51</v>
      </c>
      <c r="Q922" s="50" t="s">
        <v>92</v>
      </c>
      <c r="R922" s="92">
        <v>15</v>
      </c>
      <c r="S922" s="48">
        <v>14.74</v>
      </c>
      <c r="T922" s="48">
        <v>7.9</v>
      </c>
      <c r="U922" s="48">
        <v>13</v>
      </c>
      <c r="V922" s="92">
        <v>15.26</v>
      </c>
      <c r="W922" s="180">
        <v>11.36</v>
      </c>
      <c r="X922" s="130">
        <f t="shared" si="157"/>
        <v>0.51999999999999957</v>
      </c>
      <c r="Y922" s="16">
        <f t="shared" si="159"/>
        <v>2.7971908985760918</v>
      </c>
      <c r="Z922" s="15">
        <f t="shared" si="160"/>
        <v>-0.16000000000000014</v>
      </c>
      <c r="AA922" s="16">
        <f t="shared" si="161"/>
        <v>120.0281909090909</v>
      </c>
      <c r="AB922" s="16">
        <f t="shared" si="162"/>
        <v>4.488272661196735</v>
      </c>
      <c r="AC922" s="66" t="s">
        <v>49</v>
      </c>
      <c r="AD922" s="51" t="s">
        <v>714</v>
      </c>
      <c r="AE922" s="93">
        <v>12</v>
      </c>
      <c r="AF922" s="93">
        <v>2</v>
      </c>
      <c r="AG922" s="93">
        <v>40</v>
      </c>
      <c r="AH922" s="134">
        <v>2230060</v>
      </c>
      <c r="AI922" s="134">
        <v>3.5</v>
      </c>
      <c r="AJ922" s="135">
        <f t="shared" si="158"/>
        <v>140</v>
      </c>
      <c r="AK922" s="45">
        <f t="shared" si="152"/>
        <v>280</v>
      </c>
      <c r="AL922" s="136" t="str" cm="1">
        <f t="array" ref="AL922">_xlfn.IFS(
AI922&lt;3,"Ligera",
AI922&lt;=6,"Moderada",
AI922&gt;6,"Vigorosa"
)</f>
        <v>Moderada</v>
      </c>
      <c r="AM922" s="45" t="s">
        <v>48</v>
      </c>
      <c r="AN922" s="289" t="s">
        <v>60</v>
      </c>
      <c r="AO922" s="289" t="s">
        <v>61</v>
      </c>
      <c r="AP922" s="289" t="s">
        <v>62</v>
      </c>
      <c r="AQ922" s="303">
        <v>0</v>
      </c>
      <c r="AS922" s="306" t="s">
        <v>713</v>
      </c>
    </row>
    <row r="923" spans="1:45" s="14" customFormat="1" ht="81.75" customHeight="1" thickBot="1">
      <c r="A923" s="209" t="s">
        <v>711</v>
      </c>
      <c r="B923" s="90">
        <v>30</v>
      </c>
      <c r="C923" s="90">
        <v>76.13</v>
      </c>
      <c r="D923" s="90">
        <v>46.7</v>
      </c>
      <c r="E923" s="90" t="s">
        <v>45</v>
      </c>
      <c r="F923" s="90" t="s">
        <v>45</v>
      </c>
      <c r="G923" s="90" t="s">
        <v>408</v>
      </c>
      <c r="H923" s="90"/>
      <c r="I923" s="90" t="s">
        <v>98</v>
      </c>
      <c r="J923" s="90" t="s">
        <v>47</v>
      </c>
      <c r="K923" s="90" t="s">
        <v>49</v>
      </c>
      <c r="L923" s="90" t="s">
        <v>49</v>
      </c>
      <c r="M923" s="91" t="s">
        <v>56</v>
      </c>
      <c r="N923" s="91" t="s">
        <v>57</v>
      </c>
      <c r="O923" s="91" t="s">
        <v>126</v>
      </c>
      <c r="P923" s="91" t="s">
        <v>51</v>
      </c>
      <c r="Q923" s="50" t="s">
        <v>91</v>
      </c>
      <c r="R923" s="92">
        <v>15</v>
      </c>
      <c r="S923" s="48">
        <v>6.6</v>
      </c>
      <c r="T923" s="48">
        <v>1.6</v>
      </c>
      <c r="U923" s="48">
        <v>11</v>
      </c>
      <c r="V923" s="92">
        <v>7.32</v>
      </c>
      <c r="W923" s="85">
        <v>1.48</v>
      </c>
      <c r="X923" s="130">
        <f t="shared" si="157"/>
        <v>0.72000000000000064</v>
      </c>
      <c r="Y923" s="16">
        <f t="shared" si="159"/>
        <v>0.46538351730784183</v>
      </c>
      <c r="Z923" s="286" t="s">
        <v>53</v>
      </c>
      <c r="AA923" s="286" t="s">
        <v>53</v>
      </c>
      <c r="AB923" s="16">
        <v>0.46538351730784183</v>
      </c>
      <c r="AC923" s="66" t="s">
        <v>49</v>
      </c>
      <c r="AD923" s="51" t="s">
        <v>712</v>
      </c>
      <c r="AE923" s="93">
        <v>12</v>
      </c>
      <c r="AF923" s="93">
        <v>2</v>
      </c>
      <c r="AG923" s="93">
        <v>40</v>
      </c>
      <c r="AH923" s="134">
        <v>205460</v>
      </c>
      <c r="AI923" s="134">
        <v>4.3</v>
      </c>
      <c r="AJ923" s="135">
        <f t="shared" ref="AJ923" si="163">AI923*AG923</f>
        <v>172</v>
      </c>
      <c r="AK923" s="45">
        <f t="shared" si="152"/>
        <v>344</v>
      </c>
      <c r="AL923" s="136" t="str" cm="1">
        <f t="array" ref="AL923">_xlfn.IFS(
AI923&lt;3,"Ligera",
AI923&lt;=6,"Moderada",
AI923&gt;6,"Vigorosa"
)</f>
        <v>Moderada</v>
      </c>
      <c r="AM923" s="45" t="s">
        <v>48</v>
      </c>
      <c r="AN923" s="289" t="s">
        <v>60</v>
      </c>
      <c r="AO923" s="289" t="s">
        <v>61</v>
      </c>
      <c r="AP923" s="289" t="s">
        <v>62</v>
      </c>
      <c r="AQ923" s="303">
        <v>0</v>
      </c>
      <c r="AS923" s="306" t="s">
        <v>713</v>
      </c>
    </row>
    <row r="924" spans="1:45" s="14" customFormat="1" ht="67.5" customHeight="1" thickBot="1">
      <c r="A924" s="209" t="s">
        <v>711</v>
      </c>
      <c r="B924" s="90">
        <v>30</v>
      </c>
      <c r="C924" s="90">
        <v>75.8</v>
      </c>
      <c r="D924" s="90">
        <v>53.3</v>
      </c>
      <c r="E924" s="90" t="s">
        <v>45</v>
      </c>
      <c r="F924" s="90" t="s">
        <v>45</v>
      </c>
      <c r="G924" s="90" t="s">
        <v>408</v>
      </c>
      <c r="H924" s="90"/>
      <c r="I924" s="90" t="s">
        <v>98</v>
      </c>
      <c r="J924" s="90" t="s">
        <v>47</v>
      </c>
      <c r="K924" s="90" t="s">
        <v>49</v>
      </c>
      <c r="L924" s="90" t="s">
        <v>49</v>
      </c>
      <c r="M924" s="91" t="s">
        <v>56</v>
      </c>
      <c r="N924" s="91" t="s">
        <v>152</v>
      </c>
      <c r="O924" s="91" t="s">
        <v>153</v>
      </c>
      <c r="P924" s="91" t="s">
        <v>51</v>
      </c>
      <c r="Q924" s="50" t="s">
        <v>91</v>
      </c>
      <c r="R924" s="92">
        <v>15</v>
      </c>
      <c r="S924" s="48">
        <v>7</v>
      </c>
      <c r="T924" s="48">
        <v>1.6</v>
      </c>
      <c r="U924" s="48">
        <v>13</v>
      </c>
      <c r="V924" s="92">
        <v>7.61</v>
      </c>
      <c r="W924" s="85">
        <v>1.6</v>
      </c>
      <c r="X924" s="130">
        <f t="shared" si="157"/>
        <v>0.61000000000000032</v>
      </c>
      <c r="Y924" s="16">
        <f t="shared" si="159"/>
        <v>0.44376015698018334</v>
      </c>
      <c r="Z924" s="15">
        <f t="shared" si="160"/>
        <v>-0.11000000000000032</v>
      </c>
      <c r="AA924" s="16">
        <f t="shared" si="161"/>
        <v>2.3920000000000003</v>
      </c>
      <c r="AB924" s="16">
        <f t="shared" si="162"/>
        <v>0.63360440769816739</v>
      </c>
      <c r="AC924" s="66" t="s">
        <v>49</v>
      </c>
      <c r="AD924" s="51" t="s">
        <v>714</v>
      </c>
      <c r="AE924" s="93">
        <v>12</v>
      </c>
      <c r="AF924" s="93">
        <v>2</v>
      </c>
      <c r="AG924" s="93">
        <v>40</v>
      </c>
      <c r="AH924" s="134">
        <v>2230060</v>
      </c>
      <c r="AI924" s="134">
        <v>3.5</v>
      </c>
      <c r="AJ924" s="135">
        <f t="shared" si="158"/>
        <v>140</v>
      </c>
      <c r="AK924" s="45">
        <f t="shared" si="152"/>
        <v>280</v>
      </c>
      <c r="AL924" s="136" t="str" cm="1">
        <f t="array" ref="AL924">_xlfn.IFS(
AI924&lt;3,"Ligera",
AI924&lt;=6,"Moderada",
AI924&gt;6,"Vigorosa"
)</f>
        <v>Moderada</v>
      </c>
      <c r="AM924" s="45" t="s">
        <v>48</v>
      </c>
      <c r="AN924" s="289" t="s">
        <v>60</v>
      </c>
      <c r="AO924" s="289" t="s">
        <v>61</v>
      </c>
      <c r="AP924" s="289" t="s">
        <v>62</v>
      </c>
      <c r="AQ924" s="303">
        <v>0</v>
      </c>
      <c r="AS924" s="306" t="s">
        <v>713</v>
      </c>
    </row>
    <row r="925" spans="1:45" s="14" customFormat="1" ht="81.75" customHeight="1" thickBot="1">
      <c r="A925" s="209" t="s">
        <v>711</v>
      </c>
      <c r="B925" s="90">
        <v>30</v>
      </c>
      <c r="C925" s="90">
        <v>76.13</v>
      </c>
      <c r="D925" s="90">
        <v>46.7</v>
      </c>
      <c r="E925" s="90" t="s">
        <v>45</v>
      </c>
      <c r="F925" s="90" t="s">
        <v>45</v>
      </c>
      <c r="G925" s="90" t="s">
        <v>408</v>
      </c>
      <c r="H925" s="90"/>
      <c r="I925" s="90" t="s">
        <v>98</v>
      </c>
      <c r="J925" s="90" t="s">
        <v>47</v>
      </c>
      <c r="K925" s="90" t="s">
        <v>49</v>
      </c>
      <c r="L925" s="90" t="s">
        <v>49</v>
      </c>
      <c r="M925" s="91" t="s">
        <v>56</v>
      </c>
      <c r="N925" s="91" t="s">
        <v>57</v>
      </c>
      <c r="O925" s="91" t="s">
        <v>126</v>
      </c>
      <c r="P925" s="91" t="s">
        <v>51</v>
      </c>
      <c r="Q925" s="50" t="s">
        <v>124</v>
      </c>
      <c r="R925" s="92">
        <v>15</v>
      </c>
      <c r="S925" s="48">
        <v>16.190000000000001</v>
      </c>
      <c r="T925" s="48">
        <v>4.6100000000000003</v>
      </c>
      <c r="U925" s="48">
        <v>11</v>
      </c>
      <c r="V925" s="48">
        <v>15.3</v>
      </c>
      <c r="W925" s="85">
        <v>4.28</v>
      </c>
      <c r="X925" s="130">
        <f t="shared" si="157"/>
        <v>-0.89000000000000057</v>
      </c>
      <c r="Y925" s="16">
        <f t="shared" si="159"/>
        <v>1.3429851417305745</v>
      </c>
      <c r="Z925" s="286" t="s">
        <v>53</v>
      </c>
      <c r="AA925" s="286" t="s">
        <v>53</v>
      </c>
      <c r="AB925" s="16">
        <v>1.3429851417305745</v>
      </c>
      <c r="AC925" s="66" t="s">
        <v>48</v>
      </c>
      <c r="AD925" s="51" t="s">
        <v>712</v>
      </c>
      <c r="AE925" s="93">
        <v>12</v>
      </c>
      <c r="AF925" s="93">
        <v>2</v>
      </c>
      <c r="AG925" s="93">
        <v>40</v>
      </c>
      <c r="AH925" s="134">
        <v>205460</v>
      </c>
      <c r="AI925" s="134">
        <v>4.3</v>
      </c>
      <c r="AJ925" s="135">
        <f t="shared" ref="AJ925" si="164">AI925*AG925</f>
        <v>172</v>
      </c>
      <c r="AK925" s="45">
        <f t="shared" si="152"/>
        <v>344</v>
      </c>
      <c r="AL925" s="136" t="str" cm="1">
        <f t="array" ref="AL925">_xlfn.IFS(
AI925&lt;3,"Ligera",
AI925&lt;=6,"Moderada",
AI925&gt;6,"Vigorosa"
)</f>
        <v>Moderada</v>
      </c>
      <c r="AM925" s="45" t="s">
        <v>48</v>
      </c>
      <c r="AN925" s="289" t="s">
        <v>60</v>
      </c>
      <c r="AO925" s="289" t="s">
        <v>61</v>
      </c>
      <c r="AP925" s="289" t="s">
        <v>62</v>
      </c>
      <c r="AQ925" s="303">
        <v>0</v>
      </c>
      <c r="AS925" s="306" t="s">
        <v>713</v>
      </c>
    </row>
    <row r="926" spans="1:45" s="14" customFormat="1" ht="67.5" customHeight="1" thickBot="1">
      <c r="A926" s="209" t="s">
        <v>711</v>
      </c>
      <c r="B926" s="90">
        <v>30</v>
      </c>
      <c r="C926" s="90">
        <v>75.8</v>
      </c>
      <c r="D926" s="90">
        <v>53.3</v>
      </c>
      <c r="E926" s="90" t="s">
        <v>45</v>
      </c>
      <c r="F926" s="90" t="s">
        <v>45</v>
      </c>
      <c r="G926" s="90" t="s">
        <v>408</v>
      </c>
      <c r="H926" s="90"/>
      <c r="I926" s="90" t="s">
        <v>98</v>
      </c>
      <c r="J926" s="90" t="s">
        <v>47</v>
      </c>
      <c r="K926" s="90" t="s">
        <v>49</v>
      </c>
      <c r="L926" s="90" t="s">
        <v>49</v>
      </c>
      <c r="M926" s="91" t="s">
        <v>56</v>
      </c>
      <c r="N926" s="91" t="s">
        <v>152</v>
      </c>
      <c r="O926" s="91" t="s">
        <v>153</v>
      </c>
      <c r="P926" s="91" t="s">
        <v>51</v>
      </c>
      <c r="Q926" s="50" t="s">
        <v>124</v>
      </c>
      <c r="R926" s="92">
        <v>15</v>
      </c>
      <c r="S926" s="48">
        <v>16.12</v>
      </c>
      <c r="T926" s="48">
        <v>4.4000000000000004</v>
      </c>
      <c r="U926" s="48">
        <v>13</v>
      </c>
      <c r="V926" s="92">
        <v>15.58</v>
      </c>
      <c r="W926" s="85">
        <v>4.6500000000000004</v>
      </c>
      <c r="X926" s="130">
        <f t="shared" si="157"/>
        <v>-0.54000000000000092</v>
      </c>
      <c r="Y926" s="16">
        <f t="shared" si="159"/>
        <v>1.2564449236452213</v>
      </c>
      <c r="Z926" s="15">
        <f t="shared" si="160"/>
        <v>0.34999999999999964</v>
      </c>
      <c r="AA926" s="16">
        <f t="shared" si="161"/>
        <v>20.120636363636365</v>
      </c>
      <c r="AB926" s="16">
        <f t="shared" si="162"/>
        <v>1.8376316331277707</v>
      </c>
      <c r="AC926" s="66" t="s">
        <v>48</v>
      </c>
      <c r="AD926" s="51" t="s">
        <v>714</v>
      </c>
      <c r="AE926" s="93">
        <v>12</v>
      </c>
      <c r="AF926" s="93">
        <v>2</v>
      </c>
      <c r="AG926" s="93">
        <v>40</v>
      </c>
      <c r="AH926" s="134">
        <v>2230060</v>
      </c>
      <c r="AI926" s="134">
        <v>3.5</v>
      </c>
      <c r="AJ926" s="135">
        <f t="shared" si="158"/>
        <v>140</v>
      </c>
      <c r="AK926" s="45">
        <f t="shared" si="152"/>
        <v>280</v>
      </c>
      <c r="AL926" s="136" t="str" cm="1">
        <f t="array" ref="AL926">_xlfn.IFS(
AI926&lt;3,"Ligera",
AI926&lt;=6,"Moderada",
AI926&gt;6,"Vigorosa"
)</f>
        <v>Moderada</v>
      </c>
      <c r="AM926" s="45" t="s">
        <v>48</v>
      </c>
      <c r="AN926" s="289" t="s">
        <v>60</v>
      </c>
      <c r="AO926" s="289" t="s">
        <v>61</v>
      </c>
      <c r="AP926" s="289" t="s">
        <v>62</v>
      </c>
      <c r="AQ926" s="303">
        <v>0</v>
      </c>
      <c r="AS926" s="306" t="s">
        <v>713</v>
      </c>
    </row>
    <row r="927" spans="1:45" s="14" customFormat="1" ht="81.75" customHeight="1" thickBot="1">
      <c r="A927" s="209" t="s">
        <v>711</v>
      </c>
      <c r="B927" s="90">
        <v>30</v>
      </c>
      <c r="C927" s="90">
        <v>76.13</v>
      </c>
      <c r="D927" s="90">
        <v>46.7</v>
      </c>
      <c r="E927" s="90" t="s">
        <v>45</v>
      </c>
      <c r="F927" s="90" t="s">
        <v>45</v>
      </c>
      <c r="G927" s="90" t="s">
        <v>408</v>
      </c>
      <c r="H927" s="90"/>
      <c r="I927" s="90" t="s">
        <v>98</v>
      </c>
      <c r="J927" s="90" t="s">
        <v>47</v>
      </c>
      <c r="K927" s="90" t="s">
        <v>49</v>
      </c>
      <c r="L927" s="90" t="s">
        <v>49</v>
      </c>
      <c r="M927" s="91" t="s">
        <v>56</v>
      </c>
      <c r="N927" s="91" t="s">
        <v>57</v>
      </c>
      <c r="O927" s="91" t="s">
        <v>126</v>
      </c>
      <c r="P927" s="91" t="s">
        <v>94</v>
      </c>
      <c r="Q927" s="50" t="s">
        <v>136</v>
      </c>
      <c r="R927" s="92">
        <v>15</v>
      </c>
      <c r="S927" s="48">
        <v>20.87</v>
      </c>
      <c r="T927" s="48">
        <v>0.99</v>
      </c>
      <c r="U927" s="48">
        <v>11</v>
      </c>
      <c r="V927" s="92">
        <v>21.19</v>
      </c>
      <c r="W927" s="85">
        <v>1.26</v>
      </c>
      <c r="X927" s="130">
        <f t="shared" si="157"/>
        <v>0.32000000000000028</v>
      </c>
      <c r="Y927" s="16">
        <f t="shared" si="159"/>
        <v>0.34644952406847485</v>
      </c>
      <c r="Z927" s="286" t="s">
        <v>53</v>
      </c>
      <c r="AA927" s="286" t="s">
        <v>53</v>
      </c>
      <c r="AB927" s="16">
        <v>0.34644952406847485</v>
      </c>
      <c r="AC927" s="66" t="s">
        <v>49</v>
      </c>
      <c r="AD927" s="51" t="s">
        <v>712</v>
      </c>
      <c r="AE927" s="93">
        <v>12</v>
      </c>
      <c r="AF927" s="93">
        <v>2</v>
      </c>
      <c r="AG927" s="93">
        <v>40</v>
      </c>
      <c r="AH927" s="134">
        <v>205460</v>
      </c>
      <c r="AI927" s="134">
        <v>4.3</v>
      </c>
      <c r="AJ927" s="135">
        <f t="shared" ref="AJ927" si="165">AI927*AG927</f>
        <v>172</v>
      </c>
      <c r="AK927" s="45">
        <f t="shared" si="152"/>
        <v>344</v>
      </c>
      <c r="AL927" s="136" t="str" cm="1">
        <f t="array" ref="AL927">_xlfn.IFS(
AI927&lt;3,"Ligera",
AI927&lt;=6,"Moderada",
AI927&gt;6,"Vigorosa"
)</f>
        <v>Moderada</v>
      </c>
      <c r="AM927" s="45" t="s">
        <v>48</v>
      </c>
      <c r="AN927" s="289" t="s">
        <v>60</v>
      </c>
      <c r="AO927" s="289" t="s">
        <v>61</v>
      </c>
      <c r="AP927" s="289" t="s">
        <v>62</v>
      </c>
      <c r="AQ927" s="303">
        <v>0</v>
      </c>
      <c r="AS927" s="306" t="s">
        <v>713</v>
      </c>
    </row>
    <row r="928" spans="1:45" s="14" customFormat="1" ht="67.5" customHeight="1" thickBot="1">
      <c r="A928" s="209" t="s">
        <v>711</v>
      </c>
      <c r="B928" s="90">
        <v>30</v>
      </c>
      <c r="C928" s="90">
        <v>75.8</v>
      </c>
      <c r="D928" s="90">
        <v>53.3</v>
      </c>
      <c r="E928" s="90" t="s">
        <v>45</v>
      </c>
      <c r="F928" s="90" t="s">
        <v>45</v>
      </c>
      <c r="G928" s="90" t="s">
        <v>408</v>
      </c>
      <c r="H928" s="90"/>
      <c r="I928" s="90" t="s">
        <v>98</v>
      </c>
      <c r="J928" s="90" t="s">
        <v>47</v>
      </c>
      <c r="K928" s="90" t="s">
        <v>49</v>
      </c>
      <c r="L928" s="90" t="s">
        <v>49</v>
      </c>
      <c r="M928" s="91" t="s">
        <v>56</v>
      </c>
      <c r="N928" s="91" t="s">
        <v>152</v>
      </c>
      <c r="O928" s="91" t="s">
        <v>153</v>
      </c>
      <c r="P928" s="91" t="s">
        <v>94</v>
      </c>
      <c r="Q928" s="50" t="s">
        <v>136</v>
      </c>
      <c r="R928" s="92">
        <v>15</v>
      </c>
      <c r="S928" s="48">
        <v>21</v>
      </c>
      <c r="T928" s="48">
        <v>1.25</v>
      </c>
      <c r="U928" s="48">
        <v>13</v>
      </c>
      <c r="V928" s="92">
        <v>21.64</v>
      </c>
      <c r="W928" s="85">
        <v>1.36</v>
      </c>
      <c r="X928" s="130">
        <f t="shared" si="157"/>
        <v>0.64000000000000057</v>
      </c>
      <c r="Y928" s="16">
        <f t="shared" si="159"/>
        <v>0.36290494623248115</v>
      </c>
      <c r="Z928" s="15">
        <f t="shared" si="160"/>
        <v>0.32000000000000028</v>
      </c>
      <c r="AA928" s="16">
        <f t="shared" si="161"/>
        <v>1.7305090909090912</v>
      </c>
      <c r="AB928" s="16">
        <f t="shared" si="162"/>
        <v>0.53892030225307597</v>
      </c>
      <c r="AC928" s="66" t="s">
        <v>49</v>
      </c>
      <c r="AD928" s="51" t="s">
        <v>714</v>
      </c>
      <c r="AE928" s="93">
        <v>12</v>
      </c>
      <c r="AF928" s="93">
        <v>2</v>
      </c>
      <c r="AG928" s="93">
        <v>40</v>
      </c>
      <c r="AH928" s="134">
        <v>2230060</v>
      </c>
      <c r="AI928" s="134">
        <v>3.5</v>
      </c>
      <c r="AJ928" s="135">
        <f t="shared" si="158"/>
        <v>140</v>
      </c>
      <c r="AK928" s="45">
        <f t="shared" si="152"/>
        <v>280</v>
      </c>
      <c r="AL928" s="136" t="str" cm="1">
        <f t="array" ref="AL928">_xlfn.IFS(
AI928&lt;3,"Ligera",
AI928&lt;=6,"Moderada",
AI928&gt;6,"Vigorosa"
)</f>
        <v>Moderada</v>
      </c>
      <c r="AM928" s="45" t="s">
        <v>48</v>
      </c>
      <c r="AN928" s="289" t="s">
        <v>60</v>
      </c>
      <c r="AO928" s="289" t="s">
        <v>61</v>
      </c>
      <c r="AP928" s="289" t="s">
        <v>62</v>
      </c>
      <c r="AQ928" s="303">
        <v>0</v>
      </c>
      <c r="AS928" s="306" t="s">
        <v>713</v>
      </c>
    </row>
    <row r="929" spans="1:45" s="14" customFormat="1" ht="67.5" customHeight="1" thickBot="1">
      <c r="A929" s="209" t="s">
        <v>711</v>
      </c>
      <c r="B929" s="90">
        <v>30</v>
      </c>
      <c r="C929" s="90">
        <v>76.13</v>
      </c>
      <c r="D929" s="90">
        <v>46.7</v>
      </c>
      <c r="E929" s="90" t="s">
        <v>45</v>
      </c>
      <c r="F929" s="90" t="s">
        <v>45</v>
      </c>
      <c r="G929" s="90" t="s">
        <v>408</v>
      </c>
      <c r="H929" s="90"/>
      <c r="I929" s="90" t="s">
        <v>98</v>
      </c>
      <c r="J929" s="90" t="s">
        <v>47</v>
      </c>
      <c r="K929" s="90" t="s">
        <v>49</v>
      </c>
      <c r="L929" s="90" t="s">
        <v>49</v>
      </c>
      <c r="M929" s="91" t="s">
        <v>56</v>
      </c>
      <c r="N929" s="91" t="s">
        <v>57</v>
      </c>
      <c r="O929" s="91" t="s">
        <v>126</v>
      </c>
      <c r="P929" s="91" t="s">
        <v>51</v>
      </c>
      <c r="Q929" s="50" t="s">
        <v>700</v>
      </c>
      <c r="R929" s="92">
        <v>15</v>
      </c>
      <c r="S929" s="48">
        <v>78.38</v>
      </c>
      <c r="T929" s="48">
        <v>25.6</v>
      </c>
      <c r="U929" s="48">
        <v>11</v>
      </c>
      <c r="V929" s="92">
        <v>81.91</v>
      </c>
      <c r="W929" s="85">
        <v>24.69</v>
      </c>
      <c r="X929" s="130">
        <f t="shared" si="157"/>
        <v>3.5300000000000011</v>
      </c>
      <c r="Y929" s="16">
        <f t="shared" si="159"/>
        <v>7.5852254715694167</v>
      </c>
      <c r="Z929" s="286" t="s">
        <v>53</v>
      </c>
      <c r="AA929" s="286" t="s">
        <v>53</v>
      </c>
      <c r="AB929" s="16">
        <v>7.5852254715694167</v>
      </c>
      <c r="AC929" s="66" t="s">
        <v>49</v>
      </c>
      <c r="AD929" s="51" t="s">
        <v>712</v>
      </c>
      <c r="AE929" s="93">
        <v>12</v>
      </c>
      <c r="AF929" s="93">
        <v>2</v>
      </c>
      <c r="AG929" s="93">
        <v>40</v>
      </c>
      <c r="AH929" s="134">
        <v>205460</v>
      </c>
      <c r="AI929" s="134">
        <v>4.3</v>
      </c>
      <c r="AJ929" s="135">
        <f t="shared" ref="AJ929" si="166">AI929*AG929</f>
        <v>172</v>
      </c>
      <c r="AK929" s="45">
        <f t="shared" ref="AK929:AK946" si="167">AJ929*AF929</f>
        <v>344</v>
      </c>
      <c r="AL929" s="136" t="str" cm="1">
        <f t="array" ref="AL929">_xlfn.IFS(
AI929&lt;3,"Ligera",
AI929&lt;=6,"Moderada",
AI929&gt;6,"Vigorosa"
)</f>
        <v>Moderada</v>
      </c>
      <c r="AM929" s="45" t="s">
        <v>48</v>
      </c>
      <c r="AN929" s="289" t="s">
        <v>60</v>
      </c>
      <c r="AO929" s="289" t="s">
        <v>61</v>
      </c>
      <c r="AP929" s="289" t="s">
        <v>62</v>
      </c>
      <c r="AQ929" s="303">
        <v>0</v>
      </c>
      <c r="AS929" s="306" t="s">
        <v>713</v>
      </c>
    </row>
    <row r="930" spans="1:45" s="14" customFormat="1" ht="67.5" customHeight="1" thickBot="1">
      <c r="A930" s="209" t="s">
        <v>711</v>
      </c>
      <c r="B930" s="90">
        <v>30</v>
      </c>
      <c r="C930" s="90">
        <v>75.8</v>
      </c>
      <c r="D930" s="90">
        <v>53.3</v>
      </c>
      <c r="E930" s="90" t="s">
        <v>45</v>
      </c>
      <c r="F930" s="90" t="s">
        <v>45</v>
      </c>
      <c r="G930" s="90" t="s">
        <v>408</v>
      </c>
      <c r="H930" s="90"/>
      <c r="I930" s="90" t="s">
        <v>98</v>
      </c>
      <c r="J930" s="90" t="s">
        <v>47</v>
      </c>
      <c r="K930" s="90" t="s">
        <v>49</v>
      </c>
      <c r="L930" s="90" t="s">
        <v>49</v>
      </c>
      <c r="M930" s="91" t="s">
        <v>56</v>
      </c>
      <c r="N930" s="91" t="s">
        <v>152</v>
      </c>
      <c r="O930" s="91" t="s">
        <v>153</v>
      </c>
      <c r="P930" s="91" t="s">
        <v>51</v>
      </c>
      <c r="Q930" s="50" t="s">
        <v>700</v>
      </c>
      <c r="R930" s="92">
        <v>15</v>
      </c>
      <c r="S930" s="48">
        <v>81.42</v>
      </c>
      <c r="T930" s="48">
        <v>30.71</v>
      </c>
      <c r="U930" s="48">
        <v>13</v>
      </c>
      <c r="V930" s="92">
        <v>84.16</v>
      </c>
      <c r="W930" s="85">
        <v>26.85</v>
      </c>
      <c r="X930" s="130">
        <f t="shared" si="157"/>
        <v>2.7399999999999949</v>
      </c>
      <c r="Y930" s="16">
        <f t="shared" si="159"/>
        <v>8.0358001851330663</v>
      </c>
      <c r="Z930" s="15">
        <f t="shared" si="160"/>
        <v>-0.79000000000000625</v>
      </c>
      <c r="AA930" s="16">
        <f t="shared" si="161"/>
        <v>670.31959090909106</v>
      </c>
      <c r="AB930" s="16">
        <f t="shared" si="162"/>
        <v>10.606657818683727</v>
      </c>
      <c r="AC930" s="66" t="s">
        <v>49</v>
      </c>
      <c r="AD930" s="51" t="s">
        <v>714</v>
      </c>
      <c r="AE930" s="93">
        <v>12</v>
      </c>
      <c r="AF930" s="93">
        <v>2</v>
      </c>
      <c r="AG930" s="93">
        <v>40</v>
      </c>
      <c r="AH930" s="134">
        <v>2230060</v>
      </c>
      <c r="AI930" s="134">
        <v>3.5</v>
      </c>
      <c r="AJ930" s="135">
        <f t="shared" si="158"/>
        <v>140</v>
      </c>
      <c r="AK930" s="45">
        <f t="shared" si="167"/>
        <v>280</v>
      </c>
      <c r="AL930" s="136" t="str" cm="1">
        <f t="array" ref="AL930">_xlfn.IFS(
AI930&lt;3,"Ligera",
AI930&lt;=6,"Moderada",
AI930&gt;6,"Vigorosa"
)</f>
        <v>Moderada</v>
      </c>
      <c r="AM930" s="45" t="s">
        <v>48</v>
      </c>
      <c r="AN930" s="289" t="s">
        <v>60</v>
      </c>
      <c r="AO930" s="289" t="s">
        <v>61</v>
      </c>
      <c r="AP930" s="289" t="s">
        <v>62</v>
      </c>
      <c r="AQ930" s="303">
        <v>0</v>
      </c>
      <c r="AS930" s="306" t="s">
        <v>713</v>
      </c>
    </row>
    <row r="931" spans="1:45" s="14" customFormat="1" ht="67.5" customHeight="1" thickBot="1">
      <c r="A931" s="209" t="s">
        <v>711</v>
      </c>
      <c r="B931" s="90">
        <v>30</v>
      </c>
      <c r="C931" s="90">
        <v>76.13</v>
      </c>
      <c r="D931" s="90">
        <v>46.7</v>
      </c>
      <c r="E931" s="90" t="s">
        <v>45</v>
      </c>
      <c r="F931" s="90" t="s">
        <v>45</v>
      </c>
      <c r="G931" s="90" t="s">
        <v>408</v>
      </c>
      <c r="H931" s="90"/>
      <c r="I931" s="90" t="s">
        <v>98</v>
      </c>
      <c r="J931" s="90" t="s">
        <v>47</v>
      </c>
      <c r="K931" s="90" t="s">
        <v>49</v>
      </c>
      <c r="L931" s="90" t="s">
        <v>49</v>
      </c>
      <c r="M931" s="91" t="s">
        <v>56</v>
      </c>
      <c r="N931" s="91" t="s">
        <v>57</v>
      </c>
      <c r="O931" s="91" t="s">
        <v>126</v>
      </c>
      <c r="P931" s="91" t="s">
        <v>51</v>
      </c>
      <c r="Q931" s="50" t="s">
        <v>461</v>
      </c>
      <c r="R931" s="92">
        <v>15</v>
      </c>
      <c r="S931" s="48">
        <v>82.21</v>
      </c>
      <c r="T931" s="48">
        <v>18.05</v>
      </c>
      <c r="U931" s="48">
        <v>11</v>
      </c>
      <c r="V931" s="92">
        <v>91.37</v>
      </c>
      <c r="W931" s="85">
        <v>22.91</v>
      </c>
      <c r="X931" s="130">
        <f t="shared" si="157"/>
        <v>9.1600000000000108</v>
      </c>
      <c r="Y931" s="16">
        <f t="shared" si="159"/>
        <v>6.3040037782637501</v>
      </c>
      <c r="Z931" s="286" t="s">
        <v>53</v>
      </c>
      <c r="AA931" s="286" t="s">
        <v>53</v>
      </c>
      <c r="AB931" s="16">
        <v>6.3040037782637501</v>
      </c>
      <c r="AC931" s="66" t="s">
        <v>49</v>
      </c>
      <c r="AD931" s="51" t="s">
        <v>712</v>
      </c>
      <c r="AE931" s="93">
        <v>12</v>
      </c>
      <c r="AF931" s="93">
        <v>2</v>
      </c>
      <c r="AG931" s="93">
        <v>40</v>
      </c>
      <c r="AH931" s="134">
        <v>205460</v>
      </c>
      <c r="AI931" s="134">
        <v>4.3</v>
      </c>
      <c r="AJ931" s="135">
        <f t="shared" ref="AJ931" si="168">AI931*AG931</f>
        <v>172</v>
      </c>
      <c r="AK931" s="45">
        <f t="shared" si="167"/>
        <v>344</v>
      </c>
      <c r="AL931" s="136" t="str" cm="1">
        <f t="array" ref="AL931">_xlfn.IFS(
AI931&lt;3,"Ligera",
AI931&lt;=6,"Moderada",
AI931&gt;6,"Vigorosa"
)</f>
        <v>Moderada</v>
      </c>
      <c r="AM931" s="45" t="s">
        <v>48</v>
      </c>
      <c r="AN931" s="289" t="s">
        <v>60</v>
      </c>
      <c r="AO931" s="289" t="s">
        <v>61</v>
      </c>
      <c r="AP931" s="289" t="s">
        <v>62</v>
      </c>
      <c r="AQ931" s="303">
        <v>0</v>
      </c>
      <c r="AS931" s="306" t="s">
        <v>713</v>
      </c>
    </row>
    <row r="932" spans="1:45" s="14" customFormat="1" ht="67.5" customHeight="1" thickBot="1">
      <c r="A932" s="209" t="s">
        <v>711</v>
      </c>
      <c r="B932" s="90">
        <v>30</v>
      </c>
      <c r="C932" s="90">
        <v>75.8</v>
      </c>
      <c r="D932" s="90">
        <v>53.3</v>
      </c>
      <c r="E932" s="90" t="s">
        <v>45</v>
      </c>
      <c r="F932" s="90" t="s">
        <v>45</v>
      </c>
      <c r="G932" s="90" t="s">
        <v>408</v>
      </c>
      <c r="H932" s="90"/>
      <c r="I932" s="90" t="s">
        <v>98</v>
      </c>
      <c r="J932" s="90" t="s">
        <v>47</v>
      </c>
      <c r="K932" s="90" t="s">
        <v>49</v>
      </c>
      <c r="L932" s="90" t="s">
        <v>49</v>
      </c>
      <c r="M932" s="91" t="s">
        <v>56</v>
      </c>
      <c r="N932" s="91" t="s">
        <v>152</v>
      </c>
      <c r="O932" s="91" t="s">
        <v>153</v>
      </c>
      <c r="P932" s="91" t="s">
        <v>51</v>
      </c>
      <c r="Q932" s="50" t="s">
        <v>461</v>
      </c>
      <c r="R932" s="92">
        <v>15</v>
      </c>
      <c r="S932" s="48">
        <v>83.78</v>
      </c>
      <c r="T932" s="48">
        <v>31.39</v>
      </c>
      <c r="U932" s="48">
        <v>13</v>
      </c>
      <c r="V932" s="92">
        <v>89.78</v>
      </c>
      <c r="W932" s="85">
        <v>24.83</v>
      </c>
      <c r="X932" s="130">
        <f t="shared" si="157"/>
        <v>6</v>
      </c>
      <c r="Y932" s="16">
        <f t="shared" si="159"/>
        <v>7.9539409680407438</v>
      </c>
      <c r="Z932" s="15">
        <f t="shared" si="160"/>
        <v>-3.1600000000000108</v>
      </c>
      <c r="AA932" s="16">
        <f t="shared" si="161"/>
        <v>574.86490000000003</v>
      </c>
      <c r="AB932" s="16">
        <f t="shared" si="162"/>
        <v>9.8224651884148919</v>
      </c>
      <c r="AC932" s="66" t="s">
        <v>49</v>
      </c>
      <c r="AD932" s="51" t="s">
        <v>714</v>
      </c>
      <c r="AE932" s="93">
        <v>12</v>
      </c>
      <c r="AF932" s="93">
        <v>2</v>
      </c>
      <c r="AG932" s="93">
        <v>40</v>
      </c>
      <c r="AH932" s="134">
        <v>2230060</v>
      </c>
      <c r="AI932" s="134">
        <v>3.5</v>
      </c>
      <c r="AJ932" s="135">
        <f t="shared" si="158"/>
        <v>140</v>
      </c>
      <c r="AK932" s="45">
        <f t="shared" si="167"/>
        <v>280</v>
      </c>
      <c r="AL932" s="136" t="str" cm="1">
        <f t="array" ref="AL932">_xlfn.IFS(
AI932&lt;3,"Ligera",
AI932&lt;=6,"Moderada",
AI932&gt;6,"Vigorosa"
)</f>
        <v>Moderada</v>
      </c>
      <c r="AM932" s="45" t="s">
        <v>48</v>
      </c>
      <c r="AN932" s="289" t="s">
        <v>60</v>
      </c>
      <c r="AO932" s="289" t="s">
        <v>61</v>
      </c>
      <c r="AP932" s="289" t="s">
        <v>62</v>
      </c>
      <c r="AQ932" s="303">
        <v>0</v>
      </c>
      <c r="AS932" s="306" t="s">
        <v>713</v>
      </c>
    </row>
    <row r="933" spans="1:45" s="273" customFormat="1" ht="97.5" customHeight="1" thickBot="1">
      <c r="A933" s="203" t="s">
        <v>716</v>
      </c>
      <c r="B933" s="204">
        <v>24</v>
      </c>
      <c r="C933" s="204">
        <v>72.3</v>
      </c>
      <c r="D933" s="204">
        <v>30</v>
      </c>
      <c r="E933" s="204" t="s">
        <v>45</v>
      </c>
      <c r="F933" s="204" t="s">
        <v>45</v>
      </c>
      <c r="G933" s="204" t="s">
        <v>717</v>
      </c>
      <c r="H933" s="204"/>
      <c r="I933" s="204" t="s">
        <v>98</v>
      </c>
      <c r="J933" s="204" t="s">
        <v>47</v>
      </c>
      <c r="K933" s="204" t="s">
        <v>49</v>
      </c>
      <c r="L933" s="204" t="s">
        <v>48</v>
      </c>
      <c r="M933" s="205" t="s">
        <v>56</v>
      </c>
      <c r="N933" s="205" t="s">
        <v>162</v>
      </c>
      <c r="O933" s="205" t="s">
        <v>614</v>
      </c>
      <c r="P933" s="205" t="s">
        <v>51</v>
      </c>
      <c r="Q933" s="159" t="s">
        <v>718</v>
      </c>
      <c r="R933" s="206">
        <v>10</v>
      </c>
      <c r="S933" s="168">
        <v>90</v>
      </c>
      <c r="T933" s="168">
        <v>14.45</v>
      </c>
      <c r="U933" s="168">
        <v>10</v>
      </c>
      <c r="V933" s="206">
        <v>92.7</v>
      </c>
      <c r="W933" s="168">
        <v>10.84</v>
      </c>
      <c r="X933" s="130">
        <f>V933-S933</f>
        <v>2.7000000000000028</v>
      </c>
      <c r="Y933" s="16">
        <f t="shared" si="159"/>
        <v>4.1191030577056456</v>
      </c>
      <c r="Z933" s="286" t="s">
        <v>53</v>
      </c>
      <c r="AA933" s="286" t="s">
        <v>53</v>
      </c>
      <c r="AB933" s="16">
        <v>4.1191030577056456</v>
      </c>
      <c r="AC933" s="66" t="s">
        <v>49</v>
      </c>
      <c r="AD933" s="133" t="s">
        <v>719</v>
      </c>
      <c r="AE933" s="207">
        <v>8</v>
      </c>
      <c r="AF933" s="207">
        <v>7</v>
      </c>
      <c r="AG933" s="207">
        <v>30</v>
      </c>
      <c r="AH933" s="207">
        <v>206260</v>
      </c>
      <c r="AI933" s="207">
        <v>5</v>
      </c>
      <c r="AJ933" s="135">
        <f t="shared" si="158"/>
        <v>150</v>
      </c>
      <c r="AK933" s="45">
        <f t="shared" si="167"/>
        <v>1050</v>
      </c>
      <c r="AL933" s="136" t="str" cm="1">
        <f t="array" ref="AL933">_xlfn.IFS(
AI933&lt;3,"Ligera",
AI933&lt;=6,"Moderada",
AI933&gt;6,"Vigorosa"
)</f>
        <v>Moderada</v>
      </c>
      <c r="AM933" s="136" t="s">
        <v>49</v>
      </c>
      <c r="AN933" s="288" t="s">
        <v>49</v>
      </c>
      <c r="AO933" s="288" t="s">
        <v>61</v>
      </c>
      <c r="AP933" s="288" t="s">
        <v>413</v>
      </c>
      <c r="AQ933" s="298">
        <v>3</v>
      </c>
      <c r="AR933" s="299"/>
      <c r="AS933" s="304" t="s">
        <v>720</v>
      </c>
    </row>
    <row r="934" spans="1:45" s="273" customFormat="1" ht="81.75" customHeight="1" thickBot="1">
      <c r="A934" s="209" t="s">
        <v>716</v>
      </c>
      <c r="B934" s="90">
        <v>24</v>
      </c>
      <c r="C934" s="90">
        <v>75.400000000000006</v>
      </c>
      <c r="D934" s="90">
        <v>30</v>
      </c>
      <c r="E934" s="90" t="s">
        <v>45</v>
      </c>
      <c r="F934" s="90" t="s">
        <v>45</v>
      </c>
      <c r="G934" s="90" t="s">
        <v>717</v>
      </c>
      <c r="H934" s="90"/>
      <c r="I934" s="90" t="s">
        <v>98</v>
      </c>
      <c r="J934" s="90" t="s">
        <v>47</v>
      </c>
      <c r="K934" s="90" t="s">
        <v>49</v>
      </c>
      <c r="L934" s="90" t="s">
        <v>48</v>
      </c>
      <c r="M934" s="91" t="s">
        <v>56</v>
      </c>
      <c r="N934" s="91" t="s">
        <v>76</v>
      </c>
      <c r="O934" s="91" t="s">
        <v>103</v>
      </c>
      <c r="P934" s="91" t="s">
        <v>51</v>
      </c>
      <c r="Q934" s="50" t="s">
        <v>718</v>
      </c>
      <c r="R934" s="92">
        <v>10</v>
      </c>
      <c r="S934" s="48">
        <v>91.7</v>
      </c>
      <c r="T934" s="48">
        <v>20.9</v>
      </c>
      <c r="U934" s="48">
        <v>10</v>
      </c>
      <c r="V934" s="92">
        <v>107</v>
      </c>
      <c r="W934" s="48">
        <v>21.38</v>
      </c>
      <c r="X934" s="130">
        <f>V934-S934</f>
        <v>15.299999999999997</v>
      </c>
      <c r="Y934" s="16">
        <f t="shared" si="159"/>
        <v>6.6863472838314335</v>
      </c>
      <c r="Z934" s="15">
        <f>X934-X933</f>
        <v>12.599999999999994</v>
      </c>
      <c r="AA934" s="16">
        <f t="shared" si="161"/>
        <v>287.30500000000001</v>
      </c>
      <c r="AB934" s="16">
        <f t="shared" si="162"/>
        <v>7.5803034240061926</v>
      </c>
      <c r="AC934" s="66" t="s">
        <v>49</v>
      </c>
      <c r="AD934" s="51" t="s">
        <v>721</v>
      </c>
      <c r="AE934" s="93">
        <v>8</v>
      </c>
      <c r="AF934" s="93">
        <v>7</v>
      </c>
      <c r="AG934" s="93">
        <v>40</v>
      </c>
      <c r="AH934" s="207" t="s">
        <v>722</v>
      </c>
      <c r="AI934" s="93">
        <v>4.7</v>
      </c>
      <c r="AJ934" s="135">
        <v>193</v>
      </c>
      <c r="AK934" s="45">
        <v>1308</v>
      </c>
      <c r="AL934" s="136" t="str" cm="1">
        <f t="array" ref="AL934">_xlfn.IFS(
AI934&lt;3,"Ligera",
AI934&lt;=6,"Moderada",
AI934&gt;6,"Vigorosa"
)</f>
        <v>Moderada</v>
      </c>
      <c r="AM934" s="45" t="s">
        <v>48</v>
      </c>
      <c r="AN934" s="289" t="s">
        <v>60</v>
      </c>
      <c r="AO934" s="289" t="s">
        <v>61</v>
      </c>
      <c r="AP934" s="289" t="s">
        <v>155</v>
      </c>
      <c r="AQ934" s="303">
        <v>3</v>
      </c>
      <c r="AR934" s="299"/>
      <c r="AS934" s="304" t="s">
        <v>720</v>
      </c>
    </row>
    <row r="935" spans="1:45" s="14" customFormat="1" ht="81.75" customHeight="1" thickBot="1">
      <c r="A935" s="124" t="s">
        <v>723</v>
      </c>
      <c r="B935" s="125">
        <v>24</v>
      </c>
      <c r="C935" s="125">
        <v>72.3</v>
      </c>
      <c r="D935" s="125">
        <v>30</v>
      </c>
      <c r="E935" s="125" t="s">
        <v>45</v>
      </c>
      <c r="F935" s="125" t="s">
        <v>45</v>
      </c>
      <c r="G935" s="125" t="s">
        <v>717</v>
      </c>
      <c r="H935" s="125"/>
      <c r="I935" s="125" t="s">
        <v>98</v>
      </c>
      <c r="J935" s="125" t="s">
        <v>47</v>
      </c>
      <c r="K935" s="125" t="s">
        <v>49</v>
      </c>
      <c r="L935" s="125" t="s">
        <v>48</v>
      </c>
      <c r="M935" s="126" t="s">
        <v>56</v>
      </c>
      <c r="N935" s="205" t="s">
        <v>162</v>
      </c>
      <c r="O935" s="205" t="s">
        <v>614</v>
      </c>
      <c r="P935" s="126" t="s">
        <v>51</v>
      </c>
      <c r="Q935" s="159" t="s">
        <v>210</v>
      </c>
      <c r="R935" s="167">
        <v>10</v>
      </c>
      <c r="S935" s="182">
        <v>0.82</v>
      </c>
      <c r="T935" s="182">
        <v>0.13</v>
      </c>
      <c r="U935" s="168">
        <v>10</v>
      </c>
      <c r="V935" s="182">
        <v>0.83</v>
      </c>
      <c r="W935" s="182">
        <v>0.14000000000000001</v>
      </c>
      <c r="X935" s="130">
        <f t="shared" si="157"/>
        <v>1.0000000000000009E-2</v>
      </c>
      <c r="Y935" s="16">
        <f t="shared" si="159"/>
        <v>4.277849927241488E-2</v>
      </c>
      <c r="Z935" s="286" t="s">
        <v>53</v>
      </c>
      <c r="AA935" s="286" t="s">
        <v>53</v>
      </c>
      <c r="AB935" s="16">
        <v>4.277849927241488E-2</v>
      </c>
      <c r="AC935" s="66" t="s">
        <v>49</v>
      </c>
      <c r="AD935" s="133" t="s">
        <v>719</v>
      </c>
      <c r="AE935" s="134">
        <v>8</v>
      </c>
      <c r="AF935" s="134">
        <v>7</v>
      </c>
      <c r="AG935" s="134">
        <v>30</v>
      </c>
      <c r="AH935" s="207">
        <v>206260</v>
      </c>
      <c r="AI935" s="207">
        <v>5</v>
      </c>
      <c r="AJ935" s="135">
        <f t="shared" si="158"/>
        <v>150</v>
      </c>
      <c r="AK935" s="45">
        <f t="shared" si="167"/>
        <v>1050</v>
      </c>
      <c r="AL935" s="136" t="str" cm="1">
        <f t="array" ref="AL935">_xlfn.IFS(
AI935&lt;3,"Ligera",
AI935&lt;=6,"Moderada",
AI935&gt;6,"Vigorosa"
)</f>
        <v>Moderada</v>
      </c>
      <c r="AM935" s="136" t="s">
        <v>49</v>
      </c>
      <c r="AN935" s="288" t="s">
        <v>49</v>
      </c>
      <c r="AO935" s="288" t="s">
        <v>61</v>
      </c>
      <c r="AP935" s="288" t="s">
        <v>413</v>
      </c>
      <c r="AQ935" s="137">
        <v>3</v>
      </c>
      <c r="AS935" s="38" t="s">
        <v>720</v>
      </c>
    </row>
    <row r="936" spans="1:45" s="14" customFormat="1" ht="97.5" customHeight="1" thickBot="1">
      <c r="A936" s="138" t="s">
        <v>723</v>
      </c>
      <c r="B936" s="12">
        <v>24</v>
      </c>
      <c r="C936" s="12">
        <v>75.400000000000006</v>
      </c>
      <c r="D936" s="12">
        <v>30</v>
      </c>
      <c r="E936" s="12" t="s">
        <v>45</v>
      </c>
      <c r="F936" s="12" t="s">
        <v>45</v>
      </c>
      <c r="G936" s="12" t="s">
        <v>717</v>
      </c>
      <c r="H936" s="12"/>
      <c r="I936" s="12" t="s">
        <v>98</v>
      </c>
      <c r="J936" s="12" t="s">
        <v>47</v>
      </c>
      <c r="K936" s="12" t="s">
        <v>49</v>
      </c>
      <c r="L936" s="12" t="s">
        <v>48</v>
      </c>
      <c r="M936" s="11" t="s">
        <v>56</v>
      </c>
      <c r="N936" s="11" t="s">
        <v>76</v>
      </c>
      <c r="O936" s="11" t="s">
        <v>103</v>
      </c>
      <c r="P936" s="11" t="s">
        <v>51</v>
      </c>
      <c r="Q936" s="50" t="s">
        <v>210</v>
      </c>
      <c r="R936" s="47">
        <v>10</v>
      </c>
      <c r="S936" s="48">
        <v>0.83</v>
      </c>
      <c r="T936" s="48">
        <v>0.13</v>
      </c>
      <c r="U936" s="48">
        <v>10</v>
      </c>
      <c r="V936" s="47">
        <v>1.06</v>
      </c>
      <c r="W936" s="52">
        <v>0.28999999999999998</v>
      </c>
      <c r="X936" s="130">
        <f>V936-S936</f>
        <v>0.23000000000000009</v>
      </c>
      <c r="Y936" s="16">
        <f t="shared" si="159"/>
        <v>7.9561297123664346E-2</v>
      </c>
      <c r="Z936" s="15">
        <f>X936-X935</f>
        <v>0.22000000000000008</v>
      </c>
      <c r="AA936" s="16">
        <f t="shared" si="161"/>
        <v>5.1849999999999993E-2</v>
      </c>
      <c r="AB936" s="16">
        <f t="shared" si="162"/>
        <v>0.10183319694480773</v>
      </c>
      <c r="AC936" s="66" t="s">
        <v>49</v>
      </c>
      <c r="AD936" s="51" t="s">
        <v>724</v>
      </c>
      <c r="AE936" s="13">
        <v>8</v>
      </c>
      <c r="AF936" s="13">
        <v>7</v>
      </c>
      <c r="AG936" s="13">
        <v>40</v>
      </c>
      <c r="AH936" s="207">
        <v>211360</v>
      </c>
      <c r="AI936" s="13">
        <v>3.5</v>
      </c>
      <c r="AJ936" s="135">
        <v>193</v>
      </c>
      <c r="AK936" s="45">
        <v>1308</v>
      </c>
      <c r="AL936" s="136" t="str" cm="1">
        <f t="array" ref="AL936">_xlfn.IFS(
AI936&lt;3,"Ligera",
AI936&lt;=6,"Moderada",
AI936&gt;6,"Vigorosa"
)</f>
        <v>Moderada</v>
      </c>
      <c r="AM936" s="45" t="s">
        <v>48</v>
      </c>
      <c r="AN936" s="289" t="s">
        <v>60</v>
      </c>
      <c r="AO936" s="289" t="s">
        <v>61</v>
      </c>
      <c r="AP936" s="46" t="s">
        <v>155</v>
      </c>
      <c r="AQ936" s="139">
        <v>3</v>
      </c>
      <c r="AS936" s="38" t="s">
        <v>720</v>
      </c>
    </row>
    <row r="937" spans="1:45" s="14" customFormat="1" ht="97.5" customHeight="1" thickBot="1">
      <c r="A937" s="138" t="s">
        <v>723</v>
      </c>
      <c r="B937" s="12">
        <v>24</v>
      </c>
      <c r="C937" s="12">
        <v>72.3</v>
      </c>
      <c r="D937" s="12">
        <v>30</v>
      </c>
      <c r="E937" s="12" t="s">
        <v>45</v>
      </c>
      <c r="F937" s="12" t="s">
        <v>45</v>
      </c>
      <c r="G937" s="12" t="s">
        <v>717</v>
      </c>
      <c r="H937" s="12"/>
      <c r="I937" s="12" t="s">
        <v>98</v>
      </c>
      <c r="J937" s="12" t="s">
        <v>47</v>
      </c>
      <c r="K937" s="12" t="s">
        <v>49</v>
      </c>
      <c r="L937" s="12" t="s">
        <v>48</v>
      </c>
      <c r="M937" s="11" t="s">
        <v>56</v>
      </c>
      <c r="N937" s="205" t="s">
        <v>162</v>
      </c>
      <c r="O937" s="205" t="s">
        <v>614</v>
      </c>
      <c r="P937" s="11" t="s">
        <v>51</v>
      </c>
      <c r="Q937" s="50" t="s">
        <v>725</v>
      </c>
      <c r="R937" s="47">
        <v>10</v>
      </c>
      <c r="S937" s="48">
        <v>0.92</v>
      </c>
      <c r="T937" s="48">
        <v>0.14000000000000001</v>
      </c>
      <c r="U937" s="48">
        <v>10</v>
      </c>
      <c r="V937" s="47">
        <v>0.91</v>
      </c>
      <c r="W937" s="47">
        <v>0.16</v>
      </c>
      <c r="X937" s="130">
        <f>V937-S937</f>
        <v>-1.0000000000000009E-2</v>
      </c>
      <c r="Y937" s="16">
        <f t="shared" si="159"/>
        <v>4.7749345545253286E-2</v>
      </c>
      <c r="Z937" s="286" t="s">
        <v>53</v>
      </c>
      <c r="AA937" s="286" t="s">
        <v>53</v>
      </c>
      <c r="AB937" s="16">
        <v>4.7749345545253286E-2</v>
      </c>
      <c r="AC937" s="66" t="s">
        <v>49</v>
      </c>
      <c r="AD937" s="51" t="s">
        <v>719</v>
      </c>
      <c r="AE937" s="13">
        <v>8</v>
      </c>
      <c r="AF937" s="13">
        <v>7</v>
      </c>
      <c r="AG937" s="13">
        <v>30</v>
      </c>
      <c r="AH937" s="207">
        <v>206260</v>
      </c>
      <c r="AI937" s="207">
        <v>5</v>
      </c>
      <c r="AJ937" s="135">
        <f t="shared" si="158"/>
        <v>150</v>
      </c>
      <c r="AK937" s="45">
        <f t="shared" si="167"/>
        <v>1050</v>
      </c>
      <c r="AL937" s="136" t="str" cm="1">
        <f t="array" ref="AL937">_xlfn.IFS(
AI937&lt;3,"Ligera",
AI937&lt;=6,"Moderada",
AI937&gt;6,"Vigorosa"
)</f>
        <v>Moderada</v>
      </c>
      <c r="AM937" s="45" t="s">
        <v>49</v>
      </c>
      <c r="AN937" s="289" t="s">
        <v>49</v>
      </c>
      <c r="AO937" s="289" t="s">
        <v>61</v>
      </c>
      <c r="AP937" s="289" t="s">
        <v>413</v>
      </c>
      <c r="AQ937" s="139">
        <v>3</v>
      </c>
      <c r="AS937" s="38" t="s">
        <v>720</v>
      </c>
    </row>
    <row r="938" spans="1:45" s="14" customFormat="1" ht="97.5" customHeight="1" thickBot="1">
      <c r="A938" s="138" t="s">
        <v>723</v>
      </c>
      <c r="B938" s="12">
        <v>24</v>
      </c>
      <c r="C938" s="12">
        <v>75.400000000000006</v>
      </c>
      <c r="D938" s="12">
        <v>30</v>
      </c>
      <c r="E938" s="12" t="s">
        <v>45</v>
      </c>
      <c r="F938" s="12" t="s">
        <v>45</v>
      </c>
      <c r="G938" s="12" t="s">
        <v>717</v>
      </c>
      <c r="H938" s="12"/>
      <c r="I938" s="12" t="s">
        <v>98</v>
      </c>
      <c r="J938" s="12" t="s">
        <v>47</v>
      </c>
      <c r="K938" s="12" t="s">
        <v>49</v>
      </c>
      <c r="L938" s="12" t="s">
        <v>48</v>
      </c>
      <c r="M938" s="11" t="s">
        <v>56</v>
      </c>
      <c r="N938" s="11" t="s">
        <v>76</v>
      </c>
      <c r="O938" s="11" t="s">
        <v>103</v>
      </c>
      <c r="P938" s="11" t="s">
        <v>51</v>
      </c>
      <c r="Q938" s="50" t="s">
        <v>725</v>
      </c>
      <c r="R938" s="47">
        <v>10</v>
      </c>
      <c r="S938" s="48">
        <v>0.91</v>
      </c>
      <c r="T938" s="48">
        <v>0.21</v>
      </c>
      <c r="U938" s="47">
        <v>10</v>
      </c>
      <c r="V938" s="47">
        <v>1.2</v>
      </c>
      <c r="W938" s="52">
        <v>0.05</v>
      </c>
      <c r="X938" s="130">
        <f>V938-S938</f>
        <v>0.28999999999999992</v>
      </c>
      <c r="Y938" s="16">
        <f t="shared" si="159"/>
        <v>6.0083275543199192E-2</v>
      </c>
      <c r="Z938" s="15">
        <f>X938-X937</f>
        <v>0.29999999999999993</v>
      </c>
      <c r="AA938" s="16">
        <f t="shared" si="161"/>
        <v>1.405E-2</v>
      </c>
      <c r="AB938" s="16">
        <f t="shared" si="162"/>
        <v>5.3009433122794283E-2</v>
      </c>
      <c r="AC938" s="66" t="s">
        <v>49</v>
      </c>
      <c r="AD938" s="51" t="s">
        <v>724</v>
      </c>
      <c r="AE938" s="13">
        <v>8</v>
      </c>
      <c r="AF938" s="13">
        <v>7</v>
      </c>
      <c r="AG938" s="13">
        <v>40</v>
      </c>
      <c r="AH938" s="207">
        <v>211360</v>
      </c>
      <c r="AI938" s="13">
        <v>3.5</v>
      </c>
      <c r="AJ938" s="135">
        <v>193</v>
      </c>
      <c r="AK938" s="45">
        <v>1308</v>
      </c>
      <c r="AL938" s="136" t="str" cm="1">
        <f t="array" ref="AL938">_xlfn.IFS(
AI938&lt;3,"Ligera",
AI938&lt;=6,"Moderada",
AI938&gt;6,"Vigorosa"
)</f>
        <v>Moderada</v>
      </c>
      <c r="AM938" s="45" t="s">
        <v>48</v>
      </c>
      <c r="AN938" s="289" t="s">
        <v>60</v>
      </c>
      <c r="AO938" s="289" t="s">
        <v>61</v>
      </c>
      <c r="AP938" s="46" t="s">
        <v>155</v>
      </c>
      <c r="AQ938" s="139">
        <v>3</v>
      </c>
      <c r="AS938" s="38" t="s">
        <v>720</v>
      </c>
    </row>
    <row r="939" spans="1:45" s="14" customFormat="1" ht="97.5" customHeight="1" thickBot="1">
      <c r="A939" s="138" t="s">
        <v>726</v>
      </c>
      <c r="B939" s="276">
        <v>45</v>
      </c>
      <c r="C939" s="12">
        <v>81</v>
      </c>
      <c r="D939" s="12">
        <v>0</v>
      </c>
      <c r="E939" s="12" t="s">
        <v>45</v>
      </c>
      <c r="F939" s="12" t="s">
        <v>45</v>
      </c>
      <c r="G939" s="12" t="s">
        <v>292</v>
      </c>
      <c r="H939" s="12"/>
      <c r="I939" s="12" t="s">
        <v>45</v>
      </c>
      <c r="J939" s="12" t="s">
        <v>47</v>
      </c>
      <c r="K939" s="12" t="s">
        <v>48</v>
      </c>
      <c r="L939" s="12" t="s">
        <v>48</v>
      </c>
      <c r="M939" s="11" t="s">
        <v>50</v>
      </c>
      <c r="N939" s="11" t="s">
        <v>50</v>
      </c>
      <c r="O939" s="11" t="s">
        <v>50</v>
      </c>
      <c r="P939" s="11" t="s">
        <v>51</v>
      </c>
      <c r="Q939" s="50" t="s">
        <v>124</v>
      </c>
      <c r="R939" s="47">
        <v>24</v>
      </c>
      <c r="S939" s="85">
        <v>31.06</v>
      </c>
      <c r="T939" s="85">
        <v>2.92</v>
      </c>
      <c r="U939" s="47">
        <v>20</v>
      </c>
      <c r="V939" s="181">
        <v>35.75</v>
      </c>
      <c r="W939" s="180">
        <v>3.03</v>
      </c>
      <c r="X939" s="130">
        <f t="shared" si="157"/>
        <v>4.6900000000000013</v>
      </c>
      <c r="Y939" s="16">
        <f t="shared" si="159"/>
        <v>0.66557118327042963</v>
      </c>
      <c r="Z939" s="286" t="s">
        <v>53</v>
      </c>
      <c r="AA939" s="286" t="s">
        <v>53</v>
      </c>
      <c r="AB939" s="16">
        <v>0.66557118327042963</v>
      </c>
      <c r="AC939" s="66" t="s">
        <v>48</v>
      </c>
      <c r="AD939" s="51" t="s">
        <v>727</v>
      </c>
      <c r="AE939" s="13">
        <v>24</v>
      </c>
      <c r="AF939" s="93">
        <v>0</v>
      </c>
      <c r="AG939" s="93">
        <v>0</v>
      </c>
      <c r="AH939" s="134">
        <v>0</v>
      </c>
      <c r="AI939" s="134">
        <v>0</v>
      </c>
      <c r="AJ939" s="135">
        <f t="shared" si="158"/>
        <v>0</v>
      </c>
      <c r="AK939" s="45">
        <f t="shared" si="167"/>
        <v>0</v>
      </c>
      <c r="AL939" s="136" t="str" cm="1">
        <f t="array" ref="AL939">_xlfn.IFS(
AI939&lt;3,"Ligera",
AI939&lt;=6,"Moderada",
AI939&gt;6,"Vigorosa"
)</f>
        <v>Ligera</v>
      </c>
      <c r="AM939" s="45" t="s">
        <v>49</v>
      </c>
      <c r="AN939" s="289" t="s">
        <v>49</v>
      </c>
      <c r="AO939" s="289" t="s">
        <v>49</v>
      </c>
      <c r="AP939" s="289" t="s">
        <v>49</v>
      </c>
      <c r="AQ939" s="303">
        <v>0</v>
      </c>
      <c r="AS939" s="275" t="s">
        <v>698</v>
      </c>
    </row>
    <row r="940" spans="1:45" s="14" customFormat="1" ht="97.5" customHeight="1" thickBot="1">
      <c r="A940" s="138" t="s">
        <v>726</v>
      </c>
      <c r="B940" s="12">
        <v>45</v>
      </c>
      <c r="C940" s="12">
        <v>81</v>
      </c>
      <c r="D940" s="12">
        <v>0</v>
      </c>
      <c r="E940" s="12" t="s">
        <v>45</v>
      </c>
      <c r="F940" s="12" t="s">
        <v>45</v>
      </c>
      <c r="G940" s="12" t="s">
        <v>292</v>
      </c>
      <c r="H940" s="12"/>
      <c r="I940" s="12" t="s">
        <v>45</v>
      </c>
      <c r="J940" s="12" t="s">
        <v>47</v>
      </c>
      <c r="K940" s="12" t="s">
        <v>48</v>
      </c>
      <c r="L940" s="12" t="s">
        <v>48</v>
      </c>
      <c r="M940" s="11" t="s">
        <v>56</v>
      </c>
      <c r="N940" s="11" t="s">
        <v>162</v>
      </c>
      <c r="O940" s="11" t="s">
        <v>163</v>
      </c>
      <c r="P940" s="11" t="s">
        <v>51</v>
      </c>
      <c r="Q940" s="50" t="s">
        <v>124</v>
      </c>
      <c r="R940" s="47">
        <v>21</v>
      </c>
      <c r="S940" s="85">
        <v>27.27</v>
      </c>
      <c r="T940" s="85">
        <v>2.81</v>
      </c>
      <c r="U940" s="47">
        <v>21</v>
      </c>
      <c r="V940" s="181">
        <v>24.84</v>
      </c>
      <c r="W940" s="180">
        <v>3.03</v>
      </c>
      <c r="X940" s="130">
        <f t="shared" si="157"/>
        <v>-2.4299999999999997</v>
      </c>
      <c r="Y940" s="16">
        <f t="shared" si="159"/>
        <v>0.63855118749213746</v>
      </c>
      <c r="Z940" s="15">
        <f t="shared" si="160"/>
        <v>-7.120000000000001</v>
      </c>
      <c r="AA940" s="16">
        <f t="shared" si="161"/>
        <v>9.1808999999999994</v>
      </c>
      <c r="AB940" s="16">
        <f t="shared" si="162"/>
        <v>0.94669462567699947</v>
      </c>
      <c r="AC940" s="66" t="s">
        <v>48</v>
      </c>
      <c r="AD940" s="51" t="s">
        <v>728</v>
      </c>
      <c r="AE940" s="13">
        <v>24</v>
      </c>
      <c r="AF940" s="13">
        <v>2</v>
      </c>
      <c r="AG940" s="13">
        <v>45</v>
      </c>
      <c r="AH940" s="134">
        <v>1715360</v>
      </c>
      <c r="AI940" s="134">
        <v>3.8</v>
      </c>
      <c r="AJ940" s="135">
        <f t="shared" si="158"/>
        <v>171</v>
      </c>
      <c r="AK940" s="45">
        <f t="shared" si="167"/>
        <v>342</v>
      </c>
      <c r="AL940" s="136" t="str" cm="1">
        <f t="array" ref="AL940">_xlfn.IFS(
AI940&lt;3,"Ligera",
AI940&lt;=6,"Moderada",
AI940&gt;6,"Vigorosa"
)</f>
        <v>Moderada</v>
      </c>
      <c r="AM940" s="45" t="s">
        <v>49</v>
      </c>
      <c r="AN940" s="289" t="s">
        <v>49</v>
      </c>
      <c r="AO940" s="289" t="s">
        <v>61</v>
      </c>
      <c r="AP940" s="289" t="s">
        <v>62</v>
      </c>
      <c r="AQ940" s="139">
        <v>0</v>
      </c>
      <c r="AS940" s="275" t="s">
        <v>698</v>
      </c>
    </row>
    <row r="941" spans="1:45" s="14" customFormat="1" ht="81.75" customHeight="1" thickBot="1">
      <c r="A941" s="203" t="s">
        <v>729</v>
      </c>
      <c r="B941" s="204">
        <v>58</v>
      </c>
      <c r="C941" s="204" t="s">
        <v>47</v>
      </c>
      <c r="D941" s="204">
        <v>48.28</v>
      </c>
      <c r="E941" s="204" t="s">
        <v>45</v>
      </c>
      <c r="F941" s="204" t="s">
        <v>45</v>
      </c>
      <c r="G941" s="204" t="s">
        <v>328</v>
      </c>
      <c r="H941" s="204"/>
      <c r="I941" s="204" t="s">
        <v>45</v>
      </c>
      <c r="J941" s="204" t="s">
        <v>47</v>
      </c>
      <c r="K941" s="204" t="s">
        <v>49</v>
      </c>
      <c r="L941" s="204" t="s">
        <v>48</v>
      </c>
      <c r="M941" s="205" t="s">
        <v>50</v>
      </c>
      <c r="N941" s="205" t="s">
        <v>50</v>
      </c>
      <c r="O941" s="205" t="s">
        <v>50</v>
      </c>
      <c r="P941" s="205" t="s">
        <v>94</v>
      </c>
      <c r="Q941" s="159" t="s">
        <v>119</v>
      </c>
      <c r="R941" s="206">
        <v>29</v>
      </c>
      <c r="S941" s="191">
        <v>18.579999999999998</v>
      </c>
      <c r="T941" s="191">
        <v>3.4</v>
      </c>
      <c r="U941" s="168">
        <v>29</v>
      </c>
      <c r="V941" s="277">
        <v>16.670000000000002</v>
      </c>
      <c r="W941" s="272">
        <v>3.12</v>
      </c>
      <c r="X941" s="130">
        <f t="shared" si="157"/>
        <v>-1.9099999999999966</v>
      </c>
      <c r="Y941" s="16">
        <f t="shared" si="159"/>
        <v>0.6070391681960382</v>
      </c>
      <c r="Z941" s="286" t="s">
        <v>53</v>
      </c>
      <c r="AA941" s="286" t="s">
        <v>53</v>
      </c>
      <c r="AB941" s="16">
        <v>0.6070391681960382</v>
      </c>
      <c r="AC941" s="66" t="s">
        <v>49</v>
      </c>
      <c r="AD941" s="133" t="s">
        <v>730</v>
      </c>
      <c r="AE941" s="207">
        <v>12</v>
      </c>
      <c r="AF941" s="207">
        <v>0</v>
      </c>
      <c r="AG941" s="207">
        <v>0</v>
      </c>
      <c r="AH941" s="134">
        <v>0</v>
      </c>
      <c r="AI941" s="134">
        <v>0</v>
      </c>
      <c r="AJ941" s="135">
        <f t="shared" si="158"/>
        <v>0</v>
      </c>
      <c r="AK941" s="45">
        <f t="shared" si="167"/>
        <v>0</v>
      </c>
      <c r="AL941" s="136" t="str" cm="1">
        <f t="array" ref="AL941">_xlfn.IFS(
AI941&lt;3,"Ligera",
AI941&lt;=6,"Moderada",
AI941&gt;6,"Vigorosa"
)</f>
        <v>Ligera</v>
      </c>
      <c r="AM941" s="136" t="s">
        <v>49</v>
      </c>
      <c r="AN941" s="288" t="s">
        <v>49</v>
      </c>
      <c r="AO941" s="288" t="s">
        <v>49</v>
      </c>
      <c r="AP941" s="288" t="s">
        <v>49</v>
      </c>
      <c r="AQ941" s="298" t="s">
        <v>49</v>
      </c>
      <c r="AS941" s="307" t="s">
        <v>731</v>
      </c>
    </row>
    <row r="942" spans="1:45" s="14" customFormat="1" ht="97.5" customHeight="1" thickBot="1">
      <c r="A942" s="209" t="s">
        <v>729</v>
      </c>
      <c r="B942" s="90">
        <v>58</v>
      </c>
      <c r="C942" s="90" t="s">
        <v>47</v>
      </c>
      <c r="D942" s="90">
        <v>41.14</v>
      </c>
      <c r="E942" s="90" t="s">
        <v>45</v>
      </c>
      <c r="F942" s="308" t="s">
        <v>45</v>
      </c>
      <c r="G942" s="90" t="s">
        <v>328</v>
      </c>
      <c r="H942" s="90"/>
      <c r="I942" s="90" t="s">
        <v>45</v>
      </c>
      <c r="J942" s="90" t="s">
        <v>47</v>
      </c>
      <c r="K942" s="90" t="s">
        <v>49</v>
      </c>
      <c r="L942" s="90" t="s">
        <v>48</v>
      </c>
      <c r="M942" s="91" t="s">
        <v>56</v>
      </c>
      <c r="N942" s="91" t="s">
        <v>57</v>
      </c>
      <c r="O942" s="91" t="s">
        <v>58</v>
      </c>
      <c r="P942" s="91" t="s">
        <v>94</v>
      </c>
      <c r="Q942" s="50" t="s">
        <v>119</v>
      </c>
      <c r="R942" s="92">
        <v>29</v>
      </c>
      <c r="S942" s="85">
        <v>19.260000000000002</v>
      </c>
      <c r="T942" s="85">
        <v>3.63</v>
      </c>
      <c r="U942" s="48">
        <v>29</v>
      </c>
      <c r="V942" s="85">
        <v>21.04</v>
      </c>
      <c r="W942" s="294">
        <v>3.87</v>
      </c>
      <c r="X942" s="130">
        <f t="shared" si="157"/>
        <v>1.7799999999999976</v>
      </c>
      <c r="Y942" s="16">
        <f t="shared" si="159"/>
        <v>0.69742630311443099</v>
      </c>
      <c r="Z942" s="15">
        <f t="shared" si="160"/>
        <v>3.6899999999999942</v>
      </c>
      <c r="AA942" s="16">
        <f t="shared" si="161"/>
        <v>12.355650000000001</v>
      </c>
      <c r="AB942" s="16">
        <f t="shared" si="162"/>
        <v>0.92310009917854963</v>
      </c>
      <c r="AC942" s="66" t="s">
        <v>49</v>
      </c>
      <c r="AD942" s="51" t="s">
        <v>732</v>
      </c>
      <c r="AE942" s="93">
        <v>12</v>
      </c>
      <c r="AF942" s="93">
        <v>3</v>
      </c>
      <c r="AG942" s="93">
        <v>15</v>
      </c>
      <c r="AH942" s="13">
        <v>205160</v>
      </c>
      <c r="AI942" s="13">
        <v>3</v>
      </c>
      <c r="AJ942" s="135">
        <f t="shared" si="158"/>
        <v>45</v>
      </c>
      <c r="AK942" s="45">
        <f t="shared" si="167"/>
        <v>135</v>
      </c>
      <c r="AL942" s="136" t="str" cm="1">
        <f t="array" ref="AL942">_xlfn.IFS(
AI942&lt;3,"Ligera",
AI942&lt;=6,"Moderada",
AI942&gt;6,"Vigorosa"
)</f>
        <v>Moderada</v>
      </c>
      <c r="AM942" s="45" t="s">
        <v>48</v>
      </c>
      <c r="AN942" s="289" t="s">
        <v>60</v>
      </c>
      <c r="AO942" s="289" t="s">
        <v>61</v>
      </c>
      <c r="AP942" s="289" t="s">
        <v>62</v>
      </c>
      <c r="AQ942" s="303" t="s">
        <v>49</v>
      </c>
      <c r="AS942" s="307" t="s">
        <v>731</v>
      </c>
    </row>
    <row r="943" spans="1:45" s="14" customFormat="1" ht="81.75" customHeight="1" thickBot="1">
      <c r="A943" s="209" t="s">
        <v>729</v>
      </c>
      <c r="B943" s="90">
        <v>58</v>
      </c>
      <c r="C943" s="90" t="s">
        <v>47</v>
      </c>
      <c r="D943" s="90">
        <v>48.28</v>
      </c>
      <c r="E943" s="90" t="s">
        <v>45</v>
      </c>
      <c r="F943" s="90" t="s">
        <v>45</v>
      </c>
      <c r="G943" s="90" t="s">
        <v>328</v>
      </c>
      <c r="H943" s="90"/>
      <c r="I943" s="90" t="s">
        <v>45</v>
      </c>
      <c r="J943" s="90" t="s">
        <v>47</v>
      </c>
      <c r="K943" s="90" t="s">
        <v>49</v>
      </c>
      <c r="L943" s="90" t="s">
        <v>48</v>
      </c>
      <c r="M943" s="91" t="s">
        <v>50</v>
      </c>
      <c r="N943" s="91" t="s">
        <v>50</v>
      </c>
      <c r="O943" s="91" t="s">
        <v>50</v>
      </c>
      <c r="P943" s="91" t="s">
        <v>51</v>
      </c>
      <c r="Q943" s="50" t="s">
        <v>293</v>
      </c>
      <c r="R943" s="92">
        <v>29</v>
      </c>
      <c r="S943" s="48">
        <v>24.7</v>
      </c>
      <c r="T943" s="48">
        <v>4.49</v>
      </c>
      <c r="U943" s="92">
        <v>29</v>
      </c>
      <c r="V943" s="92">
        <v>25.67</v>
      </c>
      <c r="W943" s="52">
        <v>4.75</v>
      </c>
      <c r="X943" s="130">
        <f t="shared" si="157"/>
        <v>0.97000000000000242</v>
      </c>
      <c r="Y943" s="16">
        <f t="shared" si="159"/>
        <v>0.85893077076416202</v>
      </c>
      <c r="Z943" s="286" t="s">
        <v>53</v>
      </c>
      <c r="AA943" s="286" t="s">
        <v>53</v>
      </c>
      <c r="AB943" s="16">
        <v>0.85893077076416202</v>
      </c>
      <c r="AC943" s="66" t="s">
        <v>49</v>
      </c>
      <c r="AD943" s="51" t="s">
        <v>730</v>
      </c>
      <c r="AE943" s="93">
        <v>12</v>
      </c>
      <c r="AF943" s="93">
        <v>0</v>
      </c>
      <c r="AG943" s="93">
        <v>0</v>
      </c>
      <c r="AH943" s="134">
        <v>0</v>
      </c>
      <c r="AI943" s="134">
        <v>0</v>
      </c>
      <c r="AJ943" s="135">
        <f t="shared" si="158"/>
        <v>0</v>
      </c>
      <c r="AK943" s="45">
        <f t="shared" si="167"/>
        <v>0</v>
      </c>
      <c r="AL943" s="136" t="str" cm="1">
        <f t="array" ref="AL943">_xlfn.IFS(
AI943&lt;3,"Ligera",
AI943&lt;=6,"Moderada",
AI943&gt;6,"Vigorosa"
)</f>
        <v>Ligera</v>
      </c>
      <c r="AM943" s="45" t="s">
        <v>49</v>
      </c>
      <c r="AN943" s="289" t="s">
        <v>49</v>
      </c>
      <c r="AO943" s="289" t="s">
        <v>49</v>
      </c>
      <c r="AP943" s="289" t="s">
        <v>49</v>
      </c>
      <c r="AQ943" s="303" t="s">
        <v>49</v>
      </c>
    </row>
    <row r="944" spans="1:45" s="14" customFormat="1" ht="97.5" customHeight="1" thickBot="1">
      <c r="A944" s="209" t="s">
        <v>729</v>
      </c>
      <c r="B944" s="90">
        <v>58</v>
      </c>
      <c r="C944" s="90" t="s">
        <v>47</v>
      </c>
      <c r="D944" s="90">
        <v>41.14</v>
      </c>
      <c r="E944" s="90" t="s">
        <v>45</v>
      </c>
      <c r="F944" s="308" t="s">
        <v>45</v>
      </c>
      <c r="G944" s="90" t="s">
        <v>328</v>
      </c>
      <c r="H944" s="90"/>
      <c r="I944" s="90" t="s">
        <v>45</v>
      </c>
      <c r="J944" s="90" t="s">
        <v>47</v>
      </c>
      <c r="K944" s="90" t="s">
        <v>49</v>
      </c>
      <c r="L944" s="90" t="s">
        <v>48</v>
      </c>
      <c r="M944" s="91" t="s">
        <v>56</v>
      </c>
      <c r="N944" s="91" t="s">
        <v>57</v>
      </c>
      <c r="O944" s="91" t="s">
        <v>58</v>
      </c>
      <c r="P944" s="91" t="s">
        <v>51</v>
      </c>
      <c r="Q944" s="50" t="s">
        <v>293</v>
      </c>
      <c r="R944" s="92">
        <v>29</v>
      </c>
      <c r="S944" s="48">
        <v>24.84</v>
      </c>
      <c r="T944" s="48">
        <v>4.4800000000000004</v>
      </c>
      <c r="U944" s="92">
        <v>29</v>
      </c>
      <c r="V944" s="92">
        <v>26.62</v>
      </c>
      <c r="W944" s="48">
        <v>4.53</v>
      </c>
      <c r="X944" s="130">
        <f t="shared" si="157"/>
        <v>1.7800000000000011</v>
      </c>
      <c r="Y944" s="16">
        <f t="shared" si="159"/>
        <v>0.83659614118657999</v>
      </c>
      <c r="Z944" s="15">
        <f t="shared" si="160"/>
        <v>0.80999999999999872</v>
      </c>
      <c r="AA944" s="16">
        <f t="shared" si="161"/>
        <v>21.541699999999999</v>
      </c>
      <c r="AB944" s="16">
        <f t="shared" si="162"/>
        <v>1.2188660643231564</v>
      </c>
      <c r="AC944" s="66" t="s">
        <v>49</v>
      </c>
      <c r="AD944" s="51" t="s">
        <v>732</v>
      </c>
      <c r="AE944" s="93">
        <v>12</v>
      </c>
      <c r="AF944" s="93">
        <v>3</v>
      </c>
      <c r="AG944" s="93">
        <v>15</v>
      </c>
      <c r="AH944" s="13">
        <v>205160</v>
      </c>
      <c r="AI944" s="13">
        <v>3</v>
      </c>
      <c r="AJ944" s="135">
        <f t="shared" si="158"/>
        <v>45</v>
      </c>
      <c r="AK944" s="45">
        <f t="shared" si="167"/>
        <v>135</v>
      </c>
      <c r="AL944" s="136" t="str" cm="1">
        <f t="array" ref="AL944">_xlfn.IFS(
AI944&lt;3,"Ligera",
AI944&lt;=6,"Moderada",
AI944&gt;6,"Vigorosa"
)</f>
        <v>Moderada</v>
      </c>
      <c r="AM944" s="45" t="s">
        <v>48</v>
      </c>
      <c r="AN944" s="289" t="s">
        <v>60</v>
      </c>
      <c r="AO944" s="289" t="s">
        <v>61</v>
      </c>
      <c r="AP944" s="289" t="s">
        <v>62</v>
      </c>
      <c r="AQ944" s="303" t="s">
        <v>49</v>
      </c>
    </row>
    <row r="945" spans="1:43" s="14" customFormat="1" ht="81.75" customHeight="1" thickBot="1">
      <c r="A945" s="209" t="s">
        <v>729</v>
      </c>
      <c r="B945" s="90">
        <v>58</v>
      </c>
      <c r="C945" s="90" t="s">
        <v>47</v>
      </c>
      <c r="D945" s="90">
        <v>48.28</v>
      </c>
      <c r="E945" s="90" t="s">
        <v>45</v>
      </c>
      <c r="F945" s="90" t="s">
        <v>45</v>
      </c>
      <c r="G945" s="90" t="s">
        <v>328</v>
      </c>
      <c r="H945" s="90"/>
      <c r="I945" s="90" t="s">
        <v>45</v>
      </c>
      <c r="J945" s="90" t="s">
        <v>47</v>
      </c>
      <c r="K945" s="90" t="s">
        <v>49</v>
      </c>
      <c r="L945" s="90" t="s">
        <v>48</v>
      </c>
      <c r="M945" s="91" t="s">
        <v>50</v>
      </c>
      <c r="N945" s="91" t="s">
        <v>50</v>
      </c>
      <c r="O945" s="91" t="s">
        <v>50</v>
      </c>
      <c r="P945" s="91" t="s">
        <v>51</v>
      </c>
      <c r="Q945" s="50" t="s">
        <v>299</v>
      </c>
      <c r="R945" s="92">
        <v>29</v>
      </c>
      <c r="S945" s="48">
        <v>22.94</v>
      </c>
      <c r="T945" s="48">
        <v>3.91</v>
      </c>
      <c r="U945" s="92">
        <v>29</v>
      </c>
      <c r="V945" s="92">
        <v>23.17</v>
      </c>
      <c r="W945" s="52">
        <v>4.7699999999999996</v>
      </c>
      <c r="X945" s="130">
        <f t="shared" si="157"/>
        <v>0.23000000000000043</v>
      </c>
      <c r="Y945" s="16">
        <f t="shared" si="159"/>
        <v>0.81769862081500333</v>
      </c>
      <c r="Z945" s="286" t="s">
        <v>53</v>
      </c>
      <c r="AA945" s="286" t="s">
        <v>53</v>
      </c>
      <c r="AB945" s="16">
        <v>0.81769862081500333</v>
      </c>
      <c r="AC945" s="66" t="s">
        <v>49</v>
      </c>
      <c r="AD945" s="51" t="s">
        <v>730</v>
      </c>
      <c r="AE945" s="93">
        <v>12</v>
      </c>
      <c r="AF945" s="93">
        <v>0</v>
      </c>
      <c r="AG945" s="93">
        <v>0</v>
      </c>
      <c r="AH945" s="134">
        <v>0</v>
      </c>
      <c r="AI945" s="134">
        <v>0</v>
      </c>
      <c r="AJ945" s="135">
        <f t="shared" si="158"/>
        <v>0</v>
      </c>
      <c r="AK945" s="45">
        <f t="shared" si="167"/>
        <v>0</v>
      </c>
      <c r="AL945" s="136" t="str" cm="1">
        <f t="array" ref="AL945">_xlfn.IFS(
AI945&lt;3,"Ligera",
AI945&lt;=6,"Moderada",
AI945&gt;6,"Vigorosa"
)</f>
        <v>Ligera</v>
      </c>
      <c r="AM945" s="45" t="s">
        <v>49</v>
      </c>
      <c r="AN945" s="289" t="s">
        <v>49</v>
      </c>
      <c r="AO945" s="289" t="s">
        <v>49</v>
      </c>
      <c r="AP945" s="289" t="s">
        <v>49</v>
      </c>
      <c r="AQ945" s="303" t="s">
        <v>49</v>
      </c>
    </row>
    <row r="946" spans="1:43" s="14" customFormat="1" ht="97.5" customHeight="1" thickBot="1">
      <c r="A946" s="211" t="s">
        <v>729</v>
      </c>
      <c r="B946" s="212">
        <v>58</v>
      </c>
      <c r="C946" s="212" t="s">
        <v>47</v>
      </c>
      <c r="D946" s="212">
        <v>41.14</v>
      </c>
      <c r="E946" s="212" t="s">
        <v>45</v>
      </c>
      <c r="F946" s="309" t="s">
        <v>45</v>
      </c>
      <c r="G946" s="212" t="s">
        <v>328</v>
      </c>
      <c r="H946" s="212"/>
      <c r="I946" s="212" t="s">
        <v>45</v>
      </c>
      <c r="J946" s="212" t="s">
        <v>47</v>
      </c>
      <c r="K946" s="212" t="s">
        <v>49</v>
      </c>
      <c r="L946" s="212" t="s">
        <v>48</v>
      </c>
      <c r="M946" s="213" t="s">
        <v>56</v>
      </c>
      <c r="N946" s="213" t="s">
        <v>57</v>
      </c>
      <c r="O946" s="213" t="s">
        <v>58</v>
      </c>
      <c r="P946" s="213" t="s">
        <v>51</v>
      </c>
      <c r="Q946" s="158" t="s">
        <v>299</v>
      </c>
      <c r="R946" s="214">
        <v>29</v>
      </c>
      <c r="S946" s="170">
        <v>22.42</v>
      </c>
      <c r="T946" s="170">
        <v>3.82</v>
      </c>
      <c r="U946" s="214">
        <v>29</v>
      </c>
      <c r="V946" s="214">
        <v>25.4</v>
      </c>
      <c r="W946" s="170">
        <v>4.58</v>
      </c>
      <c r="X946" s="130">
        <f t="shared" si="157"/>
        <v>2.9799999999999969</v>
      </c>
      <c r="Y946" s="16">
        <f t="shared" si="159"/>
        <v>0.7894389103049384</v>
      </c>
      <c r="Z946" s="15">
        <f t="shared" si="160"/>
        <v>2.7499999999999964</v>
      </c>
      <c r="AA946" s="16">
        <f t="shared" si="161"/>
        <v>21.864650000000001</v>
      </c>
      <c r="AB946" s="16">
        <f t="shared" si="162"/>
        <v>1.2279686056865315</v>
      </c>
      <c r="AC946" s="66" t="s">
        <v>49</v>
      </c>
      <c r="AD946" s="151" t="s">
        <v>732</v>
      </c>
      <c r="AE946" s="215">
        <v>12</v>
      </c>
      <c r="AF946" s="215">
        <v>3</v>
      </c>
      <c r="AG946" s="215">
        <v>15</v>
      </c>
      <c r="AH946" s="13">
        <v>205160</v>
      </c>
      <c r="AI946" s="13">
        <v>3</v>
      </c>
      <c r="AJ946" s="135">
        <f t="shared" si="158"/>
        <v>45</v>
      </c>
      <c r="AK946" s="45">
        <f t="shared" si="167"/>
        <v>135</v>
      </c>
      <c r="AL946" s="136" t="str" cm="1">
        <f t="array" ref="AL946">_xlfn.IFS(
AI946&lt;3,"Ligera",
AI946&lt;=6,"Moderada",
AI946&gt;6,"Vigorosa"
)</f>
        <v>Moderada</v>
      </c>
      <c r="AM946" s="147" t="s">
        <v>48</v>
      </c>
      <c r="AN946" s="290" t="s">
        <v>60</v>
      </c>
      <c r="AO946" s="290" t="s">
        <v>61</v>
      </c>
      <c r="AP946" s="290" t="s">
        <v>62</v>
      </c>
      <c r="AQ946" s="301" t="s">
        <v>49</v>
      </c>
    </row>
    <row r="947" spans="1:43" s="101" customFormat="1" ht="78.75" customHeight="1">
      <c r="A947" s="53"/>
      <c r="B947" s="54"/>
      <c r="C947" s="54"/>
      <c r="D947" s="54"/>
      <c r="E947" s="54"/>
      <c r="F947" s="54"/>
      <c r="G947" s="54"/>
      <c r="H947" s="54"/>
      <c r="I947" s="54"/>
      <c r="J947" s="54"/>
      <c r="K947" s="54"/>
      <c r="L947" s="54"/>
      <c r="M947" s="55"/>
      <c r="N947" s="55"/>
      <c r="O947" s="55"/>
      <c r="P947" s="11"/>
      <c r="Q947" s="94"/>
      <c r="R947" s="56"/>
      <c r="S947" s="57"/>
      <c r="T947" s="58"/>
      <c r="U947" s="57"/>
      <c r="V947" s="56"/>
      <c r="W947" s="57"/>
      <c r="X947" s="59"/>
      <c r="Y947" s="59"/>
      <c r="Z947" s="59"/>
      <c r="AA947" s="59"/>
      <c r="AB947" s="59"/>
      <c r="AC947" s="95"/>
      <c r="AD947" s="96"/>
      <c r="AE947" s="60"/>
      <c r="AF947" s="60"/>
      <c r="AG947" s="60"/>
      <c r="AH947" s="13"/>
      <c r="AI947" s="13"/>
      <c r="AJ947" s="97"/>
      <c r="AK947" s="97"/>
      <c r="AL947" s="97"/>
      <c r="AM947" s="97"/>
      <c r="AN947" s="97"/>
      <c r="AO947" s="97"/>
      <c r="AP947" s="97"/>
      <c r="AQ947" s="97"/>
    </row>
    <row r="948" spans="1:43" s="101" customFormat="1" ht="78.75" customHeight="1">
      <c r="A948" s="53"/>
      <c r="B948" s="54"/>
      <c r="C948" s="54"/>
      <c r="D948" s="54"/>
      <c r="E948" s="54"/>
      <c r="F948" s="54"/>
      <c r="G948" s="54"/>
      <c r="H948" s="54"/>
      <c r="I948" s="54"/>
      <c r="J948" s="54"/>
      <c r="K948" s="54"/>
      <c r="L948" s="54"/>
      <c r="M948" s="55"/>
      <c r="N948" s="55"/>
      <c r="O948" s="55"/>
      <c r="P948" s="55"/>
      <c r="Q948" s="94"/>
      <c r="R948" s="56"/>
      <c r="S948" s="57"/>
      <c r="T948" s="58"/>
      <c r="U948" s="57"/>
      <c r="V948" s="56"/>
      <c r="W948" s="57"/>
      <c r="X948" s="59"/>
      <c r="Y948" s="59"/>
      <c r="Z948" s="59"/>
      <c r="AA948" s="59"/>
      <c r="AB948" s="59"/>
      <c r="AC948" s="95"/>
      <c r="AD948" s="96"/>
      <c r="AE948" s="60"/>
      <c r="AF948" s="60"/>
      <c r="AG948" s="60"/>
      <c r="AH948" s="13"/>
      <c r="AI948" s="13"/>
      <c r="AJ948" s="97"/>
      <c r="AK948" s="97"/>
      <c r="AL948" s="97"/>
      <c r="AM948" s="97"/>
      <c r="AN948" s="97"/>
      <c r="AO948" s="97"/>
      <c r="AP948" s="97"/>
      <c r="AQ948" s="97"/>
    </row>
    <row r="949" spans="1:43" s="101" customFormat="1" ht="78.75" customHeight="1">
      <c r="A949" s="53"/>
      <c r="B949" s="54"/>
      <c r="C949" s="54"/>
      <c r="D949" s="54"/>
      <c r="E949" s="54"/>
      <c r="F949" s="54"/>
      <c r="G949" s="54"/>
      <c r="H949" s="54"/>
      <c r="I949" s="54"/>
      <c r="J949" s="54"/>
      <c r="K949" s="54"/>
      <c r="L949" s="54"/>
      <c r="M949" s="55"/>
      <c r="N949" s="55"/>
      <c r="O949" s="55"/>
      <c r="P949" s="55"/>
      <c r="Q949" s="94"/>
      <c r="R949" s="56"/>
      <c r="S949" s="57"/>
      <c r="T949" s="58"/>
      <c r="U949" s="57"/>
      <c r="V949" s="56"/>
      <c r="W949" s="57"/>
      <c r="X949" s="59"/>
      <c r="Y949" s="59"/>
      <c r="Z949" s="59"/>
      <c r="AA949" s="59"/>
      <c r="AB949" s="59"/>
      <c r="AC949" s="95"/>
      <c r="AD949" s="96"/>
      <c r="AE949" s="60"/>
      <c r="AF949" s="60"/>
      <c r="AG949" s="60"/>
      <c r="AH949" s="13"/>
      <c r="AI949" s="13"/>
      <c r="AJ949" s="97"/>
      <c r="AK949" s="97"/>
      <c r="AL949" s="97"/>
      <c r="AM949" s="97"/>
      <c r="AN949" s="97"/>
      <c r="AO949" s="97"/>
      <c r="AP949" s="97"/>
      <c r="AQ949" s="97"/>
    </row>
    <row r="950" spans="1:43" s="101" customFormat="1" ht="78.75" customHeight="1">
      <c r="A950" s="53"/>
      <c r="B950" s="54"/>
      <c r="C950" s="54"/>
      <c r="D950" s="54"/>
      <c r="E950" s="54"/>
      <c r="F950" s="54"/>
      <c r="G950" s="54"/>
      <c r="H950" s="54"/>
      <c r="I950" s="54"/>
      <c r="J950" s="54"/>
      <c r="K950" s="54"/>
      <c r="L950" s="54"/>
      <c r="M950" s="55"/>
      <c r="N950" s="55"/>
      <c r="O950" s="55"/>
      <c r="P950" s="55"/>
      <c r="Q950" s="94"/>
      <c r="R950" s="56"/>
      <c r="S950" s="57"/>
      <c r="T950" s="58"/>
      <c r="U950" s="57"/>
      <c r="V950" s="56"/>
      <c r="W950" s="57"/>
      <c r="X950" s="59"/>
      <c r="Y950" s="59"/>
      <c r="Z950" s="59"/>
      <c r="AA950" s="59"/>
      <c r="AB950" s="59"/>
      <c r="AC950" s="95"/>
      <c r="AD950" s="96"/>
      <c r="AE950" s="60"/>
      <c r="AF950" s="60"/>
      <c r="AG950" s="60"/>
      <c r="AH950" s="60"/>
      <c r="AI950" s="60"/>
      <c r="AJ950" s="97"/>
      <c r="AK950" s="97"/>
      <c r="AL950" s="97"/>
      <c r="AM950" s="97"/>
      <c r="AN950" s="97"/>
      <c r="AO950" s="97"/>
      <c r="AP950" s="97"/>
      <c r="AQ950" s="97"/>
    </row>
    <row r="951" spans="1:43" s="101" customFormat="1" ht="78.75" customHeight="1">
      <c r="A951" s="53"/>
      <c r="B951" s="54"/>
      <c r="C951" s="54"/>
      <c r="D951" s="54"/>
      <c r="E951" s="54"/>
      <c r="F951" s="54"/>
      <c r="G951" s="54"/>
      <c r="H951" s="54"/>
      <c r="I951" s="54"/>
      <c r="J951" s="54"/>
      <c r="K951" s="54"/>
      <c r="L951" s="54"/>
      <c r="M951" s="55"/>
      <c r="N951" s="55"/>
      <c r="O951" s="55"/>
      <c r="P951" s="55"/>
      <c r="Q951" s="94"/>
      <c r="R951" s="56"/>
      <c r="S951" s="57"/>
      <c r="T951" s="58"/>
      <c r="U951" s="57"/>
      <c r="V951" s="56"/>
      <c r="W951" s="57"/>
      <c r="X951" s="59"/>
      <c r="Y951" s="59"/>
      <c r="Z951" s="59"/>
      <c r="AA951" s="59"/>
      <c r="AB951" s="59"/>
      <c r="AC951" s="95"/>
      <c r="AD951" s="96"/>
      <c r="AE951" s="60"/>
      <c r="AF951" s="60"/>
      <c r="AG951" s="60"/>
      <c r="AH951" s="60"/>
      <c r="AI951" s="60"/>
      <c r="AJ951" s="97"/>
      <c r="AK951" s="97"/>
      <c r="AL951" s="97"/>
      <c r="AM951" s="97"/>
      <c r="AN951" s="97"/>
      <c r="AO951" s="97"/>
      <c r="AP951" s="97"/>
      <c r="AQ951" s="97"/>
    </row>
    <row r="952" spans="1:43" s="101" customFormat="1" ht="78.75" customHeight="1">
      <c r="A952" s="53"/>
      <c r="B952" s="54"/>
      <c r="C952" s="54"/>
      <c r="D952" s="54"/>
      <c r="E952" s="54"/>
      <c r="F952" s="54"/>
      <c r="G952" s="54"/>
      <c r="H952" s="54"/>
      <c r="I952" s="54"/>
      <c r="J952" s="54"/>
      <c r="K952" s="54"/>
      <c r="L952" s="54"/>
      <c r="M952" s="55"/>
      <c r="N952" s="55"/>
      <c r="O952" s="55"/>
      <c r="P952" s="55"/>
      <c r="Q952" s="94"/>
      <c r="R952" s="56"/>
      <c r="S952" s="57"/>
      <c r="T952" s="58"/>
      <c r="U952" s="57"/>
      <c r="V952" s="56"/>
      <c r="W952" s="57"/>
      <c r="X952" s="59"/>
      <c r="Y952" s="59"/>
      <c r="Z952" s="59"/>
      <c r="AA952" s="59"/>
      <c r="AB952" s="59"/>
      <c r="AC952" s="95"/>
      <c r="AD952" s="96"/>
      <c r="AE952" s="60"/>
      <c r="AF952" s="60"/>
      <c r="AG952" s="60"/>
      <c r="AH952" s="60"/>
      <c r="AI952" s="60"/>
      <c r="AJ952" s="97"/>
      <c r="AK952" s="97"/>
      <c r="AL952" s="97"/>
      <c r="AM952" s="97"/>
      <c r="AN952" s="97"/>
      <c r="AO952" s="97"/>
      <c r="AP952" s="97"/>
      <c r="AQ952" s="97"/>
    </row>
    <row r="953" spans="1:43" s="101" customFormat="1" ht="78.75" customHeight="1">
      <c r="A953" s="53"/>
      <c r="B953" s="54"/>
      <c r="C953" s="54"/>
      <c r="D953" s="54"/>
      <c r="E953" s="54"/>
      <c r="F953" s="54"/>
      <c r="G953" s="54"/>
      <c r="H953" s="54"/>
      <c r="I953" s="54"/>
      <c r="J953" s="54"/>
      <c r="K953" s="54"/>
      <c r="L953" s="54"/>
      <c r="M953" s="55"/>
      <c r="N953" s="55"/>
      <c r="O953" s="55"/>
      <c r="P953" s="55"/>
      <c r="Q953" s="94"/>
      <c r="R953" s="56"/>
      <c r="S953" s="57"/>
      <c r="T953" s="58"/>
      <c r="U953" s="57"/>
      <c r="V953" s="56"/>
      <c r="W953" s="57"/>
      <c r="X953" s="59"/>
      <c r="Y953" s="59"/>
      <c r="Z953" s="59"/>
      <c r="AA953" s="59"/>
      <c r="AB953" s="59"/>
      <c r="AC953" s="95"/>
      <c r="AD953" s="96"/>
      <c r="AE953" s="60"/>
      <c r="AF953" s="60"/>
      <c r="AG953" s="60"/>
      <c r="AH953" s="60"/>
      <c r="AI953" s="60"/>
      <c r="AJ953" s="97"/>
      <c r="AK953" s="97"/>
      <c r="AL953" s="97"/>
      <c r="AM953" s="97"/>
      <c r="AN953" s="97"/>
      <c r="AO953" s="97"/>
      <c r="AP953" s="97"/>
      <c r="AQ953" s="97"/>
    </row>
    <row r="954" spans="1:43" s="101" customFormat="1" ht="78.75" customHeight="1">
      <c r="A954" s="53"/>
      <c r="B954" s="54"/>
      <c r="C954" s="54"/>
      <c r="D954" s="54"/>
      <c r="E954" s="54"/>
      <c r="F954" s="54"/>
      <c r="G954" s="54"/>
      <c r="H954" s="54"/>
      <c r="I954" s="54"/>
      <c r="J954" s="54"/>
      <c r="K954" s="54"/>
      <c r="L954" s="54"/>
      <c r="M954" s="55"/>
      <c r="N954" s="55"/>
      <c r="O954" s="55"/>
      <c r="P954" s="55"/>
      <c r="Q954" s="94"/>
      <c r="R954" s="56"/>
      <c r="S954" s="57"/>
      <c r="T954" s="58"/>
      <c r="U954" s="57"/>
      <c r="V954" s="56"/>
      <c r="W954" s="57"/>
      <c r="X954" s="59"/>
      <c r="Y954" s="59"/>
      <c r="Z954" s="59"/>
      <c r="AA954" s="59"/>
      <c r="AB954" s="59"/>
      <c r="AC954" s="95"/>
      <c r="AD954" s="96"/>
      <c r="AE954" s="60"/>
      <c r="AF954" s="60"/>
      <c r="AG954" s="60"/>
      <c r="AH954" s="60"/>
      <c r="AI954" s="60"/>
      <c r="AJ954" s="97"/>
      <c r="AK954" s="97"/>
      <c r="AL954" s="97"/>
      <c r="AM954" s="97"/>
      <c r="AN954" s="97"/>
      <c r="AO954" s="97"/>
      <c r="AP954" s="97"/>
      <c r="AQ954" s="97"/>
    </row>
    <row r="955" spans="1:43" s="101" customFormat="1" ht="78.75" customHeight="1">
      <c r="A955" s="53"/>
      <c r="B955" s="54"/>
      <c r="C955" s="54"/>
      <c r="D955" s="54"/>
      <c r="E955" s="54"/>
      <c r="F955" s="54"/>
      <c r="G955" s="54"/>
      <c r="H955" s="54"/>
      <c r="I955" s="54"/>
      <c r="J955" s="54"/>
      <c r="K955" s="54"/>
      <c r="L955" s="54"/>
      <c r="M955" s="55"/>
      <c r="N955" s="55"/>
      <c r="O955" s="55"/>
      <c r="P955" s="55"/>
      <c r="Q955" s="94"/>
      <c r="R955" s="56"/>
      <c r="S955" s="57"/>
      <c r="T955" s="58"/>
      <c r="U955" s="57"/>
      <c r="V955" s="56"/>
      <c r="W955" s="57"/>
      <c r="X955" s="59"/>
      <c r="Y955" s="59"/>
      <c r="Z955" s="59"/>
      <c r="AA955" s="59"/>
      <c r="AB955" s="59"/>
      <c r="AC955" s="95"/>
      <c r="AD955" s="96"/>
      <c r="AE955" s="60"/>
      <c r="AF955" s="60"/>
      <c r="AG955" s="60"/>
      <c r="AH955" s="60"/>
      <c r="AI955" s="60"/>
      <c r="AJ955" s="97"/>
      <c r="AK955" s="97"/>
      <c r="AL955" s="97"/>
      <c r="AM955" s="97"/>
      <c r="AN955" s="97"/>
      <c r="AO955" s="97"/>
      <c r="AP955" s="97"/>
      <c r="AQ955" s="97"/>
    </row>
    <row r="956" spans="1:43" s="101" customFormat="1" ht="78.75" customHeight="1">
      <c r="A956" s="53"/>
      <c r="B956" s="54"/>
      <c r="C956" s="54"/>
      <c r="D956" s="54"/>
      <c r="E956" s="54"/>
      <c r="F956" s="54"/>
      <c r="G956" s="54"/>
      <c r="H956" s="54"/>
      <c r="I956" s="54"/>
      <c r="J956" s="54"/>
      <c r="K956" s="54"/>
      <c r="L956" s="54"/>
      <c r="M956" s="55"/>
      <c r="N956" s="55"/>
      <c r="O956" s="55"/>
      <c r="P956" s="55"/>
      <c r="Q956" s="94"/>
      <c r="R956" s="56"/>
      <c r="S956" s="57"/>
      <c r="T956" s="58"/>
      <c r="U956" s="57"/>
      <c r="V956" s="56"/>
      <c r="W956" s="57"/>
      <c r="X956" s="59"/>
      <c r="Y956" s="59"/>
      <c r="Z956" s="59"/>
      <c r="AA956" s="59"/>
      <c r="AB956" s="59"/>
      <c r="AC956" s="95"/>
      <c r="AD956" s="96"/>
      <c r="AE956" s="60"/>
      <c r="AF956" s="60"/>
      <c r="AG956" s="60"/>
      <c r="AH956" s="60"/>
      <c r="AI956" s="60"/>
      <c r="AJ956" s="97"/>
      <c r="AK956" s="97"/>
      <c r="AL956" s="97"/>
      <c r="AM956" s="97"/>
      <c r="AN956" s="97"/>
      <c r="AO956" s="97"/>
      <c r="AP956" s="97"/>
      <c r="AQ956" s="97"/>
    </row>
    <row r="957" spans="1:43" s="101" customFormat="1" ht="78.75" customHeight="1">
      <c r="A957" s="53"/>
      <c r="B957" s="54"/>
      <c r="C957" s="54"/>
      <c r="D957" s="54"/>
      <c r="E957" s="54"/>
      <c r="F957" s="54"/>
      <c r="G957" s="54"/>
      <c r="H957" s="54"/>
      <c r="I957" s="54"/>
      <c r="J957" s="54"/>
      <c r="K957" s="54"/>
      <c r="L957" s="54"/>
      <c r="M957" s="55"/>
      <c r="N957" s="55"/>
      <c r="O957" s="55"/>
      <c r="P957" s="55"/>
      <c r="Q957" s="94"/>
      <c r="R957" s="56"/>
      <c r="S957" s="57"/>
      <c r="T957" s="58"/>
      <c r="U957" s="57"/>
      <c r="V957" s="56"/>
      <c r="W957" s="57"/>
      <c r="X957" s="59"/>
      <c r="Y957" s="59"/>
      <c r="Z957" s="59"/>
      <c r="AA957" s="59"/>
      <c r="AB957" s="59"/>
      <c r="AC957" s="95"/>
      <c r="AD957" s="96"/>
      <c r="AE957" s="60"/>
      <c r="AF957" s="60"/>
      <c r="AG957" s="60"/>
      <c r="AH957" s="60"/>
      <c r="AI957" s="60"/>
      <c r="AJ957" s="97"/>
      <c r="AK957" s="97"/>
      <c r="AL957" s="97"/>
      <c r="AM957" s="97"/>
      <c r="AN957" s="97"/>
      <c r="AO957" s="97"/>
      <c r="AP957" s="97"/>
      <c r="AQ957" s="97"/>
    </row>
    <row r="958" spans="1:43" s="101" customFormat="1" ht="78.75" customHeight="1">
      <c r="A958" s="53"/>
      <c r="B958" s="54"/>
      <c r="C958" s="54"/>
      <c r="D958" s="54"/>
      <c r="E958" s="54"/>
      <c r="F958" s="54"/>
      <c r="G958" s="54"/>
      <c r="H958" s="54"/>
      <c r="I958" s="54"/>
      <c r="J958" s="54"/>
      <c r="K958" s="54"/>
      <c r="L958" s="54"/>
      <c r="M958" s="55"/>
      <c r="N958" s="55"/>
      <c r="O958" s="55"/>
      <c r="P958" s="55"/>
      <c r="Q958" s="94"/>
      <c r="R958" s="56"/>
      <c r="S958" s="57"/>
      <c r="T958" s="58"/>
      <c r="U958" s="57"/>
      <c r="V958" s="56"/>
      <c r="W958" s="57"/>
      <c r="X958" s="59"/>
      <c r="Y958" s="59"/>
      <c r="Z958" s="59"/>
      <c r="AA958" s="59"/>
      <c r="AB958" s="59"/>
      <c r="AC958" s="95"/>
      <c r="AD958" s="96"/>
      <c r="AE958" s="60"/>
      <c r="AF958" s="60"/>
      <c r="AG958" s="60"/>
      <c r="AH958" s="60"/>
      <c r="AI958" s="60"/>
      <c r="AJ958" s="97"/>
      <c r="AK958" s="97"/>
      <c r="AL958" s="97"/>
      <c r="AM958" s="97"/>
      <c r="AN958" s="97"/>
      <c r="AO958" s="97"/>
      <c r="AP958" s="97"/>
      <c r="AQ958" s="97"/>
    </row>
    <row r="959" spans="1:43" s="101" customFormat="1" ht="78.75" customHeight="1">
      <c r="A959" s="53"/>
      <c r="B959" s="54"/>
      <c r="C959" s="54"/>
      <c r="D959" s="54"/>
      <c r="E959" s="54"/>
      <c r="F959" s="54"/>
      <c r="G959" s="54"/>
      <c r="H959" s="54"/>
      <c r="I959" s="54"/>
      <c r="J959" s="54"/>
      <c r="K959" s="54"/>
      <c r="L959" s="54"/>
      <c r="M959" s="55"/>
      <c r="N959" s="55"/>
      <c r="O959" s="55"/>
      <c r="P959" s="55"/>
      <c r="Q959" s="94"/>
      <c r="R959" s="56"/>
      <c r="S959" s="57"/>
      <c r="T959" s="58"/>
      <c r="U959" s="57"/>
      <c r="V959" s="56"/>
      <c r="W959" s="57"/>
      <c r="X959" s="59"/>
      <c r="Y959" s="59"/>
      <c r="Z959" s="59"/>
      <c r="AA959" s="59"/>
      <c r="AB959" s="59"/>
      <c r="AC959" s="95"/>
      <c r="AD959" s="96"/>
      <c r="AE959" s="60"/>
      <c r="AF959" s="60"/>
      <c r="AG959" s="60"/>
      <c r="AH959" s="60"/>
      <c r="AI959" s="60"/>
      <c r="AJ959" s="97"/>
      <c r="AK959" s="97"/>
      <c r="AL959" s="97"/>
      <c r="AM959" s="97"/>
      <c r="AN959" s="97"/>
      <c r="AO959" s="97"/>
      <c r="AP959" s="97"/>
      <c r="AQ959" s="97"/>
    </row>
    <row r="960" spans="1:43" s="101" customFormat="1" ht="78.75" customHeight="1">
      <c r="A960" s="53"/>
      <c r="B960" s="54"/>
      <c r="C960" s="54"/>
      <c r="D960" s="54"/>
      <c r="E960" s="54"/>
      <c r="F960" s="54"/>
      <c r="G960" s="54"/>
      <c r="H960" s="54"/>
      <c r="I960" s="54"/>
      <c r="J960" s="54"/>
      <c r="K960" s="54"/>
      <c r="L960" s="54"/>
      <c r="M960" s="55"/>
      <c r="N960" s="55"/>
      <c r="O960" s="55"/>
      <c r="P960" s="55"/>
      <c r="Q960" s="94"/>
      <c r="R960" s="56"/>
      <c r="S960" s="57"/>
      <c r="T960" s="58"/>
      <c r="U960" s="57"/>
      <c r="V960" s="56"/>
      <c r="W960" s="57"/>
      <c r="X960" s="59"/>
      <c r="Y960" s="59"/>
      <c r="Z960" s="59"/>
      <c r="AA960" s="59"/>
      <c r="AB960" s="59"/>
      <c r="AC960" s="95"/>
      <c r="AD960" s="96"/>
      <c r="AE960" s="60"/>
      <c r="AF960" s="60"/>
      <c r="AG960" s="60"/>
      <c r="AH960" s="60"/>
      <c r="AI960" s="60"/>
      <c r="AJ960" s="97"/>
      <c r="AK960" s="97"/>
      <c r="AL960" s="97"/>
      <c r="AM960" s="97"/>
      <c r="AN960" s="97"/>
      <c r="AO960" s="97"/>
      <c r="AP960" s="97"/>
      <c r="AQ960" s="97"/>
    </row>
    <row r="961" spans="1:43" s="101" customFormat="1" ht="78.75" customHeight="1">
      <c r="A961" s="53"/>
      <c r="B961" s="54"/>
      <c r="C961" s="54"/>
      <c r="D961" s="54"/>
      <c r="E961" s="54"/>
      <c r="F961" s="54"/>
      <c r="G961" s="54"/>
      <c r="H961" s="54"/>
      <c r="I961" s="54"/>
      <c r="J961" s="54"/>
      <c r="K961" s="54"/>
      <c r="L961" s="54"/>
      <c r="M961" s="55"/>
      <c r="N961" s="55"/>
      <c r="O961" s="55"/>
      <c r="P961" s="55"/>
      <c r="Q961" s="94"/>
      <c r="R961" s="56"/>
      <c r="S961" s="57"/>
      <c r="T961" s="58"/>
      <c r="U961" s="57"/>
      <c r="V961" s="56"/>
      <c r="W961" s="57"/>
      <c r="X961" s="59"/>
      <c r="Y961" s="59"/>
      <c r="Z961" s="59"/>
      <c r="AA961" s="59"/>
      <c r="AB961" s="59"/>
      <c r="AC961" s="95"/>
      <c r="AD961" s="96"/>
      <c r="AE961" s="60"/>
      <c r="AF961" s="60"/>
      <c r="AG961" s="60"/>
      <c r="AH961" s="60"/>
      <c r="AI961" s="60"/>
      <c r="AJ961" s="97"/>
      <c r="AK961" s="97"/>
      <c r="AL961" s="97"/>
      <c r="AM961" s="97"/>
      <c r="AN961" s="97"/>
      <c r="AO961" s="97"/>
      <c r="AP961" s="97"/>
      <c r="AQ961" s="97"/>
    </row>
    <row r="962" spans="1:43" s="101" customFormat="1" ht="78.75" customHeight="1">
      <c r="A962" s="53"/>
      <c r="B962" s="54"/>
      <c r="C962" s="54"/>
      <c r="D962" s="54"/>
      <c r="E962" s="54"/>
      <c r="F962" s="54"/>
      <c r="G962" s="54"/>
      <c r="H962" s="54"/>
      <c r="I962" s="54"/>
      <c r="J962" s="54"/>
      <c r="K962" s="54"/>
      <c r="L962" s="54"/>
      <c r="M962" s="55"/>
      <c r="N962" s="55"/>
      <c r="O962" s="55"/>
      <c r="P962" s="55"/>
      <c r="Q962" s="94"/>
      <c r="R962" s="56"/>
      <c r="S962" s="57"/>
      <c r="T962" s="58"/>
      <c r="U962" s="57"/>
      <c r="V962" s="56"/>
      <c r="W962" s="57"/>
      <c r="X962" s="59"/>
      <c r="Y962" s="59"/>
      <c r="Z962" s="59"/>
      <c r="AA962" s="59"/>
      <c r="AB962" s="59"/>
      <c r="AC962" s="95"/>
      <c r="AD962" s="96"/>
      <c r="AE962" s="60"/>
      <c r="AF962" s="60"/>
      <c r="AG962" s="60"/>
      <c r="AH962" s="60"/>
      <c r="AI962" s="60"/>
      <c r="AJ962" s="97"/>
      <c r="AK962" s="97"/>
      <c r="AL962" s="97"/>
      <c r="AM962" s="97"/>
      <c r="AN962" s="97"/>
      <c r="AO962" s="97"/>
      <c r="AP962" s="97"/>
      <c r="AQ962" s="97"/>
    </row>
    <row r="963" spans="1:43" s="101" customFormat="1" ht="78.75" customHeight="1">
      <c r="A963" s="53"/>
      <c r="B963" s="54"/>
      <c r="C963" s="54"/>
      <c r="D963" s="54"/>
      <c r="E963" s="54"/>
      <c r="F963" s="54"/>
      <c r="G963" s="54"/>
      <c r="H963" s="54"/>
      <c r="I963" s="54"/>
      <c r="J963" s="54"/>
      <c r="K963" s="54"/>
      <c r="L963" s="54"/>
      <c r="M963" s="55"/>
      <c r="N963" s="55"/>
      <c r="O963" s="55"/>
      <c r="P963" s="55"/>
      <c r="Q963" s="94"/>
      <c r="R963" s="56"/>
      <c r="S963" s="57"/>
      <c r="T963" s="58"/>
      <c r="U963" s="57"/>
      <c r="V963" s="56"/>
      <c r="W963" s="57"/>
      <c r="X963" s="59"/>
      <c r="Y963" s="59"/>
      <c r="Z963" s="59"/>
      <c r="AA963" s="59"/>
      <c r="AB963" s="59"/>
      <c r="AC963" s="95"/>
      <c r="AD963" s="96"/>
      <c r="AE963" s="60"/>
      <c r="AF963" s="60"/>
      <c r="AG963" s="60"/>
      <c r="AH963" s="60"/>
      <c r="AI963" s="60"/>
      <c r="AJ963" s="97"/>
      <c r="AK963" s="97"/>
      <c r="AL963" s="97"/>
      <c r="AM963" s="97"/>
      <c r="AN963" s="97"/>
      <c r="AO963" s="97"/>
      <c r="AP963" s="97"/>
      <c r="AQ963" s="97"/>
    </row>
    <row r="964" spans="1:43" s="101" customFormat="1" ht="78.75" customHeight="1">
      <c r="A964" s="53"/>
      <c r="B964" s="54"/>
      <c r="C964" s="54"/>
      <c r="D964" s="54"/>
      <c r="E964" s="54"/>
      <c r="F964" s="54"/>
      <c r="G964" s="54"/>
      <c r="H964" s="54"/>
      <c r="I964" s="54"/>
      <c r="J964" s="54"/>
      <c r="K964" s="54"/>
      <c r="L964" s="54"/>
      <c r="M964" s="55"/>
      <c r="N964" s="55"/>
      <c r="O964" s="55"/>
      <c r="P964" s="55"/>
      <c r="Q964" s="94"/>
      <c r="R964" s="56"/>
      <c r="S964" s="57"/>
      <c r="T964" s="58"/>
      <c r="U964" s="57"/>
      <c r="V964" s="56"/>
      <c r="W964" s="57"/>
      <c r="X964" s="59"/>
      <c r="Y964" s="59"/>
      <c r="Z964" s="59"/>
      <c r="AA964" s="59"/>
      <c r="AB964" s="59"/>
      <c r="AC964" s="95"/>
      <c r="AD964" s="96"/>
      <c r="AE964" s="60"/>
      <c r="AF964" s="60"/>
      <c r="AG964" s="60"/>
      <c r="AH964" s="60"/>
      <c r="AI964" s="60"/>
      <c r="AJ964" s="97"/>
      <c r="AK964" s="97"/>
      <c r="AL964" s="97"/>
      <c r="AM964" s="97"/>
      <c r="AN964" s="97"/>
      <c r="AO964" s="97"/>
      <c r="AP964" s="97"/>
      <c r="AQ964" s="97"/>
    </row>
    <row r="965" spans="1:43" s="101" customFormat="1" ht="78.75" customHeight="1">
      <c r="A965" s="53"/>
      <c r="B965" s="54"/>
      <c r="C965" s="54"/>
      <c r="D965" s="54"/>
      <c r="E965" s="54"/>
      <c r="F965" s="54"/>
      <c r="G965" s="54"/>
      <c r="H965" s="54"/>
      <c r="I965" s="54"/>
      <c r="J965" s="54"/>
      <c r="K965" s="54"/>
      <c r="L965" s="54"/>
      <c r="M965" s="55"/>
      <c r="N965" s="55"/>
      <c r="O965" s="55"/>
      <c r="P965" s="55"/>
      <c r="Q965" s="94"/>
      <c r="R965" s="56"/>
      <c r="S965" s="57"/>
      <c r="T965" s="58"/>
      <c r="U965" s="57"/>
      <c r="V965" s="56"/>
      <c r="W965" s="57"/>
      <c r="X965" s="59"/>
      <c r="Y965" s="59"/>
      <c r="Z965" s="59"/>
      <c r="AA965" s="59"/>
      <c r="AB965" s="59"/>
      <c r="AC965" s="95"/>
      <c r="AD965" s="96"/>
      <c r="AE965" s="60"/>
      <c r="AF965" s="60"/>
      <c r="AG965" s="60"/>
      <c r="AH965" s="60"/>
      <c r="AI965" s="60"/>
      <c r="AJ965" s="97"/>
      <c r="AK965" s="97"/>
      <c r="AL965" s="97"/>
      <c r="AM965" s="97"/>
      <c r="AN965" s="97"/>
      <c r="AO965" s="97"/>
      <c r="AP965" s="97"/>
      <c r="AQ965" s="97"/>
    </row>
    <row r="966" spans="1:43" s="101" customFormat="1" ht="78.75" customHeight="1">
      <c r="A966" s="53"/>
      <c r="B966" s="54"/>
      <c r="C966" s="54"/>
      <c r="D966" s="54"/>
      <c r="E966" s="54"/>
      <c r="F966" s="54"/>
      <c r="G966" s="54"/>
      <c r="H966" s="54"/>
      <c r="I966" s="54"/>
      <c r="J966" s="54"/>
      <c r="K966" s="54"/>
      <c r="L966" s="54"/>
      <c r="M966" s="55"/>
      <c r="N966" s="55"/>
      <c r="O966" s="55"/>
      <c r="P966" s="55"/>
      <c r="Q966" s="94"/>
      <c r="R966" s="56"/>
      <c r="S966" s="57"/>
      <c r="T966" s="58"/>
      <c r="U966" s="57"/>
      <c r="V966" s="56"/>
      <c r="W966" s="57"/>
      <c r="X966" s="59"/>
      <c r="Y966" s="59"/>
      <c r="Z966" s="59"/>
      <c r="AA966" s="59"/>
      <c r="AB966" s="59"/>
      <c r="AC966" s="95"/>
      <c r="AD966" s="96"/>
      <c r="AE966" s="60"/>
      <c r="AF966" s="60"/>
      <c r="AG966" s="60"/>
      <c r="AH966" s="60"/>
      <c r="AI966" s="60"/>
      <c r="AJ966" s="97"/>
      <c r="AK966" s="97"/>
      <c r="AL966" s="97"/>
      <c r="AM966" s="97"/>
      <c r="AN966" s="97"/>
      <c r="AO966" s="97"/>
      <c r="AP966" s="97"/>
      <c r="AQ966" s="97"/>
    </row>
    <row r="967" spans="1:43" s="101" customFormat="1" ht="78.75" customHeight="1">
      <c r="A967" s="53"/>
      <c r="B967" s="54"/>
      <c r="C967" s="54"/>
      <c r="D967" s="54"/>
      <c r="E967" s="54"/>
      <c r="F967" s="54"/>
      <c r="G967" s="54"/>
      <c r="H967" s="54"/>
      <c r="I967" s="54"/>
      <c r="J967" s="54"/>
      <c r="K967" s="54"/>
      <c r="L967" s="54"/>
      <c r="M967" s="55"/>
      <c r="N967" s="55"/>
      <c r="O967" s="55"/>
      <c r="P967" s="55"/>
      <c r="Q967" s="94"/>
      <c r="R967" s="56"/>
      <c r="S967" s="57"/>
      <c r="T967" s="58"/>
      <c r="U967" s="57"/>
      <c r="V967" s="56"/>
      <c r="W967" s="57"/>
      <c r="X967" s="59"/>
      <c r="Y967" s="59"/>
      <c r="Z967" s="59"/>
      <c r="AA967" s="59"/>
      <c r="AB967" s="59"/>
      <c r="AC967" s="95"/>
      <c r="AD967" s="96"/>
      <c r="AE967" s="60"/>
      <c r="AF967" s="60"/>
      <c r="AG967" s="60"/>
      <c r="AH967" s="60"/>
      <c r="AI967" s="60"/>
      <c r="AJ967" s="97"/>
      <c r="AK967" s="97"/>
      <c r="AL967" s="97"/>
      <c r="AM967" s="97"/>
      <c r="AN967" s="97"/>
      <c r="AO967" s="97"/>
      <c r="AP967" s="97"/>
      <c r="AQ967" s="97"/>
    </row>
    <row r="968" spans="1:43" s="101" customFormat="1" ht="78.75" customHeight="1">
      <c r="A968" s="53"/>
      <c r="B968" s="54"/>
      <c r="C968" s="54"/>
      <c r="D968" s="54"/>
      <c r="E968" s="54"/>
      <c r="F968" s="54"/>
      <c r="G968" s="54"/>
      <c r="H968" s="54"/>
      <c r="I968" s="54"/>
      <c r="J968" s="54"/>
      <c r="K968" s="54"/>
      <c r="L968" s="54"/>
      <c r="M968" s="55"/>
      <c r="N968" s="55"/>
      <c r="O968" s="55"/>
      <c r="P968" s="55"/>
      <c r="Q968" s="94"/>
      <c r="R968" s="56"/>
      <c r="S968" s="57"/>
      <c r="T968" s="58"/>
      <c r="U968" s="57"/>
      <c r="V968" s="56"/>
      <c r="W968" s="57"/>
      <c r="X968" s="59"/>
      <c r="Y968" s="59"/>
      <c r="Z968" s="59"/>
      <c r="AA968" s="59"/>
      <c r="AB968" s="59"/>
      <c r="AC968" s="95"/>
      <c r="AD968" s="96"/>
      <c r="AE968" s="60"/>
      <c r="AF968" s="60"/>
      <c r="AG968" s="60"/>
      <c r="AH968" s="60"/>
      <c r="AI968" s="60"/>
      <c r="AJ968" s="97"/>
      <c r="AK968" s="97"/>
      <c r="AL968" s="97"/>
      <c r="AM968" s="97"/>
      <c r="AN968" s="97"/>
      <c r="AO968" s="97"/>
      <c r="AP968" s="97"/>
      <c r="AQ968" s="97"/>
    </row>
    <row r="969" spans="1:43" s="101" customFormat="1" ht="78.75" customHeight="1">
      <c r="A969" s="53"/>
      <c r="B969" s="54"/>
      <c r="C969" s="54"/>
      <c r="D969" s="54"/>
      <c r="E969" s="54"/>
      <c r="F969" s="54"/>
      <c r="G969" s="54"/>
      <c r="H969" s="54"/>
      <c r="I969" s="54"/>
      <c r="J969" s="54"/>
      <c r="K969" s="54"/>
      <c r="L969" s="54"/>
      <c r="M969" s="55"/>
      <c r="N969" s="55"/>
      <c r="O969" s="55"/>
      <c r="P969" s="55"/>
      <c r="Q969" s="94"/>
      <c r="R969" s="56"/>
      <c r="S969" s="57"/>
      <c r="T969" s="58"/>
      <c r="U969" s="57"/>
      <c r="V969" s="56"/>
      <c r="W969" s="57"/>
      <c r="X969" s="59"/>
      <c r="Y969" s="59"/>
      <c r="Z969" s="59"/>
      <c r="AA969" s="59"/>
      <c r="AB969" s="59"/>
      <c r="AC969" s="95"/>
      <c r="AD969" s="96"/>
      <c r="AE969" s="60"/>
      <c r="AF969" s="60"/>
      <c r="AG969" s="60"/>
      <c r="AH969" s="60"/>
      <c r="AI969" s="60"/>
      <c r="AJ969" s="97"/>
      <c r="AK969" s="97"/>
      <c r="AL969" s="97"/>
      <c r="AM969" s="97"/>
      <c r="AN969" s="97"/>
      <c r="AO969" s="97"/>
      <c r="AP969" s="97"/>
      <c r="AQ969" s="97"/>
    </row>
    <row r="970" spans="1:43" s="101" customFormat="1" ht="78.75" customHeight="1">
      <c r="A970" s="53"/>
      <c r="B970" s="54"/>
      <c r="C970" s="54"/>
      <c r="D970" s="54"/>
      <c r="E970" s="54"/>
      <c r="F970" s="54"/>
      <c r="G970" s="54"/>
      <c r="H970" s="54"/>
      <c r="I970" s="54"/>
      <c r="J970" s="54"/>
      <c r="K970" s="54"/>
      <c r="L970" s="54"/>
      <c r="M970" s="55"/>
      <c r="N970" s="55"/>
      <c r="O970" s="55"/>
      <c r="P970" s="55"/>
      <c r="Q970" s="94"/>
      <c r="R970" s="56"/>
      <c r="S970" s="57"/>
      <c r="T970" s="58"/>
      <c r="U970" s="57"/>
      <c r="V970" s="56"/>
      <c r="W970" s="57"/>
      <c r="X970" s="59"/>
      <c r="Y970" s="59"/>
      <c r="Z970" s="59"/>
      <c r="AA970" s="59"/>
      <c r="AB970" s="59"/>
      <c r="AC970" s="95"/>
      <c r="AD970" s="96"/>
      <c r="AE970" s="60"/>
      <c r="AF970" s="60"/>
      <c r="AG970" s="60"/>
      <c r="AH970" s="60"/>
      <c r="AI970" s="60"/>
      <c r="AJ970" s="97"/>
      <c r="AK970" s="97"/>
      <c r="AL970" s="97"/>
      <c r="AM970" s="97"/>
      <c r="AN970" s="97"/>
      <c r="AO970" s="97"/>
      <c r="AP970" s="97"/>
      <c r="AQ970" s="97"/>
    </row>
    <row r="971" spans="1:43" s="101" customFormat="1" ht="78.75" customHeight="1">
      <c r="A971" s="53"/>
      <c r="B971" s="54"/>
      <c r="C971" s="54"/>
      <c r="D971" s="54"/>
      <c r="E971" s="54"/>
      <c r="F971" s="54"/>
      <c r="G971" s="54"/>
      <c r="H971" s="54"/>
      <c r="I971" s="54"/>
      <c r="J971" s="54"/>
      <c r="K971" s="54"/>
      <c r="L971" s="54"/>
      <c r="M971" s="55"/>
      <c r="N971" s="55"/>
      <c r="O971" s="55"/>
      <c r="P971" s="55"/>
      <c r="Q971" s="94"/>
      <c r="R971" s="56"/>
      <c r="S971" s="57"/>
      <c r="T971" s="58"/>
      <c r="U971" s="57"/>
      <c r="V971" s="56"/>
      <c r="W971" s="57"/>
      <c r="X971" s="59"/>
      <c r="Y971" s="59"/>
      <c r="Z971" s="59"/>
      <c r="AA971" s="59"/>
      <c r="AB971" s="59"/>
      <c r="AC971" s="95"/>
      <c r="AD971" s="96"/>
      <c r="AE971" s="60"/>
      <c r="AF971" s="60"/>
      <c r="AG971" s="60"/>
      <c r="AH971" s="60"/>
      <c r="AI971" s="60"/>
      <c r="AJ971" s="97"/>
      <c r="AK971" s="97"/>
      <c r="AL971" s="97"/>
      <c r="AM971" s="97"/>
      <c r="AN971" s="97"/>
      <c r="AO971" s="97"/>
      <c r="AP971" s="97"/>
      <c r="AQ971" s="97"/>
    </row>
    <row r="972" spans="1:43" s="101" customFormat="1" ht="78.75" customHeight="1">
      <c r="A972" s="53"/>
      <c r="B972" s="54"/>
      <c r="C972" s="54"/>
      <c r="D972" s="54"/>
      <c r="E972" s="54"/>
      <c r="F972" s="54"/>
      <c r="G972" s="54"/>
      <c r="H972" s="54"/>
      <c r="I972" s="54"/>
      <c r="J972" s="54"/>
      <c r="K972" s="54"/>
      <c r="L972" s="54"/>
      <c r="M972" s="55"/>
      <c r="N972" s="55"/>
      <c r="O972" s="55"/>
      <c r="P972" s="55"/>
      <c r="Q972" s="94"/>
      <c r="R972" s="56"/>
      <c r="S972" s="57"/>
      <c r="T972" s="58"/>
      <c r="U972" s="57"/>
      <c r="V972" s="56"/>
      <c r="W972" s="57"/>
      <c r="X972" s="59"/>
      <c r="Y972" s="59"/>
      <c r="Z972" s="59"/>
      <c r="AA972" s="59"/>
      <c r="AB972" s="59"/>
      <c r="AC972" s="95"/>
      <c r="AD972" s="96"/>
      <c r="AE972" s="60"/>
      <c r="AF972" s="60"/>
      <c r="AG972" s="60"/>
      <c r="AH972" s="60"/>
      <c r="AI972" s="60"/>
      <c r="AJ972" s="97"/>
      <c r="AK972" s="97"/>
      <c r="AL972" s="97"/>
      <c r="AM972" s="97"/>
      <c r="AN972" s="97"/>
      <c r="AO972" s="97"/>
      <c r="AP972" s="97"/>
      <c r="AQ972" s="97"/>
    </row>
    <row r="973" spans="1:43" s="101" customFormat="1" ht="78.75" customHeight="1">
      <c r="A973" s="53"/>
      <c r="B973" s="54"/>
      <c r="C973" s="54"/>
      <c r="D973" s="54"/>
      <c r="E973" s="54"/>
      <c r="F973" s="54"/>
      <c r="G973" s="54"/>
      <c r="H973" s="54"/>
      <c r="I973" s="54"/>
      <c r="J973" s="54"/>
      <c r="K973" s="54"/>
      <c r="L973" s="54"/>
      <c r="M973" s="55"/>
      <c r="N973" s="55"/>
      <c r="O973" s="55"/>
      <c r="P973" s="55"/>
      <c r="Q973" s="94"/>
      <c r="R973" s="56"/>
      <c r="S973" s="57"/>
      <c r="T973" s="58"/>
      <c r="U973" s="57"/>
      <c r="V973" s="56"/>
      <c r="W973" s="57"/>
      <c r="X973" s="59"/>
      <c r="Y973" s="59"/>
      <c r="Z973" s="59"/>
      <c r="AA973" s="59"/>
      <c r="AB973" s="59"/>
      <c r="AC973" s="95"/>
      <c r="AD973" s="96"/>
      <c r="AE973" s="60"/>
      <c r="AF973" s="60"/>
      <c r="AG973" s="60"/>
      <c r="AH973" s="60"/>
      <c r="AI973" s="60"/>
      <c r="AJ973" s="97"/>
      <c r="AK973" s="97"/>
      <c r="AL973" s="97"/>
      <c r="AM973" s="97"/>
      <c r="AN973" s="97"/>
      <c r="AO973" s="97"/>
      <c r="AP973" s="97"/>
      <c r="AQ973" s="97"/>
    </row>
    <row r="974" spans="1:43" s="101" customFormat="1" ht="78.75" customHeight="1">
      <c r="A974" s="53"/>
      <c r="B974" s="54"/>
      <c r="C974" s="54"/>
      <c r="D974" s="54"/>
      <c r="E974" s="54"/>
      <c r="F974" s="54"/>
      <c r="G974" s="54"/>
      <c r="H974" s="54"/>
      <c r="I974" s="54"/>
      <c r="J974" s="54"/>
      <c r="K974" s="54"/>
      <c r="L974" s="54"/>
      <c r="M974" s="55"/>
      <c r="N974" s="55"/>
      <c r="O974" s="55"/>
      <c r="P974" s="55"/>
      <c r="Q974" s="94"/>
      <c r="R974" s="56"/>
      <c r="S974" s="57"/>
      <c r="T974" s="58"/>
      <c r="U974" s="57"/>
      <c r="V974" s="56"/>
      <c r="W974" s="57"/>
      <c r="X974" s="59"/>
      <c r="Y974" s="59"/>
      <c r="Z974" s="59"/>
      <c r="AA974" s="59"/>
      <c r="AB974" s="59"/>
      <c r="AC974" s="95"/>
      <c r="AD974" s="96"/>
      <c r="AE974" s="60"/>
      <c r="AF974" s="60"/>
      <c r="AG974" s="60"/>
      <c r="AH974" s="60"/>
      <c r="AI974" s="60"/>
      <c r="AJ974" s="97"/>
      <c r="AK974" s="97"/>
      <c r="AL974" s="97"/>
      <c r="AM974" s="97"/>
      <c r="AN974" s="97"/>
      <c r="AO974" s="97"/>
      <c r="AP974" s="97"/>
      <c r="AQ974" s="97"/>
    </row>
    <row r="975" spans="1:43" s="101" customFormat="1" ht="78.75" customHeight="1">
      <c r="A975" s="53"/>
      <c r="B975" s="54"/>
      <c r="C975" s="54"/>
      <c r="D975" s="54"/>
      <c r="E975" s="54"/>
      <c r="F975" s="54"/>
      <c r="G975" s="54"/>
      <c r="H975" s="54"/>
      <c r="I975" s="54"/>
      <c r="J975" s="54"/>
      <c r="K975" s="54"/>
      <c r="L975" s="54"/>
      <c r="M975" s="55"/>
      <c r="N975" s="55"/>
      <c r="O975" s="55"/>
      <c r="P975" s="55"/>
      <c r="Q975" s="94"/>
      <c r="R975" s="56"/>
      <c r="S975" s="57"/>
      <c r="T975" s="58"/>
      <c r="U975" s="57"/>
      <c r="V975" s="56"/>
      <c r="W975" s="57"/>
      <c r="X975" s="59"/>
      <c r="Y975" s="59"/>
      <c r="Z975" s="59"/>
      <c r="AA975" s="59"/>
      <c r="AB975" s="59"/>
      <c r="AC975" s="95"/>
      <c r="AD975" s="96"/>
      <c r="AE975" s="60"/>
      <c r="AF975" s="60"/>
      <c r="AG975" s="60"/>
      <c r="AH975" s="60"/>
      <c r="AI975" s="60"/>
      <c r="AJ975" s="97"/>
      <c r="AK975" s="97"/>
      <c r="AL975" s="97"/>
      <c r="AM975" s="97"/>
      <c r="AN975" s="97"/>
      <c r="AO975" s="97"/>
      <c r="AP975" s="97"/>
      <c r="AQ975" s="97"/>
    </row>
    <row r="976" spans="1:43" s="101" customFormat="1" ht="78.75" customHeight="1">
      <c r="A976" s="53"/>
      <c r="B976" s="54"/>
      <c r="C976" s="54"/>
      <c r="D976" s="54"/>
      <c r="E976" s="54"/>
      <c r="F976" s="54"/>
      <c r="G976" s="54"/>
      <c r="H976" s="54"/>
      <c r="I976" s="54"/>
      <c r="J976" s="54"/>
      <c r="K976" s="54"/>
      <c r="L976" s="54"/>
      <c r="M976" s="55"/>
      <c r="N976" s="55"/>
      <c r="O976" s="55"/>
      <c r="P976" s="55"/>
      <c r="Q976" s="94"/>
      <c r="R976" s="56"/>
      <c r="S976" s="57"/>
      <c r="T976" s="58"/>
      <c r="U976" s="57"/>
      <c r="V976" s="56"/>
      <c r="W976" s="57"/>
      <c r="X976" s="59"/>
      <c r="Y976" s="59"/>
      <c r="Z976" s="59"/>
      <c r="AA976" s="59"/>
      <c r="AB976" s="59"/>
      <c r="AC976" s="95"/>
      <c r="AD976" s="96"/>
      <c r="AE976" s="60"/>
      <c r="AF976" s="60"/>
      <c r="AG976" s="60"/>
      <c r="AH976" s="60"/>
      <c r="AI976" s="60"/>
      <c r="AJ976" s="97"/>
      <c r="AK976" s="97"/>
      <c r="AL976" s="97"/>
      <c r="AM976" s="97"/>
      <c r="AN976" s="97"/>
      <c r="AO976" s="97"/>
      <c r="AP976" s="97"/>
      <c r="AQ976" s="97"/>
    </row>
    <row r="977" spans="1:43" s="101" customFormat="1" ht="78.75" customHeight="1">
      <c r="A977" s="53"/>
      <c r="B977" s="54"/>
      <c r="C977" s="54"/>
      <c r="D977" s="54"/>
      <c r="E977" s="54"/>
      <c r="F977" s="54"/>
      <c r="G977" s="54"/>
      <c r="H977" s="54"/>
      <c r="I977" s="54"/>
      <c r="J977" s="54"/>
      <c r="K977" s="54"/>
      <c r="L977" s="54"/>
      <c r="M977" s="55"/>
      <c r="N977" s="55"/>
      <c r="O977" s="55"/>
      <c r="P977" s="55"/>
      <c r="Q977" s="94"/>
      <c r="R977" s="56"/>
      <c r="S977" s="57"/>
      <c r="T977" s="58"/>
      <c r="U977" s="57"/>
      <c r="V977" s="56"/>
      <c r="W977" s="57"/>
      <c r="X977" s="59"/>
      <c r="Y977" s="59"/>
      <c r="Z977" s="59"/>
      <c r="AA977" s="59"/>
      <c r="AB977" s="59"/>
      <c r="AC977" s="95"/>
      <c r="AD977" s="96"/>
      <c r="AE977" s="60"/>
      <c r="AF977" s="60"/>
      <c r="AG977" s="60"/>
      <c r="AH977" s="60"/>
      <c r="AI977" s="60"/>
      <c r="AJ977" s="97"/>
      <c r="AK977" s="97"/>
      <c r="AL977" s="97"/>
      <c r="AM977" s="97"/>
      <c r="AN977" s="97"/>
      <c r="AO977" s="97"/>
      <c r="AP977" s="97"/>
      <c r="AQ977" s="97"/>
    </row>
    <row r="978" spans="1:43" s="101" customFormat="1" ht="78.75" customHeight="1">
      <c r="A978" s="53"/>
      <c r="B978" s="54"/>
      <c r="C978" s="54"/>
      <c r="D978" s="54"/>
      <c r="E978" s="54"/>
      <c r="F978" s="54"/>
      <c r="G978" s="54"/>
      <c r="H978" s="54"/>
      <c r="I978" s="54"/>
      <c r="J978" s="54"/>
      <c r="K978" s="54"/>
      <c r="L978" s="54"/>
      <c r="M978" s="55"/>
      <c r="N978" s="55"/>
      <c r="O978" s="55"/>
      <c r="P978" s="55"/>
      <c r="Q978" s="94"/>
      <c r="R978" s="56"/>
      <c r="S978" s="57"/>
      <c r="T978" s="58"/>
      <c r="U978" s="57"/>
      <c r="V978" s="56"/>
      <c r="W978" s="57"/>
      <c r="X978" s="59"/>
      <c r="Y978" s="59"/>
      <c r="Z978" s="59"/>
      <c r="AA978" s="59"/>
      <c r="AB978" s="59"/>
      <c r="AC978" s="95"/>
      <c r="AD978" s="96"/>
      <c r="AE978" s="60"/>
      <c r="AF978" s="60"/>
      <c r="AG978" s="60"/>
      <c r="AH978" s="60"/>
      <c r="AI978" s="60"/>
      <c r="AJ978" s="97"/>
      <c r="AK978" s="97"/>
      <c r="AL978" s="97"/>
      <c r="AM978" s="97"/>
      <c r="AN978" s="97"/>
      <c r="AO978" s="97"/>
      <c r="AP978" s="97"/>
      <c r="AQ978" s="97"/>
    </row>
    <row r="979" spans="1:43" s="101" customFormat="1" ht="78.75" customHeight="1">
      <c r="A979" s="53"/>
      <c r="B979" s="54"/>
      <c r="C979" s="54"/>
      <c r="D979" s="54"/>
      <c r="E979" s="54"/>
      <c r="F979" s="54"/>
      <c r="G979" s="54"/>
      <c r="H979" s="54"/>
      <c r="I979" s="54"/>
      <c r="J979" s="54"/>
      <c r="K979" s="54"/>
      <c r="L979" s="54"/>
      <c r="M979" s="55"/>
      <c r="N979" s="55"/>
      <c r="O979" s="55"/>
      <c r="P979" s="55"/>
      <c r="Q979" s="94"/>
      <c r="R979" s="56"/>
      <c r="S979" s="57"/>
      <c r="T979" s="58"/>
      <c r="U979" s="57"/>
      <c r="V979" s="56"/>
      <c r="W979" s="57"/>
      <c r="X979" s="59"/>
      <c r="Y979" s="59"/>
      <c r="Z979" s="59"/>
      <c r="AA979" s="59"/>
      <c r="AB979" s="59"/>
      <c r="AC979" s="95"/>
      <c r="AD979" s="96"/>
      <c r="AE979" s="60"/>
      <c r="AF979" s="60"/>
      <c r="AG979" s="60"/>
      <c r="AH979" s="60"/>
      <c r="AI979" s="60"/>
      <c r="AJ979" s="97"/>
      <c r="AK979" s="97"/>
      <c r="AL979" s="97"/>
      <c r="AM979" s="97"/>
      <c r="AN979" s="97"/>
      <c r="AO979" s="97"/>
      <c r="AP979" s="97"/>
      <c r="AQ979" s="97"/>
    </row>
    <row r="980" spans="1:43" s="101" customFormat="1" ht="78.75" customHeight="1">
      <c r="A980" s="53"/>
      <c r="B980" s="54"/>
      <c r="C980" s="54"/>
      <c r="D980" s="54"/>
      <c r="E980" s="54"/>
      <c r="F980" s="54"/>
      <c r="G980" s="54"/>
      <c r="H980" s="54"/>
      <c r="I980" s="54"/>
      <c r="J980" s="54"/>
      <c r="K980" s="54"/>
      <c r="L980" s="54"/>
      <c r="M980" s="55"/>
      <c r="N980" s="55"/>
      <c r="O980" s="55"/>
      <c r="P980" s="55"/>
      <c r="Q980" s="94"/>
      <c r="R980" s="56"/>
      <c r="S980" s="57"/>
      <c r="T980" s="58"/>
      <c r="U980" s="57"/>
      <c r="V980" s="56"/>
      <c r="W980" s="57"/>
      <c r="X980" s="59"/>
      <c r="Y980" s="59"/>
      <c r="Z980" s="59"/>
      <c r="AA980" s="59"/>
      <c r="AB980" s="59"/>
      <c r="AC980" s="95"/>
      <c r="AD980" s="96"/>
      <c r="AE980" s="60"/>
      <c r="AF980" s="60"/>
      <c r="AG980" s="60"/>
      <c r="AH980" s="60"/>
      <c r="AI980" s="60"/>
      <c r="AJ980" s="97"/>
      <c r="AK980" s="97"/>
      <c r="AL980" s="97"/>
      <c r="AM980" s="97"/>
      <c r="AN980" s="97"/>
      <c r="AO980" s="97"/>
      <c r="AP980" s="97"/>
      <c r="AQ980" s="97"/>
    </row>
    <row r="981" spans="1:43" s="101" customFormat="1" ht="78.75" customHeight="1">
      <c r="A981" s="53"/>
      <c r="B981" s="54"/>
      <c r="C981" s="54"/>
      <c r="D981" s="54"/>
      <c r="E981" s="54"/>
      <c r="F981" s="54"/>
      <c r="G981" s="54"/>
      <c r="H981" s="54"/>
      <c r="I981" s="54"/>
      <c r="J981" s="54"/>
      <c r="K981" s="54"/>
      <c r="L981" s="54"/>
      <c r="M981" s="55"/>
      <c r="N981" s="55"/>
      <c r="O981" s="55"/>
      <c r="P981" s="55"/>
      <c r="Q981" s="94"/>
      <c r="R981" s="56"/>
      <c r="S981" s="57"/>
      <c r="T981" s="58"/>
      <c r="U981" s="57"/>
      <c r="V981" s="56"/>
      <c r="W981" s="57"/>
      <c r="X981" s="59"/>
      <c r="Y981" s="59"/>
      <c r="Z981" s="59"/>
      <c r="AA981" s="59"/>
      <c r="AB981" s="59"/>
      <c r="AC981" s="95"/>
      <c r="AD981" s="96"/>
      <c r="AE981" s="60"/>
      <c r="AF981" s="60"/>
      <c r="AG981" s="60"/>
      <c r="AH981" s="60"/>
      <c r="AI981" s="60"/>
      <c r="AJ981" s="97"/>
      <c r="AK981" s="97"/>
      <c r="AL981" s="97"/>
      <c r="AM981" s="97"/>
      <c r="AN981" s="97"/>
      <c r="AO981" s="97"/>
      <c r="AP981" s="97"/>
      <c r="AQ981" s="97"/>
    </row>
    <row r="982" spans="1:43" s="101" customFormat="1" ht="78.75" customHeight="1">
      <c r="A982" s="53"/>
      <c r="B982" s="54"/>
      <c r="C982" s="54"/>
      <c r="D982" s="54"/>
      <c r="E982" s="54"/>
      <c r="F982" s="54"/>
      <c r="G982" s="54"/>
      <c r="H982" s="54"/>
      <c r="I982" s="54"/>
      <c r="J982" s="54"/>
      <c r="K982" s="54"/>
      <c r="L982" s="54"/>
      <c r="M982" s="55"/>
      <c r="N982" s="55"/>
      <c r="O982" s="55"/>
      <c r="P982" s="55"/>
      <c r="Q982" s="94"/>
      <c r="R982" s="56"/>
      <c r="S982" s="57"/>
      <c r="T982" s="58"/>
      <c r="U982" s="57"/>
      <c r="V982" s="56"/>
      <c r="W982" s="57"/>
      <c r="X982" s="59"/>
      <c r="Y982" s="59"/>
      <c r="Z982" s="59"/>
      <c r="AA982" s="59"/>
      <c r="AB982" s="59"/>
      <c r="AC982" s="95"/>
      <c r="AD982" s="96"/>
      <c r="AE982" s="60"/>
      <c r="AF982" s="60"/>
      <c r="AG982" s="60"/>
      <c r="AH982" s="60"/>
      <c r="AI982" s="60"/>
      <c r="AJ982" s="97"/>
      <c r="AK982" s="97"/>
      <c r="AL982" s="97"/>
      <c r="AM982" s="97"/>
      <c r="AN982" s="97"/>
      <c r="AO982" s="97"/>
      <c r="AP982" s="97"/>
      <c r="AQ982" s="97"/>
    </row>
    <row r="983" spans="1:43" s="101" customFormat="1" ht="78.75" customHeight="1">
      <c r="A983" s="53"/>
      <c r="B983" s="54"/>
      <c r="C983" s="54"/>
      <c r="D983" s="54"/>
      <c r="E983" s="54"/>
      <c r="F983" s="54"/>
      <c r="G983" s="54"/>
      <c r="H983" s="54"/>
      <c r="I983" s="54"/>
      <c r="J983" s="54"/>
      <c r="K983" s="54"/>
      <c r="L983" s="54"/>
      <c r="M983" s="55"/>
      <c r="N983" s="55"/>
      <c r="O983" s="55"/>
      <c r="P983" s="55"/>
      <c r="Q983" s="94"/>
      <c r="R983" s="56"/>
      <c r="S983" s="57"/>
      <c r="T983" s="58"/>
      <c r="U983" s="57"/>
      <c r="V983" s="56"/>
      <c r="W983" s="57"/>
      <c r="X983" s="59"/>
      <c r="Y983" s="59"/>
      <c r="Z983" s="59"/>
      <c r="AA983" s="59"/>
      <c r="AB983" s="59"/>
      <c r="AC983" s="95"/>
      <c r="AD983" s="96"/>
      <c r="AE983" s="60"/>
      <c r="AF983" s="60"/>
      <c r="AG983" s="60"/>
      <c r="AH983" s="60"/>
      <c r="AI983" s="60"/>
      <c r="AJ983" s="97"/>
      <c r="AK983" s="97"/>
      <c r="AL983" s="97"/>
      <c r="AM983" s="97"/>
      <c r="AN983" s="97"/>
      <c r="AO983" s="97"/>
      <c r="AP983" s="97"/>
      <c r="AQ983" s="97"/>
    </row>
    <row r="984" spans="1:43" s="101" customFormat="1" ht="78.75" customHeight="1">
      <c r="A984" s="53"/>
      <c r="B984" s="54"/>
      <c r="C984" s="54"/>
      <c r="D984" s="54"/>
      <c r="E984" s="54"/>
      <c r="F984" s="54"/>
      <c r="G984" s="54"/>
      <c r="H984" s="54"/>
      <c r="I984" s="54"/>
      <c r="J984" s="54"/>
      <c r="K984" s="54"/>
      <c r="L984" s="54"/>
      <c r="M984" s="55"/>
      <c r="N984" s="55"/>
      <c r="O984" s="55"/>
      <c r="P984" s="55"/>
      <c r="Q984" s="94"/>
      <c r="R984" s="56"/>
      <c r="S984" s="57"/>
      <c r="T984" s="58"/>
      <c r="U984" s="57"/>
      <c r="V984" s="56"/>
      <c r="W984" s="57"/>
      <c r="X984" s="59"/>
      <c r="Y984" s="59"/>
      <c r="Z984" s="59"/>
      <c r="AA984" s="59"/>
      <c r="AB984" s="59"/>
      <c r="AC984" s="95"/>
      <c r="AD984" s="96"/>
      <c r="AE984" s="60"/>
      <c r="AF984" s="60"/>
      <c r="AG984" s="60"/>
      <c r="AH984" s="60"/>
      <c r="AI984" s="60"/>
      <c r="AJ984" s="97"/>
      <c r="AK984" s="97"/>
      <c r="AL984" s="97"/>
      <c r="AM984" s="97"/>
      <c r="AN984" s="97"/>
      <c r="AO984" s="97"/>
      <c r="AP984" s="97"/>
      <c r="AQ984" s="97"/>
    </row>
    <row r="985" spans="1:43" s="101" customFormat="1" ht="78.75" customHeight="1">
      <c r="A985" s="53"/>
      <c r="B985" s="54"/>
      <c r="C985" s="54"/>
      <c r="D985" s="54"/>
      <c r="E985" s="54"/>
      <c r="F985" s="54"/>
      <c r="G985" s="54"/>
      <c r="H985" s="54"/>
      <c r="I985" s="54"/>
      <c r="J985" s="54"/>
      <c r="K985" s="54"/>
      <c r="L985" s="54"/>
      <c r="M985" s="55"/>
      <c r="N985" s="55"/>
      <c r="O985" s="55"/>
      <c r="P985" s="55"/>
      <c r="Q985" s="94"/>
      <c r="R985" s="56"/>
      <c r="S985" s="57"/>
      <c r="T985" s="58"/>
      <c r="U985" s="57"/>
      <c r="V985" s="56"/>
      <c r="W985" s="57"/>
      <c r="X985" s="59"/>
      <c r="Y985" s="59"/>
      <c r="Z985" s="59"/>
      <c r="AA985" s="59"/>
      <c r="AB985" s="59"/>
      <c r="AC985" s="95"/>
      <c r="AD985" s="96"/>
      <c r="AE985" s="60"/>
      <c r="AF985" s="60"/>
      <c r="AG985" s="60"/>
      <c r="AH985" s="60"/>
      <c r="AI985" s="60"/>
      <c r="AJ985" s="97"/>
      <c r="AK985" s="97"/>
      <c r="AL985" s="97"/>
      <c r="AM985" s="97"/>
      <c r="AN985" s="97"/>
      <c r="AO985" s="97"/>
      <c r="AP985" s="97"/>
      <c r="AQ985" s="97"/>
    </row>
    <row r="986" spans="1:43" s="101" customFormat="1" ht="78.75" customHeight="1">
      <c r="A986" s="53"/>
      <c r="B986" s="54"/>
      <c r="C986" s="54"/>
      <c r="D986" s="54"/>
      <c r="E986" s="54"/>
      <c r="F986" s="54"/>
      <c r="G986" s="54"/>
      <c r="H986" s="54"/>
      <c r="I986" s="54"/>
      <c r="J986" s="54"/>
      <c r="K986" s="54"/>
      <c r="L986" s="54"/>
      <c r="M986" s="55"/>
      <c r="N986" s="55"/>
      <c r="O986" s="55"/>
      <c r="P986" s="55"/>
      <c r="Q986" s="94"/>
      <c r="R986" s="56"/>
      <c r="S986" s="57"/>
      <c r="T986" s="58"/>
      <c r="U986" s="57"/>
      <c r="V986" s="56"/>
      <c r="W986" s="57"/>
      <c r="X986" s="59"/>
      <c r="Y986" s="59"/>
      <c r="Z986" s="59"/>
      <c r="AA986" s="59"/>
      <c r="AB986" s="59"/>
      <c r="AC986" s="95"/>
      <c r="AD986" s="96"/>
      <c r="AE986" s="60"/>
      <c r="AF986" s="60"/>
      <c r="AG986" s="60"/>
      <c r="AH986" s="60"/>
      <c r="AI986" s="60"/>
      <c r="AJ986" s="97"/>
      <c r="AK986" s="97"/>
      <c r="AL986" s="97"/>
      <c r="AM986" s="97"/>
      <c r="AN986" s="97"/>
      <c r="AO986" s="97"/>
      <c r="AP986" s="97"/>
      <c r="AQ986" s="97"/>
    </row>
    <row r="987" spans="1:43" s="101" customFormat="1" ht="78.75" customHeight="1">
      <c r="A987" s="53"/>
      <c r="B987" s="54"/>
      <c r="C987" s="54"/>
      <c r="D987" s="54"/>
      <c r="E987" s="54"/>
      <c r="F987" s="54"/>
      <c r="G987" s="54"/>
      <c r="H987" s="54"/>
      <c r="I987" s="54"/>
      <c r="J987" s="54"/>
      <c r="K987" s="54"/>
      <c r="L987" s="54"/>
      <c r="M987" s="55"/>
      <c r="N987" s="55"/>
      <c r="O987" s="55"/>
      <c r="P987" s="55"/>
      <c r="Q987" s="94"/>
      <c r="R987" s="56"/>
      <c r="S987" s="57"/>
      <c r="T987" s="58"/>
      <c r="U987" s="57"/>
      <c r="V987" s="56"/>
      <c r="W987" s="57"/>
      <c r="X987" s="59"/>
      <c r="Y987" s="59"/>
      <c r="Z987" s="59"/>
      <c r="AA987" s="59"/>
      <c r="AB987" s="59"/>
      <c r="AC987" s="95"/>
      <c r="AD987" s="96"/>
      <c r="AE987" s="60"/>
      <c r="AF987" s="60"/>
      <c r="AG987" s="60"/>
      <c r="AH987" s="60"/>
      <c r="AI987" s="60"/>
      <c r="AJ987" s="97"/>
      <c r="AK987" s="97"/>
      <c r="AL987" s="97"/>
      <c r="AM987" s="97"/>
      <c r="AN987" s="97"/>
      <c r="AO987" s="97"/>
      <c r="AP987" s="97"/>
      <c r="AQ987" s="97"/>
    </row>
    <row r="988" spans="1:43" s="101" customFormat="1" ht="78.75" customHeight="1">
      <c r="A988" s="53"/>
      <c r="B988" s="54"/>
      <c r="C988" s="54"/>
      <c r="D988" s="54"/>
      <c r="E988" s="54"/>
      <c r="F988" s="54"/>
      <c r="G988" s="54"/>
      <c r="H988" s="54"/>
      <c r="I988" s="54"/>
      <c r="J988" s="54"/>
      <c r="K988" s="54"/>
      <c r="L988" s="54"/>
      <c r="M988" s="55"/>
      <c r="N988" s="55"/>
      <c r="O988" s="55"/>
      <c r="P988" s="55"/>
      <c r="Q988" s="94"/>
      <c r="R988" s="56"/>
      <c r="S988" s="57"/>
      <c r="T988" s="58"/>
      <c r="U988" s="57"/>
      <c r="V988" s="56"/>
      <c r="W988" s="57"/>
      <c r="X988" s="59"/>
      <c r="Y988" s="59"/>
      <c r="Z988" s="59"/>
      <c r="AA988" s="59"/>
      <c r="AB988" s="59"/>
      <c r="AC988" s="95"/>
      <c r="AD988" s="96"/>
      <c r="AE988" s="60"/>
      <c r="AF988" s="60"/>
      <c r="AG988" s="60"/>
      <c r="AH988" s="60"/>
      <c r="AI988" s="60"/>
      <c r="AJ988" s="97"/>
      <c r="AK988" s="97"/>
      <c r="AL988" s="97"/>
      <c r="AM988" s="97"/>
      <c r="AN988" s="97"/>
      <c r="AO988" s="97"/>
      <c r="AP988" s="97"/>
      <c r="AQ988" s="97"/>
    </row>
    <row r="989" spans="1:43" s="101" customFormat="1" ht="78.75" customHeight="1">
      <c r="A989" s="53"/>
      <c r="B989" s="54"/>
      <c r="C989" s="54"/>
      <c r="D989" s="54"/>
      <c r="E989" s="54"/>
      <c r="F989" s="54"/>
      <c r="G989" s="54"/>
      <c r="H989" s="54"/>
      <c r="I989" s="54"/>
      <c r="J989" s="54"/>
      <c r="K989" s="54"/>
      <c r="L989" s="54"/>
      <c r="M989" s="55"/>
      <c r="N989" s="55"/>
      <c r="O989" s="55"/>
      <c r="P989" s="55"/>
      <c r="Q989" s="94"/>
      <c r="R989" s="56"/>
      <c r="S989" s="57"/>
      <c r="T989" s="58"/>
      <c r="U989" s="57"/>
      <c r="V989" s="56"/>
      <c r="W989" s="57"/>
      <c r="X989" s="59"/>
      <c r="Y989" s="59"/>
      <c r="Z989" s="59"/>
      <c r="AA989" s="59"/>
      <c r="AB989" s="59"/>
      <c r="AC989" s="95"/>
      <c r="AD989" s="96"/>
      <c r="AE989" s="60"/>
      <c r="AF989" s="60"/>
      <c r="AG989" s="60"/>
      <c r="AH989" s="60"/>
      <c r="AI989" s="60"/>
      <c r="AJ989" s="97"/>
      <c r="AK989" s="97"/>
      <c r="AL989" s="97"/>
      <c r="AM989" s="97"/>
      <c r="AN989" s="97"/>
      <c r="AO989" s="97"/>
      <c r="AP989" s="97"/>
      <c r="AQ989" s="97"/>
    </row>
    <row r="990" spans="1:43" s="101" customFormat="1" ht="78.75" customHeight="1">
      <c r="A990" s="53"/>
      <c r="B990" s="54"/>
      <c r="C990" s="54"/>
      <c r="D990" s="54"/>
      <c r="E990" s="54"/>
      <c r="F990" s="54"/>
      <c r="G990" s="54"/>
      <c r="H990" s="54"/>
      <c r="I990" s="54"/>
      <c r="J990" s="54"/>
      <c r="K990" s="54"/>
      <c r="L990" s="54"/>
      <c r="M990" s="55"/>
      <c r="N990" s="55"/>
      <c r="O990" s="55"/>
      <c r="P990" s="55"/>
      <c r="Q990" s="94"/>
      <c r="R990" s="56"/>
      <c r="S990" s="57"/>
      <c r="T990" s="58"/>
      <c r="U990" s="57"/>
      <c r="V990" s="56"/>
      <c r="W990" s="57"/>
      <c r="X990" s="59"/>
      <c r="Y990" s="59"/>
      <c r="Z990" s="59"/>
      <c r="AA990" s="59"/>
      <c r="AB990" s="59"/>
      <c r="AC990" s="95"/>
      <c r="AD990" s="96"/>
      <c r="AE990" s="60"/>
      <c r="AF990" s="60"/>
      <c r="AG990" s="60"/>
      <c r="AH990" s="60"/>
      <c r="AI990" s="60"/>
      <c r="AJ990" s="97"/>
      <c r="AK990" s="97"/>
      <c r="AL990" s="97"/>
      <c r="AM990" s="97"/>
      <c r="AN990" s="97"/>
      <c r="AO990" s="97"/>
      <c r="AP990" s="97"/>
      <c r="AQ990" s="97"/>
    </row>
    <row r="991" spans="1:43" s="101" customFormat="1" ht="78.75" customHeight="1">
      <c r="A991" s="53"/>
      <c r="B991" s="54"/>
      <c r="C991" s="54"/>
      <c r="D991" s="54"/>
      <c r="E991" s="54"/>
      <c r="F991" s="54"/>
      <c r="G991" s="54"/>
      <c r="H991" s="54"/>
      <c r="I991" s="54"/>
      <c r="J991" s="54"/>
      <c r="K991" s="54"/>
      <c r="L991" s="54"/>
      <c r="M991" s="55"/>
      <c r="N991" s="55"/>
      <c r="O991" s="55"/>
      <c r="P991" s="55"/>
      <c r="Q991" s="94"/>
      <c r="R991" s="56"/>
      <c r="S991" s="57"/>
      <c r="T991" s="58"/>
      <c r="U991" s="57"/>
      <c r="V991" s="56"/>
      <c r="W991" s="57"/>
      <c r="X991" s="59"/>
      <c r="Y991" s="59"/>
      <c r="Z991" s="59"/>
      <c r="AA991" s="59"/>
      <c r="AB991" s="59"/>
      <c r="AC991" s="95"/>
      <c r="AD991" s="96"/>
      <c r="AE991" s="60"/>
      <c r="AF991" s="60"/>
      <c r="AG991" s="60"/>
      <c r="AH991" s="60"/>
      <c r="AI991" s="60"/>
      <c r="AJ991" s="97"/>
      <c r="AK991" s="97"/>
      <c r="AL991" s="97"/>
      <c r="AM991" s="97"/>
      <c r="AN991" s="97"/>
      <c r="AO991" s="97"/>
      <c r="AP991" s="97"/>
      <c r="AQ991" s="97"/>
    </row>
    <row r="992" spans="1:43" s="101" customFormat="1" ht="78.75" customHeight="1">
      <c r="A992" s="53"/>
      <c r="B992" s="54"/>
      <c r="C992" s="54"/>
      <c r="D992" s="54"/>
      <c r="E992" s="54"/>
      <c r="F992" s="54"/>
      <c r="G992" s="54"/>
      <c r="H992" s="54"/>
      <c r="I992" s="54"/>
      <c r="J992" s="54"/>
      <c r="K992" s="54"/>
      <c r="L992" s="54"/>
      <c r="M992" s="55"/>
      <c r="N992" s="55"/>
      <c r="O992" s="55"/>
      <c r="P992" s="55"/>
      <c r="Q992" s="94"/>
      <c r="R992" s="56"/>
      <c r="S992" s="57"/>
      <c r="T992" s="58"/>
      <c r="U992" s="57"/>
      <c r="V992" s="56"/>
      <c r="W992" s="57"/>
      <c r="X992" s="59"/>
      <c r="Y992" s="59"/>
      <c r="Z992" s="59"/>
      <c r="AA992" s="59"/>
      <c r="AB992" s="59"/>
      <c r="AC992" s="95"/>
      <c r="AD992" s="96"/>
      <c r="AE992" s="60"/>
      <c r="AF992" s="60"/>
      <c r="AG992" s="60"/>
      <c r="AH992" s="60"/>
      <c r="AI992" s="60"/>
      <c r="AJ992" s="97"/>
      <c r="AK992" s="97"/>
      <c r="AL992" s="97"/>
      <c r="AM992" s="97"/>
      <c r="AN992" s="97"/>
      <c r="AO992" s="97"/>
      <c r="AP992" s="97"/>
      <c r="AQ992" s="97"/>
    </row>
    <row r="993" spans="1:43" s="101" customFormat="1" ht="78.75" customHeight="1">
      <c r="A993" s="53"/>
      <c r="B993" s="54"/>
      <c r="C993" s="54"/>
      <c r="D993" s="54"/>
      <c r="E993" s="54"/>
      <c r="F993" s="54"/>
      <c r="G993" s="54"/>
      <c r="H993" s="54"/>
      <c r="I993" s="54"/>
      <c r="J993" s="54"/>
      <c r="K993" s="54"/>
      <c r="L993" s="54"/>
      <c r="M993" s="55"/>
      <c r="N993" s="55"/>
      <c r="O993" s="55"/>
      <c r="P993" s="55"/>
      <c r="Q993" s="94"/>
      <c r="R993" s="56"/>
      <c r="S993" s="57"/>
      <c r="T993" s="58"/>
      <c r="U993" s="57"/>
      <c r="V993" s="56"/>
      <c r="W993" s="57"/>
      <c r="X993" s="59"/>
      <c r="Y993" s="59"/>
      <c r="Z993" s="59"/>
      <c r="AA993" s="59"/>
      <c r="AB993" s="59"/>
      <c r="AC993" s="95"/>
      <c r="AD993" s="96"/>
      <c r="AE993" s="60"/>
      <c r="AF993" s="60"/>
      <c r="AG993" s="60"/>
      <c r="AH993" s="60"/>
      <c r="AI993" s="60"/>
      <c r="AJ993" s="97"/>
      <c r="AK993" s="97"/>
      <c r="AL993" s="97"/>
      <c r="AM993" s="97"/>
      <c r="AN993" s="97"/>
      <c r="AO993" s="97"/>
      <c r="AP993" s="97"/>
      <c r="AQ993" s="97"/>
    </row>
    <row r="994" spans="1:43" s="101" customFormat="1" ht="78.75" customHeight="1">
      <c r="A994" s="53"/>
      <c r="B994" s="54"/>
      <c r="C994" s="54"/>
      <c r="D994" s="54"/>
      <c r="E994" s="54"/>
      <c r="F994" s="54"/>
      <c r="G994" s="54"/>
      <c r="H994" s="54"/>
      <c r="I994" s="54"/>
      <c r="J994" s="54"/>
      <c r="K994" s="54"/>
      <c r="L994" s="54"/>
      <c r="M994" s="55"/>
      <c r="N994" s="55"/>
      <c r="O994" s="55"/>
      <c r="P994" s="55"/>
      <c r="Q994" s="94"/>
      <c r="R994" s="56"/>
      <c r="S994" s="57"/>
      <c r="T994" s="58"/>
      <c r="U994" s="57"/>
      <c r="V994" s="56"/>
      <c r="W994" s="57"/>
      <c r="X994" s="59"/>
      <c r="Y994" s="59"/>
      <c r="Z994" s="59"/>
      <c r="AA994" s="59"/>
      <c r="AB994" s="59"/>
      <c r="AC994" s="95"/>
      <c r="AD994" s="96"/>
      <c r="AE994" s="60"/>
      <c r="AF994" s="60"/>
      <c r="AG994" s="60"/>
      <c r="AH994" s="60"/>
      <c r="AI994" s="60"/>
      <c r="AJ994" s="97"/>
      <c r="AK994" s="97"/>
      <c r="AL994" s="97"/>
      <c r="AM994" s="97"/>
      <c r="AN994" s="97"/>
      <c r="AO994" s="97"/>
      <c r="AP994" s="97"/>
      <c r="AQ994" s="97"/>
    </row>
    <row r="995" spans="1:43" s="101" customFormat="1" ht="78.75" customHeight="1">
      <c r="A995" s="53"/>
      <c r="B995" s="54"/>
      <c r="C995" s="54"/>
      <c r="D995" s="54"/>
      <c r="E995" s="54"/>
      <c r="F995" s="54"/>
      <c r="G995" s="54"/>
      <c r="H995" s="54"/>
      <c r="I995" s="54"/>
      <c r="J995" s="54"/>
      <c r="K995" s="54"/>
      <c r="L995" s="54"/>
      <c r="M995" s="55"/>
      <c r="N995" s="55"/>
      <c r="O995" s="55"/>
      <c r="P995" s="55"/>
      <c r="Q995" s="94"/>
      <c r="R995" s="56"/>
      <c r="S995" s="57"/>
      <c r="T995" s="58"/>
      <c r="U995" s="57"/>
      <c r="V995" s="56"/>
      <c r="W995" s="57"/>
      <c r="X995" s="59"/>
      <c r="Y995" s="59"/>
      <c r="Z995" s="59"/>
      <c r="AA995" s="59"/>
      <c r="AB995" s="59"/>
      <c r="AC995" s="95"/>
      <c r="AD995" s="96"/>
      <c r="AE995" s="60"/>
      <c r="AF995" s="60"/>
      <c r="AG995" s="60"/>
      <c r="AH995" s="60"/>
      <c r="AI995" s="60"/>
      <c r="AJ995" s="97"/>
      <c r="AK995" s="97"/>
      <c r="AL995" s="97"/>
      <c r="AM995" s="97"/>
      <c r="AN995" s="97"/>
      <c r="AO995" s="97"/>
      <c r="AP995" s="97"/>
      <c r="AQ995" s="97"/>
    </row>
    <row r="996" spans="1:43" s="101" customFormat="1" ht="78.75" customHeight="1">
      <c r="A996" s="53"/>
      <c r="B996" s="54"/>
      <c r="C996" s="54"/>
      <c r="D996" s="54"/>
      <c r="E996" s="54"/>
      <c r="F996" s="54"/>
      <c r="G996" s="54"/>
      <c r="H996" s="54"/>
      <c r="I996" s="54"/>
      <c r="J996" s="54"/>
      <c r="K996" s="54"/>
      <c r="L996" s="54"/>
      <c r="M996" s="55"/>
      <c r="N996" s="55"/>
      <c r="O996" s="55"/>
      <c r="P996" s="55"/>
      <c r="Q996" s="94"/>
      <c r="R996" s="56"/>
      <c r="S996" s="57"/>
      <c r="T996" s="58"/>
      <c r="U996" s="57"/>
      <c r="V996" s="56"/>
      <c r="W996" s="57"/>
      <c r="X996" s="59"/>
      <c r="Y996" s="59"/>
      <c r="Z996" s="59"/>
      <c r="AA996" s="59"/>
      <c r="AB996" s="59"/>
      <c r="AC996" s="95"/>
      <c r="AD996" s="96"/>
      <c r="AE996" s="60"/>
      <c r="AF996" s="60"/>
      <c r="AG996" s="60"/>
      <c r="AH996" s="60"/>
      <c r="AI996" s="60"/>
      <c r="AJ996" s="97"/>
      <c r="AK996" s="97"/>
      <c r="AL996" s="97"/>
      <c r="AM996" s="97"/>
      <c r="AN996" s="97"/>
      <c r="AO996" s="97"/>
      <c r="AP996" s="97"/>
      <c r="AQ996" s="97"/>
    </row>
    <row r="997" spans="1:43" s="101" customFormat="1" ht="78.75" customHeight="1">
      <c r="A997" s="53"/>
      <c r="B997" s="54"/>
      <c r="C997" s="54"/>
      <c r="D997" s="54"/>
      <c r="E997" s="54"/>
      <c r="F997" s="54"/>
      <c r="G997" s="54"/>
      <c r="H997" s="54"/>
      <c r="I997" s="54"/>
      <c r="J997" s="54"/>
      <c r="K997" s="54"/>
      <c r="L997" s="54"/>
      <c r="M997" s="55"/>
      <c r="N997" s="55"/>
      <c r="O997" s="55"/>
      <c r="P997" s="55"/>
      <c r="Q997" s="94"/>
      <c r="R997" s="56"/>
      <c r="S997" s="57"/>
      <c r="T997" s="58"/>
      <c r="U997" s="57"/>
      <c r="V997" s="56"/>
      <c r="W997" s="57"/>
      <c r="X997" s="59"/>
      <c r="Y997" s="59"/>
      <c r="Z997" s="59"/>
      <c r="AA997" s="59"/>
      <c r="AB997" s="59"/>
      <c r="AC997" s="95"/>
      <c r="AD997" s="96"/>
      <c r="AE997" s="60"/>
      <c r="AF997" s="60"/>
      <c r="AG997" s="60"/>
      <c r="AH997" s="60"/>
      <c r="AI997" s="60"/>
      <c r="AJ997" s="97"/>
      <c r="AK997" s="97"/>
      <c r="AL997" s="97"/>
      <c r="AM997" s="97"/>
      <c r="AN997" s="97"/>
      <c r="AO997" s="97"/>
      <c r="AP997" s="97"/>
      <c r="AQ997" s="97"/>
    </row>
    <row r="998" spans="1:43" s="101" customFormat="1" ht="78.75" customHeight="1">
      <c r="A998" s="53"/>
      <c r="B998" s="54"/>
      <c r="C998" s="54"/>
      <c r="D998" s="54"/>
      <c r="E998" s="54"/>
      <c r="F998" s="54"/>
      <c r="G998" s="54"/>
      <c r="H998" s="54"/>
      <c r="I998" s="54"/>
      <c r="J998" s="54"/>
      <c r="K998" s="54"/>
      <c r="L998" s="54"/>
      <c r="M998" s="55"/>
      <c r="N998" s="55"/>
      <c r="O998" s="55"/>
      <c r="P998" s="55"/>
      <c r="Q998" s="94"/>
      <c r="R998" s="56"/>
      <c r="S998" s="57"/>
      <c r="T998" s="58"/>
      <c r="U998" s="57"/>
      <c r="V998" s="56"/>
      <c r="W998" s="57"/>
      <c r="X998" s="59"/>
      <c r="Y998" s="59"/>
      <c r="Z998" s="59"/>
      <c r="AA998" s="59"/>
      <c r="AB998" s="59"/>
      <c r="AC998" s="95"/>
      <c r="AD998" s="96"/>
      <c r="AE998" s="60"/>
      <c r="AF998" s="60"/>
      <c r="AG998" s="60"/>
      <c r="AH998" s="60"/>
      <c r="AI998" s="60"/>
      <c r="AJ998" s="97"/>
      <c r="AK998" s="97"/>
      <c r="AL998" s="97"/>
      <c r="AM998" s="97"/>
      <c r="AN998" s="97"/>
      <c r="AO998" s="97"/>
      <c r="AP998" s="97"/>
      <c r="AQ998" s="97"/>
    </row>
    <row r="999" spans="1:43" s="101" customFormat="1" ht="78.75" customHeight="1">
      <c r="A999" s="53"/>
      <c r="B999" s="54"/>
      <c r="C999" s="54"/>
      <c r="D999" s="54"/>
      <c r="E999" s="54"/>
      <c r="F999" s="54"/>
      <c r="G999" s="54"/>
      <c r="H999" s="54"/>
      <c r="I999" s="54"/>
      <c r="J999" s="54"/>
      <c r="K999" s="54"/>
      <c r="L999" s="54"/>
      <c r="M999" s="55"/>
      <c r="N999" s="55"/>
      <c r="O999" s="55"/>
      <c r="P999" s="55"/>
      <c r="Q999" s="94"/>
      <c r="R999" s="56"/>
      <c r="S999" s="57"/>
      <c r="T999" s="58"/>
      <c r="U999" s="57"/>
      <c r="V999" s="56"/>
      <c r="W999" s="57"/>
      <c r="X999" s="59"/>
      <c r="Y999" s="59"/>
      <c r="Z999" s="59"/>
      <c r="AA999" s="59"/>
      <c r="AB999" s="59"/>
      <c r="AC999" s="95"/>
      <c r="AD999" s="96"/>
      <c r="AE999" s="60"/>
      <c r="AF999" s="60"/>
      <c r="AG999" s="60"/>
      <c r="AH999" s="60"/>
      <c r="AI999" s="60"/>
      <c r="AJ999" s="97"/>
      <c r="AK999" s="97"/>
      <c r="AL999" s="97"/>
      <c r="AM999" s="97"/>
      <c r="AN999" s="97"/>
      <c r="AO999" s="97"/>
      <c r="AP999" s="97"/>
      <c r="AQ999" s="97"/>
    </row>
    <row r="1000" spans="1:43" s="101" customFormat="1" ht="78.75" customHeight="1">
      <c r="A1000" s="53"/>
      <c r="B1000" s="54"/>
      <c r="C1000" s="54"/>
      <c r="D1000" s="54"/>
      <c r="E1000" s="54"/>
      <c r="F1000" s="54"/>
      <c r="G1000" s="54"/>
      <c r="H1000" s="54"/>
      <c r="I1000" s="54"/>
      <c r="J1000" s="54"/>
      <c r="K1000" s="54"/>
      <c r="L1000" s="54"/>
      <c r="M1000" s="55"/>
      <c r="N1000" s="55"/>
      <c r="O1000" s="55"/>
      <c r="P1000" s="55"/>
      <c r="Q1000" s="94"/>
      <c r="R1000" s="56"/>
      <c r="S1000" s="57"/>
      <c r="T1000" s="58"/>
      <c r="U1000" s="57"/>
      <c r="V1000" s="56"/>
      <c r="W1000" s="57"/>
      <c r="X1000" s="59"/>
      <c r="Y1000" s="59"/>
      <c r="Z1000" s="59"/>
      <c r="AA1000" s="59"/>
      <c r="AB1000" s="59"/>
      <c r="AC1000" s="95"/>
      <c r="AD1000" s="96"/>
      <c r="AE1000" s="60"/>
      <c r="AF1000" s="60"/>
      <c r="AG1000" s="60"/>
      <c r="AH1000" s="60"/>
      <c r="AI1000" s="60"/>
      <c r="AJ1000" s="97"/>
      <c r="AK1000" s="97"/>
      <c r="AL1000" s="97"/>
      <c r="AM1000" s="97"/>
      <c r="AN1000" s="97"/>
      <c r="AO1000" s="97"/>
      <c r="AP1000" s="97"/>
      <c r="AQ1000" s="97"/>
    </row>
    <row r="1001" spans="1:43" s="101" customFormat="1" ht="78.75" customHeight="1">
      <c r="A1001" s="53"/>
      <c r="B1001" s="54"/>
      <c r="C1001" s="54"/>
      <c r="D1001" s="54"/>
      <c r="E1001" s="54"/>
      <c r="F1001" s="54"/>
      <c r="G1001" s="54"/>
      <c r="H1001" s="54"/>
      <c r="I1001" s="54"/>
      <c r="J1001" s="54"/>
      <c r="K1001" s="54"/>
      <c r="L1001" s="54"/>
      <c r="M1001" s="55"/>
      <c r="N1001" s="55"/>
      <c r="O1001" s="55"/>
      <c r="P1001" s="55"/>
      <c r="Q1001" s="94"/>
      <c r="R1001" s="56"/>
      <c r="S1001" s="57"/>
      <c r="T1001" s="58"/>
      <c r="U1001" s="57"/>
      <c r="V1001" s="56"/>
      <c r="W1001" s="57"/>
      <c r="X1001" s="59"/>
      <c r="Y1001" s="59"/>
      <c r="Z1001" s="59"/>
      <c r="AA1001" s="59"/>
      <c r="AB1001" s="59"/>
      <c r="AC1001" s="95"/>
      <c r="AD1001" s="96"/>
      <c r="AE1001" s="60"/>
      <c r="AF1001" s="60"/>
      <c r="AG1001" s="60"/>
      <c r="AH1001" s="60"/>
      <c r="AI1001" s="60"/>
      <c r="AJ1001" s="97"/>
      <c r="AK1001" s="97"/>
      <c r="AL1001" s="97"/>
      <c r="AM1001" s="97"/>
      <c r="AN1001" s="97"/>
      <c r="AO1001" s="97"/>
      <c r="AP1001" s="97"/>
      <c r="AQ1001" s="97"/>
    </row>
    <row r="1002" spans="1:43" s="101" customFormat="1" ht="78.75" customHeight="1">
      <c r="A1002" s="53"/>
      <c r="B1002" s="54"/>
      <c r="C1002" s="54"/>
      <c r="D1002" s="54"/>
      <c r="E1002" s="54"/>
      <c r="F1002" s="54"/>
      <c r="G1002" s="54"/>
      <c r="H1002" s="54"/>
      <c r="I1002" s="54"/>
      <c r="J1002" s="54"/>
      <c r="K1002" s="54"/>
      <c r="L1002" s="54"/>
      <c r="M1002" s="55"/>
      <c r="N1002" s="55"/>
      <c r="O1002" s="55"/>
      <c r="P1002" s="55"/>
      <c r="Q1002" s="94"/>
      <c r="R1002" s="56"/>
      <c r="S1002" s="57"/>
      <c r="T1002" s="58"/>
      <c r="U1002" s="57"/>
      <c r="V1002" s="56"/>
      <c r="W1002" s="57"/>
      <c r="X1002" s="59"/>
      <c r="Y1002" s="59"/>
      <c r="Z1002" s="59"/>
      <c r="AA1002" s="59"/>
      <c r="AB1002" s="59"/>
      <c r="AC1002" s="95"/>
      <c r="AD1002" s="96"/>
      <c r="AE1002" s="60"/>
      <c r="AF1002" s="60"/>
      <c r="AG1002" s="60"/>
      <c r="AH1002" s="60"/>
      <c r="AI1002" s="60"/>
      <c r="AJ1002" s="97"/>
      <c r="AK1002" s="97"/>
      <c r="AL1002" s="97"/>
      <c r="AM1002" s="97"/>
      <c r="AN1002" s="97"/>
      <c r="AO1002" s="97"/>
      <c r="AP1002" s="97"/>
      <c r="AQ1002" s="97"/>
    </row>
    <row r="1003" spans="1:43" s="101" customFormat="1" ht="78.75" customHeight="1">
      <c r="A1003" s="53"/>
      <c r="B1003" s="54"/>
      <c r="C1003" s="54"/>
      <c r="D1003" s="54"/>
      <c r="E1003" s="54"/>
      <c r="F1003" s="54"/>
      <c r="G1003" s="54"/>
      <c r="H1003" s="54"/>
      <c r="I1003" s="54"/>
      <c r="J1003" s="54"/>
      <c r="K1003" s="54"/>
      <c r="L1003" s="54"/>
      <c r="M1003" s="55"/>
      <c r="N1003" s="55"/>
      <c r="O1003" s="55"/>
      <c r="P1003" s="55"/>
      <c r="Q1003" s="94"/>
      <c r="R1003" s="56"/>
      <c r="S1003" s="57"/>
      <c r="T1003" s="58"/>
      <c r="U1003" s="57"/>
      <c r="V1003" s="56"/>
      <c r="W1003" s="57"/>
      <c r="X1003" s="59"/>
      <c r="Y1003" s="59"/>
      <c r="Z1003" s="59"/>
      <c r="AA1003" s="59"/>
      <c r="AB1003" s="59"/>
      <c r="AC1003" s="95"/>
      <c r="AD1003" s="96"/>
      <c r="AE1003" s="60"/>
      <c r="AF1003" s="60"/>
      <c r="AG1003" s="60"/>
      <c r="AH1003" s="60"/>
      <c r="AI1003" s="60"/>
      <c r="AJ1003" s="97"/>
      <c r="AK1003" s="97"/>
      <c r="AL1003" s="97"/>
      <c r="AM1003" s="97"/>
      <c r="AN1003" s="97"/>
      <c r="AO1003" s="97"/>
      <c r="AP1003" s="97"/>
      <c r="AQ1003" s="97"/>
    </row>
    <row r="1004" spans="1:43" s="101" customFormat="1" ht="78.75" customHeight="1">
      <c r="A1004" s="53"/>
      <c r="B1004" s="54"/>
      <c r="C1004" s="54"/>
      <c r="D1004" s="54"/>
      <c r="E1004" s="54"/>
      <c r="F1004" s="54"/>
      <c r="G1004" s="54"/>
      <c r="H1004" s="54"/>
      <c r="I1004" s="54"/>
      <c r="J1004" s="54"/>
      <c r="K1004" s="54"/>
      <c r="L1004" s="54"/>
      <c r="M1004" s="55"/>
      <c r="N1004" s="55"/>
      <c r="O1004" s="55"/>
      <c r="P1004" s="55"/>
      <c r="Q1004" s="94"/>
      <c r="R1004" s="56"/>
      <c r="S1004" s="57"/>
      <c r="T1004" s="58"/>
      <c r="U1004" s="57"/>
      <c r="V1004" s="56"/>
      <c r="W1004" s="57"/>
      <c r="X1004" s="59"/>
      <c r="Y1004" s="59"/>
      <c r="Z1004" s="59"/>
      <c r="AA1004" s="59"/>
      <c r="AB1004" s="59"/>
      <c r="AC1004" s="95"/>
      <c r="AD1004" s="96"/>
      <c r="AE1004" s="60"/>
      <c r="AF1004" s="60"/>
      <c r="AG1004" s="60"/>
      <c r="AH1004" s="60"/>
      <c r="AI1004" s="60"/>
      <c r="AJ1004" s="97"/>
      <c r="AK1004" s="97"/>
      <c r="AL1004" s="97"/>
      <c r="AM1004" s="97"/>
      <c r="AN1004" s="97"/>
      <c r="AO1004" s="97"/>
      <c r="AP1004" s="97"/>
      <c r="AQ1004" s="97"/>
    </row>
    <row r="1005" spans="1:43" s="101" customFormat="1" ht="78.75" customHeight="1">
      <c r="A1005" s="53"/>
      <c r="B1005" s="54"/>
      <c r="C1005" s="54"/>
      <c r="D1005" s="54"/>
      <c r="E1005" s="54"/>
      <c r="F1005" s="54"/>
      <c r="G1005" s="54"/>
      <c r="H1005" s="54"/>
      <c r="I1005" s="54"/>
      <c r="J1005" s="54"/>
      <c r="K1005" s="54"/>
      <c r="L1005" s="54"/>
      <c r="M1005" s="55"/>
      <c r="N1005" s="55"/>
      <c r="O1005" s="55"/>
      <c r="P1005" s="55"/>
      <c r="Q1005" s="94"/>
      <c r="R1005" s="56"/>
      <c r="S1005" s="57"/>
      <c r="T1005" s="58"/>
      <c r="U1005" s="57"/>
      <c r="V1005" s="56"/>
      <c r="W1005" s="57"/>
      <c r="X1005" s="59"/>
      <c r="Y1005" s="59"/>
      <c r="Z1005" s="59"/>
      <c r="AA1005" s="59"/>
      <c r="AB1005" s="59"/>
      <c r="AC1005" s="95"/>
      <c r="AD1005" s="96"/>
      <c r="AE1005" s="60"/>
      <c r="AF1005" s="60"/>
      <c r="AG1005" s="60"/>
      <c r="AH1005" s="60"/>
      <c r="AI1005" s="60"/>
      <c r="AJ1005" s="97"/>
      <c r="AK1005" s="97"/>
      <c r="AL1005" s="97"/>
      <c r="AM1005" s="97"/>
      <c r="AN1005" s="97"/>
      <c r="AO1005" s="97"/>
      <c r="AP1005" s="97"/>
      <c r="AQ1005" s="97"/>
    </row>
    <row r="1006" spans="1:43" s="101" customFormat="1" ht="78.75" customHeight="1">
      <c r="A1006" s="53"/>
      <c r="B1006" s="54"/>
      <c r="C1006" s="54"/>
      <c r="D1006" s="54"/>
      <c r="E1006" s="54"/>
      <c r="F1006" s="54"/>
      <c r="G1006" s="54"/>
      <c r="H1006" s="54"/>
      <c r="I1006" s="54"/>
      <c r="J1006" s="54"/>
      <c r="K1006" s="54"/>
      <c r="L1006" s="54"/>
      <c r="M1006" s="55"/>
      <c r="N1006" s="55"/>
      <c r="O1006" s="55"/>
      <c r="P1006" s="55"/>
      <c r="Q1006" s="94"/>
      <c r="R1006" s="56"/>
      <c r="S1006" s="57"/>
      <c r="T1006" s="58"/>
      <c r="U1006" s="57"/>
      <c r="V1006" s="56"/>
      <c r="W1006" s="57"/>
      <c r="X1006" s="59"/>
      <c r="Y1006" s="59"/>
      <c r="Z1006" s="59"/>
      <c r="AA1006" s="59"/>
      <c r="AB1006" s="59"/>
      <c r="AC1006" s="95"/>
      <c r="AD1006" s="96"/>
      <c r="AE1006" s="60"/>
      <c r="AF1006" s="60"/>
      <c r="AG1006" s="60"/>
      <c r="AH1006" s="60"/>
      <c r="AI1006" s="60"/>
      <c r="AJ1006" s="97"/>
      <c r="AK1006" s="97"/>
      <c r="AL1006" s="97"/>
      <c r="AM1006" s="97"/>
      <c r="AN1006" s="97"/>
      <c r="AO1006" s="97"/>
      <c r="AP1006" s="97"/>
      <c r="AQ1006" s="97"/>
    </row>
    <row r="1007" spans="1:43" s="101" customFormat="1" ht="78.75" customHeight="1">
      <c r="A1007" s="53"/>
      <c r="B1007" s="54"/>
      <c r="C1007" s="54"/>
      <c r="D1007" s="54"/>
      <c r="E1007" s="54"/>
      <c r="F1007" s="54"/>
      <c r="G1007" s="54"/>
      <c r="H1007" s="54"/>
      <c r="I1007" s="54"/>
      <c r="J1007" s="54"/>
      <c r="K1007" s="54"/>
      <c r="L1007" s="54"/>
      <c r="M1007" s="55"/>
      <c r="N1007" s="55"/>
      <c r="O1007" s="55"/>
      <c r="P1007" s="55"/>
      <c r="Q1007" s="94"/>
      <c r="R1007" s="56"/>
      <c r="S1007" s="57"/>
      <c r="T1007" s="58"/>
      <c r="U1007" s="57"/>
      <c r="V1007" s="56"/>
      <c r="W1007" s="57"/>
      <c r="X1007" s="59"/>
      <c r="Y1007" s="59"/>
      <c r="Z1007" s="59"/>
      <c r="AA1007" s="59"/>
      <c r="AB1007" s="59"/>
      <c r="AC1007" s="95"/>
      <c r="AD1007" s="96"/>
      <c r="AE1007" s="60"/>
      <c r="AF1007" s="60"/>
      <c r="AG1007" s="60"/>
      <c r="AH1007" s="60"/>
      <c r="AI1007" s="60"/>
      <c r="AJ1007" s="97"/>
      <c r="AK1007" s="97"/>
      <c r="AL1007" s="97"/>
      <c r="AM1007" s="97"/>
      <c r="AN1007" s="97"/>
      <c r="AO1007" s="97"/>
      <c r="AP1007" s="97"/>
      <c r="AQ1007" s="97"/>
    </row>
    <row r="1008" spans="1:43" s="101" customFormat="1" ht="78.75" customHeight="1">
      <c r="A1008" s="53"/>
      <c r="B1008" s="54"/>
      <c r="C1008" s="54"/>
      <c r="D1008" s="54"/>
      <c r="E1008" s="54"/>
      <c r="F1008" s="54"/>
      <c r="G1008" s="54"/>
      <c r="H1008" s="54"/>
      <c r="I1008" s="54"/>
      <c r="J1008" s="54"/>
      <c r="K1008" s="54"/>
      <c r="L1008" s="54"/>
      <c r="M1008" s="55"/>
      <c r="N1008" s="55"/>
      <c r="O1008" s="55"/>
      <c r="P1008" s="55"/>
      <c r="Q1008" s="94"/>
      <c r="R1008" s="56"/>
      <c r="S1008" s="57"/>
      <c r="T1008" s="58"/>
      <c r="U1008" s="57"/>
      <c r="V1008" s="56"/>
      <c r="W1008" s="57"/>
      <c r="X1008" s="59"/>
      <c r="Y1008" s="59"/>
      <c r="Z1008" s="59"/>
      <c r="AA1008" s="59"/>
      <c r="AB1008" s="59"/>
      <c r="AC1008" s="95"/>
      <c r="AD1008" s="96"/>
      <c r="AE1008" s="60"/>
      <c r="AF1008" s="60"/>
      <c r="AG1008" s="60"/>
      <c r="AH1008" s="60"/>
      <c r="AI1008" s="60"/>
      <c r="AJ1008" s="97"/>
      <c r="AK1008" s="97"/>
      <c r="AL1008" s="97"/>
      <c r="AM1008" s="97"/>
      <c r="AN1008" s="97"/>
      <c r="AO1008" s="97"/>
      <c r="AP1008" s="97"/>
      <c r="AQ1008" s="97"/>
    </row>
    <row r="1009" spans="1:43" s="101" customFormat="1" ht="78.75" customHeight="1">
      <c r="A1009" s="53"/>
      <c r="B1009" s="54"/>
      <c r="C1009" s="54"/>
      <c r="D1009" s="54"/>
      <c r="E1009" s="54"/>
      <c r="F1009" s="54"/>
      <c r="G1009" s="54"/>
      <c r="H1009" s="54"/>
      <c r="I1009" s="54"/>
      <c r="J1009" s="54"/>
      <c r="K1009" s="54"/>
      <c r="L1009" s="54"/>
      <c r="M1009" s="55"/>
      <c r="N1009" s="55"/>
      <c r="O1009" s="55"/>
      <c r="P1009" s="55"/>
      <c r="Q1009" s="94"/>
      <c r="R1009" s="56"/>
      <c r="S1009" s="57"/>
      <c r="T1009" s="58"/>
      <c r="U1009" s="57"/>
      <c r="V1009" s="56"/>
      <c r="W1009" s="57"/>
      <c r="X1009" s="59"/>
      <c r="Y1009" s="59"/>
      <c r="Z1009" s="59"/>
      <c r="AA1009" s="59"/>
      <c r="AB1009" s="59"/>
      <c r="AC1009" s="95"/>
      <c r="AD1009" s="96"/>
      <c r="AE1009" s="60"/>
      <c r="AF1009" s="60"/>
      <c r="AG1009" s="60"/>
      <c r="AH1009" s="60"/>
      <c r="AI1009" s="60"/>
      <c r="AJ1009" s="97"/>
      <c r="AK1009" s="97"/>
      <c r="AL1009" s="97"/>
      <c r="AM1009" s="97"/>
      <c r="AN1009" s="97"/>
      <c r="AO1009" s="97"/>
      <c r="AP1009" s="97"/>
      <c r="AQ1009" s="97"/>
    </row>
    <row r="1010" spans="1:43" s="101" customFormat="1" ht="78.75" customHeight="1">
      <c r="A1010" s="53"/>
      <c r="B1010" s="54"/>
      <c r="C1010" s="54"/>
      <c r="D1010" s="54"/>
      <c r="E1010" s="54"/>
      <c r="F1010" s="54"/>
      <c r="G1010" s="54"/>
      <c r="H1010" s="54"/>
      <c r="I1010" s="54"/>
      <c r="J1010" s="54"/>
      <c r="K1010" s="54"/>
      <c r="L1010" s="54"/>
      <c r="M1010" s="55"/>
      <c r="N1010" s="55"/>
      <c r="O1010" s="55"/>
      <c r="P1010" s="55"/>
      <c r="Q1010" s="94"/>
      <c r="R1010" s="56"/>
      <c r="S1010" s="57"/>
      <c r="T1010" s="58"/>
      <c r="U1010" s="57"/>
      <c r="V1010" s="56"/>
      <c r="W1010" s="57"/>
      <c r="X1010" s="59"/>
      <c r="Y1010" s="59"/>
      <c r="Z1010" s="59"/>
      <c r="AA1010" s="59"/>
      <c r="AB1010" s="59"/>
      <c r="AC1010" s="95"/>
      <c r="AD1010" s="96"/>
      <c r="AE1010" s="60"/>
      <c r="AF1010" s="60"/>
      <c r="AG1010" s="60"/>
      <c r="AH1010" s="60"/>
      <c r="AI1010" s="60"/>
      <c r="AJ1010" s="97"/>
      <c r="AK1010" s="97"/>
      <c r="AL1010" s="97"/>
      <c r="AM1010" s="97"/>
      <c r="AN1010" s="97"/>
      <c r="AO1010" s="97"/>
      <c r="AP1010" s="97"/>
      <c r="AQ1010" s="97"/>
    </row>
    <row r="1011" spans="1:43" s="101" customFormat="1" ht="78.75" customHeight="1">
      <c r="A1011" s="53"/>
      <c r="B1011" s="54"/>
      <c r="C1011" s="54"/>
      <c r="D1011" s="54"/>
      <c r="E1011" s="54"/>
      <c r="F1011" s="54"/>
      <c r="G1011" s="54"/>
      <c r="H1011" s="54"/>
      <c r="I1011" s="54"/>
      <c r="J1011" s="54"/>
      <c r="K1011" s="54"/>
      <c r="L1011" s="54"/>
      <c r="M1011" s="55"/>
      <c r="N1011" s="55"/>
      <c r="O1011" s="55"/>
      <c r="P1011" s="55"/>
      <c r="Q1011" s="94"/>
      <c r="R1011" s="56"/>
      <c r="S1011" s="57"/>
      <c r="T1011" s="58"/>
      <c r="U1011" s="57"/>
      <c r="V1011" s="56"/>
      <c r="W1011" s="57"/>
      <c r="X1011" s="59"/>
      <c r="Y1011" s="59"/>
      <c r="Z1011" s="59"/>
      <c r="AA1011" s="59"/>
      <c r="AB1011" s="59"/>
      <c r="AC1011" s="95"/>
      <c r="AD1011" s="96"/>
      <c r="AE1011" s="60"/>
      <c r="AF1011" s="60"/>
      <c r="AG1011" s="60"/>
      <c r="AH1011" s="60"/>
      <c r="AI1011" s="60"/>
      <c r="AJ1011" s="97"/>
      <c r="AK1011" s="97"/>
      <c r="AL1011" s="97"/>
      <c r="AM1011" s="97"/>
      <c r="AN1011" s="97"/>
      <c r="AO1011" s="97"/>
      <c r="AP1011" s="97"/>
      <c r="AQ1011" s="97"/>
    </row>
    <row r="1012" spans="1:43" s="101" customFormat="1" ht="78.75" customHeight="1">
      <c r="A1012" s="53"/>
      <c r="B1012" s="54"/>
      <c r="C1012" s="54"/>
      <c r="D1012" s="54"/>
      <c r="E1012" s="54"/>
      <c r="F1012" s="54"/>
      <c r="G1012" s="54"/>
      <c r="H1012" s="54"/>
      <c r="I1012" s="54"/>
      <c r="J1012" s="54"/>
      <c r="K1012" s="54"/>
      <c r="L1012" s="54"/>
      <c r="M1012" s="55"/>
      <c r="N1012" s="55"/>
      <c r="O1012" s="55"/>
      <c r="P1012" s="55"/>
      <c r="Q1012" s="94"/>
      <c r="R1012" s="56"/>
      <c r="S1012" s="57"/>
      <c r="T1012" s="58"/>
      <c r="U1012" s="57"/>
      <c r="V1012" s="56"/>
      <c r="W1012" s="57"/>
      <c r="X1012" s="59"/>
      <c r="Y1012" s="59"/>
      <c r="Z1012" s="59"/>
      <c r="AA1012" s="59"/>
      <c r="AB1012" s="59"/>
      <c r="AC1012" s="95"/>
      <c r="AD1012" s="96"/>
      <c r="AE1012" s="60"/>
      <c r="AF1012" s="60"/>
      <c r="AG1012" s="60"/>
      <c r="AH1012" s="60"/>
      <c r="AI1012" s="60"/>
      <c r="AJ1012" s="97"/>
      <c r="AK1012" s="97"/>
      <c r="AL1012" s="97"/>
      <c r="AM1012" s="97"/>
      <c r="AN1012" s="97"/>
      <c r="AO1012" s="97"/>
      <c r="AP1012" s="97"/>
      <c r="AQ1012" s="97"/>
    </row>
    <row r="1013" spans="1:43" s="101" customFormat="1" ht="78.75" customHeight="1">
      <c r="A1013" s="53"/>
      <c r="B1013" s="54"/>
      <c r="C1013" s="54"/>
      <c r="D1013" s="54"/>
      <c r="E1013" s="54"/>
      <c r="F1013" s="54"/>
      <c r="G1013" s="54"/>
      <c r="H1013" s="54"/>
      <c r="I1013" s="54"/>
      <c r="J1013" s="54"/>
      <c r="K1013" s="54"/>
      <c r="L1013" s="54"/>
      <c r="M1013" s="55"/>
      <c r="N1013" s="55"/>
      <c r="O1013" s="55"/>
      <c r="P1013" s="55"/>
      <c r="Q1013" s="94"/>
      <c r="R1013" s="56"/>
      <c r="S1013" s="57"/>
      <c r="T1013" s="58"/>
      <c r="U1013" s="57"/>
      <c r="V1013" s="56"/>
      <c r="W1013" s="58"/>
      <c r="X1013" s="59"/>
      <c r="Y1013" s="59"/>
      <c r="Z1013" s="59"/>
      <c r="AA1013" s="59"/>
      <c r="AB1013" s="59"/>
      <c r="AC1013" s="95"/>
      <c r="AD1013" s="96"/>
      <c r="AE1013" s="60"/>
      <c r="AF1013" s="60"/>
      <c r="AG1013" s="60"/>
      <c r="AH1013" s="60"/>
      <c r="AI1013" s="60"/>
      <c r="AJ1013" s="97"/>
      <c r="AK1013" s="97"/>
      <c r="AL1013" s="97"/>
      <c r="AM1013" s="97"/>
      <c r="AN1013" s="97"/>
      <c r="AO1013" s="97"/>
      <c r="AP1013" s="97"/>
      <c r="AQ1013" s="97"/>
    </row>
    <row r="1014" spans="1:43" s="101" customFormat="1" ht="78.75" customHeight="1">
      <c r="A1014" s="53"/>
      <c r="B1014" s="54"/>
      <c r="C1014" s="54"/>
      <c r="D1014" s="54"/>
      <c r="E1014" s="54"/>
      <c r="F1014" s="54"/>
      <c r="G1014" s="54"/>
      <c r="H1014" s="54"/>
      <c r="I1014" s="54"/>
      <c r="J1014" s="54"/>
      <c r="K1014" s="54"/>
      <c r="L1014" s="54"/>
      <c r="M1014" s="55"/>
      <c r="N1014" s="55"/>
      <c r="O1014" s="55"/>
      <c r="P1014" s="55"/>
      <c r="Q1014" s="94"/>
      <c r="R1014" s="56"/>
      <c r="S1014" s="57"/>
      <c r="T1014" s="58"/>
      <c r="U1014" s="57"/>
      <c r="V1014" s="56"/>
      <c r="W1014" s="58"/>
      <c r="X1014" s="59"/>
      <c r="Y1014" s="59"/>
      <c r="Z1014" s="59"/>
      <c r="AA1014" s="59"/>
      <c r="AB1014" s="59"/>
      <c r="AC1014" s="95"/>
      <c r="AD1014" s="96"/>
      <c r="AE1014" s="60"/>
      <c r="AF1014" s="60"/>
      <c r="AG1014" s="60"/>
      <c r="AH1014" s="60"/>
      <c r="AI1014" s="60"/>
      <c r="AJ1014" s="97"/>
      <c r="AK1014" s="97"/>
      <c r="AL1014" s="97"/>
      <c r="AM1014" s="97"/>
      <c r="AN1014" s="97"/>
      <c r="AO1014" s="97"/>
      <c r="AP1014" s="97"/>
      <c r="AQ1014" s="97"/>
    </row>
    <row r="1015" spans="1:43" s="101" customFormat="1" ht="78.75" customHeight="1">
      <c r="A1015" s="53"/>
      <c r="B1015" s="54"/>
      <c r="C1015" s="54"/>
      <c r="D1015" s="54"/>
      <c r="E1015" s="54"/>
      <c r="F1015" s="54"/>
      <c r="G1015" s="54"/>
      <c r="H1015" s="54"/>
      <c r="I1015" s="54"/>
      <c r="J1015" s="54"/>
      <c r="K1015" s="54"/>
      <c r="L1015" s="54"/>
      <c r="M1015" s="55"/>
      <c r="N1015" s="55"/>
      <c r="O1015" s="55"/>
      <c r="P1015" s="55"/>
      <c r="Q1015" s="94"/>
      <c r="R1015" s="56"/>
      <c r="S1015" s="57"/>
      <c r="T1015" s="58"/>
      <c r="U1015" s="57"/>
      <c r="V1015" s="56"/>
      <c r="W1015" s="58"/>
      <c r="X1015" s="59"/>
      <c r="Y1015" s="59"/>
      <c r="Z1015" s="59"/>
      <c r="AA1015" s="59"/>
      <c r="AB1015" s="59"/>
      <c r="AC1015" s="95"/>
      <c r="AD1015" s="96"/>
      <c r="AE1015" s="60"/>
      <c r="AF1015" s="60"/>
      <c r="AG1015" s="60"/>
      <c r="AH1015" s="60"/>
      <c r="AI1015" s="60"/>
      <c r="AJ1015" s="97"/>
      <c r="AK1015" s="97"/>
      <c r="AL1015" s="97"/>
      <c r="AM1015" s="97"/>
      <c r="AN1015" s="97"/>
      <c r="AO1015" s="97"/>
      <c r="AP1015" s="97"/>
      <c r="AQ1015" s="97"/>
    </row>
    <row r="1016" spans="1:43" s="101" customFormat="1" ht="78.75" customHeight="1">
      <c r="A1016" s="53"/>
      <c r="B1016" s="54"/>
      <c r="C1016" s="54"/>
      <c r="D1016" s="54"/>
      <c r="E1016" s="54"/>
      <c r="F1016" s="54"/>
      <c r="G1016" s="54"/>
      <c r="H1016" s="54"/>
      <c r="I1016" s="54"/>
      <c r="J1016" s="54"/>
      <c r="K1016" s="54"/>
      <c r="L1016" s="54"/>
      <c r="M1016" s="55"/>
      <c r="N1016" s="55"/>
      <c r="O1016" s="55"/>
      <c r="P1016" s="55"/>
      <c r="Q1016" s="94"/>
      <c r="R1016" s="56"/>
      <c r="S1016" s="57"/>
      <c r="T1016" s="58"/>
      <c r="U1016" s="57"/>
      <c r="V1016" s="56"/>
      <c r="W1016" s="57"/>
      <c r="X1016" s="59"/>
      <c r="Y1016" s="59"/>
      <c r="Z1016" s="59"/>
      <c r="AA1016" s="59"/>
      <c r="AB1016" s="59"/>
      <c r="AC1016" s="95"/>
      <c r="AD1016" s="96"/>
      <c r="AE1016" s="60"/>
      <c r="AF1016" s="60"/>
      <c r="AG1016" s="60"/>
      <c r="AH1016" s="60"/>
      <c r="AI1016" s="60"/>
      <c r="AJ1016" s="97"/>
      <c r="AK1016" s="97"/>
      <c r="AL1016" s="97"/>
      <c r="AM1016" s="97"/>
      <c r="AN1016" s="97"/>
      <c r="AO1016" s="97"/>
      <c r="AP1016" s="97"/>
      <c r="AQ1016" s="97"/>
    </row>
    <row r="1017" spans="1:43" s="101" customFormat="1" ht="78.75" customHeight="1">
      <c r="A1017" s="53"/>
      <c r="B1017" s="54"/>
      <c r="C1017" s="54"/>
      <c r="D1017" s="54"/>
      <c r="E1017" s="54"/>
      <c r="F1017" s="54"/>
      <c r="G1017" s="54"/>
      <c r="H1017" s="54"/>
      <c r="I1017" s="54"/>
      <c r="J1017" s="54"/>
      <c r="K1017" s="54"/>
      <c r="L1017" s="54"/>
      <c r="M1017" s="55"/>
      <c r="N1017" s="55"/>
      <c r="O1017" s="55"/>
      <c r="P1017" s="55"/>
      <c r="Q1017" s="94"/>
      <c r="R1017" s="56"/>
      <c r="S1017" s="57"/>
      <c r="T1017" s="58"/>
      <c r="U1017" s="57"/>
      <c r="V1017" s="56"/>
      <c r="W1017" s="57"/>
      <c r="X1017" s="59"/>
      <c r="Y1017" s="59"/>
      <c r="Z1017" s="59"/>
      <c r="AA1017" s="59"/>
      <c r="AB1017" s="59"/>
      <c r="AC1017" s="95"/>
      <c r="AD1017" s="96"/>
      <c r="AE1017" s="60"/>
      <c r="AF1017" s="60"/>
      <c r="AG1017" s="60"/>
      <c r="AH1017" s="60"/>
      <c r="AI1017" s="60"/>
      <c r="AJ1017" s="97"/>
      <c r="AK1017" s="97"/>
      <c r="AL1017" s="97"/>
      <c r="AM1017" s="97"/>
      <c r="AN1017" s="97"/>
      <c r="AO1017" s="97"/>
      <c r="AP1017" s="97"/>
      <c r="AQ1017" s="97"/>
    </row>
    <row r="1018" spans="1:43" s="101" customFormat="1" ht="78.75" customHeight="1">
      <c r="A1018" s="53"/>
      <c r="B1018" s="54"/>
      <c r="C1018" s="54"/>
      <c r="D1018" s="54"/>
      <c r="E1018" s="54"/>
      <c r="F1018" s="54"/>
      <c r="G1018" s="54"/>
      <c r="H1018" s="54"/>
      <c r="I1018" s="54"/>
      <c r="J1018" s="54"/>
      <c r="K1018" s="54"/>
      <c r="L1018" s="54"/>
      <c r="M1018" s="55"/>
      <c r="N1018" s="55"/>
      <c r="O1018" s="55"/>
      <c r="P1018" s="55"/>
      <c r="Q1018" s="94"/>
      <c r="R1018" s="56"/>
      <c r="S1018" s="57"/>
      <c r="T1018" s="58"/>
      <c r="U1018" s="57"/>
      <c r="V1018" s="56"/>
      <c r="W1018" s="57"/>
      <c r="X1018" s="59"/>
      <c r="Y1018" s="59"/>
      <c r="Z1018" s="59"/>
      <c r="AA1018" s="59"/>
      <c r="AB1018" s="59"/>
      <c r="AC1018" s="95"/>
      <c r="AD1018" s="96"/>
      <c r="AE1018" s="60"/>
      <c r="AF1018" s="60"/>
      <c r="AG1018" s="60"/>
      <c r="AH1018" s="60"/>
      <c r="AI1018" s="60"/>
      <c r="AJ1018" s="97"/>
      <c r="AK1018" s="97"/>
      <c r="AL1018" s="97"/>
      <c r="AM1018" s="97"/>
      <c r="AN1018" s="97"/>
      <c r="AO1018" s="97"/>
      <c r="AP1018" s="97"/>
      <c r="AQ1018" s="97"/>
    </row>
    <row r="1019" spans="1:43" s="101" customFormat="1" ht="15.75" customHeight="1">
      <c r="B1019" s="104"/>
      <c r="C1019" s="104"/>
      <c r="D1019" s="104"/>
      <c r="E1019" s="104"/>
      <c r="F1019" s="104"/>
      <c r="G1019" s="104"/>
      <c r="H1019" s="104"/>
      <c r="I1019" s="104"/>
      <c r="J1019" s="104"/>
      <c r="K1019" s="104"/>
      <c r="L1019" s="104"/>
      <c r="O1019" s="55"/>
      <c r="P1019" s="55"/>
      <c r="R1019" s="105"/>
      <c r="S1019" s="105"/>
      <c r="T1019" s="105"/>
      <c r="U1019" s="105"/>
      <c r="V1019" s="105"/>
      <c r="W1019" s="105"/>
      <c r="X1019" s="59"/>
      <c r="Y1019" s="59"/>
      <c r="Z1019" s="59"/>
      <c r="AA1019" s="59"/>
      <c r="AB1019" s="59"/>
      <c r="AC1019" s="95"/>
      <c r="AD1019" s="96"/>
      <c r="AE1019" s="97"/>
      <c r="AF1019" s="97"/>
      <c r="AG1019" s="97"/>
      <c r="AH1019" s="97"/>
      <c r="AI1019" s="97"/>
      <c r="AJ1019" s="97"/>
      <c r="AK1019" s="97"/>
      <c r="AL1019" s="97"/>
      <c r="AM1019" s="97"/>
      <c r="AN1019" s="97"/>
      <c r="AO1019" s="97"/>
      <c r="AP1019" s="97"/>
      <c r="AQ1019" s="97"/>
    </row>
    <row r="1020" spans="1:43" s="101" customFormat="1" ht="15.75" customHeight="1">
      <c r="B1020" s="104"/>
      <c r="C1020" s="104"/>
      <c r="D1020" s="104"/>
      <c r="E1020" s="104"/>
      <c r="F1020" s="104"/>
      <c r="G1020" s="104"/>
      <c r="H1020" s="104"/>
      <c r="I1020" s="104"/>
      <c r="J1020" s="104"/>
      <c r="K1020" s="104"/>
      <c r="L1020" s="104"/>
      <c r="O1020" s="55"/>
      <c r="P1020" s="55"/>
      <c r="R1020" s="105"/>
      <c r="S1020" s="105"/>
      <c r="T1020" s="105"/>
      <c r="U1020" s="105"/>
      <c r="V1020" s="105"/>
      <c r="W1020" s="105"/>
      <c r="X1020" s="59"/>
      <c r="Y1020" s="59"/>
      <c r="Z1020" s="59"/>
      <c r="AA1020" s="59"/>
      <c r="AB1020" s="59"/>
      <c r="AC1020" s="95"/>
      <c r="AD1020" s="96"/>
      <c r="AE1020" s="97"/>
      <c r="AF1020" s="97"/>
      <c r="AG1020" s="97"/>
      <c r="AH1020" s="97"/>
      <c r="AI1020" s="97"/>
      <c r="AJ1020" s="97"/>
      <c r="AK1020" s="97"/>
      <c r="AL1020" s="97"/>
      <c r="AM1020" s="97"/>
      <c r="AN1020" s="97"/>
      <c r="AO1020" s="97"/>
      <c r="AP1020" s="97"/>
      <c r="AQ1020" s="97"/>
    </row>
    <row r="1021" spans="1:43" s="101" customFormat="1" ht="15.75" customHeight="1">
      <c r="B1021" s="104"/>
      <c r="C1021" s="104"/>
      <c r="D1021" s="104"/>
      <c r="E1021" s="104"/>
      <c r="F1021" s="104"/>
      <c r="G1021" s="104"/>
      <c r="H1021" s="104"/>
      <c r="I1021" s="104"/>
      <c r="J1021" s="104"/>
      <c r="K1021" s="104"/>
      <c r="L1021" s="104"/>
      <c r="O1021" s="55"/>
      <c r="P1021" s="55"/>
      <c r="R1021" s="105"/>
      <c r="S1021" s="105"/>
      <c r="T1021" s="105"/>
      <c r="U1021" s="105"/>
      <c r="V1021" s="105"/>
      <c r="W1021" s="105"/>
      <c r="X1021" s="59"/>
      <c r="Y1021" s="59"/>
      <c r="Z1021" s="59"/>
      <c r="AA1021" s="59"/>
      <c r="AB1021" s="59"/>
      <c r="AC1021" s="95"/>
      <c r="AD1021" s="96"/>
      <c r="AE1021" s="97"/>
      <c r="AF1021" s="97"/>
      <c r="AG1021" s="97"/>
      <c r="AH1021" s="97"/>
      <c r="AI1021" s="97"/>
      <c r="AJ1021" s="97"/>
      <c r="AK1021" s="97"/>
      <c r="AL1021" s="97"/>
      <c r="AM1021" s="97"/>
      <c r="AN1021" s="97"/>
      <c r="AO1021" s="97"/>
      <c r="AP1021" s="97"/>
      <c r="AQ1021" s="97"/>
    </row>
    <row r="1022" spans="1:43" s="101" customFormat="1" ht="15.75" customHeight="1">
      <c r="B1022" s="104"/>
      <c r="C1022" s="104"/>
      <c r="D1022" s="104"/>
      <c r="E1022" s="104"/>
      <c r="F1022" s="104"/>
      <c r="G1022" s="104"/>
      <c r="H1022" s="104"/>
      <c r="I1022" s="104"/>
      <c r="J1022" s="104"/>
      <c r="K1022" s="104"/>
      <c r="L1022" s="104"/>
      <c r="O1022" s="55"/>
      <c r="P1022" s="55"/>
      <c r="R1022" s="105"/>
      <c r="S1022" s="105"/>
      <c r="T1022" s="105"/>
      <c r="U1022" s="105"/>
      <c r="V1022" s="105"/>
      <c r="W1022" s="105"/>
      <c r="X1022" s="59"/>
      <c r="Y1022" s="59"/>
      <c r="Z1022" s="59"/>
      <c r="AA1022" s="59"/>
      <c r="AB1022" s="59"/>
      <c r="AC1022" s="95"/>
      <c r="AD1022" s="96"/>
      <c r="AE1022" s="97"/>
      <c r="AF1022" s="97"/>
      <c r="AG1022" s="97"/>
      <c r="AH1022" s="97"/>
      <c r="AI1022" s="97"/>
      <c r="AJ1022" s="97"/>
      <c r="AK1022" s="97"/>
      <c r="AL1022" s="97"/>
      <c r="AM1022" s="97"/>
      <c r="AN1022" s="97"/>
      <c r="AO1022" s="97"/>
      <c r="AP1022" s="97"/>
      <c r="AQ1022" s="97"/>
    </row>
    <row r="1023" spans="1:43" s="101" customFormat="1" ht="15.75" customHeight="1">
      <c r="B1023" s="104"/>
      <c r="C1023" s="104"/>
      <c r="D1023" s="104"/>
      <c r="E1023" s="104"/>
      <c r="F1023" s="104"/>
      <c r="G1023" s="104"/>
      <c r="H1023" s="104"/>
      <c r="I1023" s="104"/>
      <c r="J1023" s="104"/>
      <c r="K1023" s="104"/>
      <c r="L1023" s="104"/>
      <c r="O1023" s="55"/>
      <c r="P1023" s="55"/>
      <c r="R1023" s="105"/>
      <c r="S1023" s="105"/>
      <c r="T1023" s="105"/>
      <c r="U1023" s="105"/>
      <c r="V1023" s="105"/>
      <c r="W1023" s="105"/>
      <c r="X1023" s="59"/>
      <c r="Y1023" s="59"/>
      <c r="Z1023" s="59"/>
      <c r="AA1023" s="59"/>
      <c r="AB1023" s="59"/>
      <c r="AC1023" s="95"/>
      <c r="AD1023" s="96"/>
      <c r="AE1023" s="97"/>
      <c r="AF1023" s="97"/>
      <c r="AG1023" s="97"/>
      <c r="AH1023" s="97"/>
      <c r="AI1023" s="97"/>
      <c r="AJ1023" s="97"/>
      <c r="AK1023" s="97"/>
      <c r="AL1023" s="97"/>
      <c r="AM1023" s="97"/>
      <c r="AN1023" s="97"/>
      <c r="AO1023" s="97"/>
      <c r="AP1023" s="97"/>
      <c r="AQ1023" s="97"/>
    </row>
    <row r="1024" spans="1:43" s="101" customFormat="1" ht="15.75" customHeight="1">
      <c r="B1024" s="104"/>
      <c r="C1024" s="104"/>
      <c r="D1024" s="104"/>
      <c r="E1024" s="104"/>
      <c r="F1024" s="104"/>
      <c r="G1024" s="104"/>
      <c r="H1024" s="104"/>
      <c r="I1024" s="104"/>
      <c r="J1024" s="104"/>
      <c r="K1024" s="104"/>
      <c r="L1024" s="104"/>
      <c r="O1024" s="55"/>
      <c r="P1024" s="55"/>
      <c r="R1024" s="105"/>
      <c r="S1024" s="105"/>
      <c r="T1024" s="105"/>
      <c r="U1024" s="105"/>
      <c r="V1024" s="105"/>
      <c r="W1024" s="105"/>
      <c r="X1024" s="59"/>
      <c r="Y1024" s="59"/>
      <c r="Z1024" s="59"/>
      <c r="AA1024" s="59"/>
      <c r="AB1024" s="59"/>
      <c r="AC1024" s="95"/>
      <c r="AD1024" s="96"/>
      <c r="AE1024" s="97"/>
      <c r="AF1024" s="97"/>
      <c r="AG1024" s="97"/>
      <c r="AH1024" s="97"/>
      <c r="AI1024" s="97"/>
      <c r="AJ1024" s="97"/>
      <c r="AK1024" s="97"/>
      <c r="AL1024" s="97"/>
      <c r="AM1024" s="97"/>
      <c r="AN1024" s="97"/>
      <c r="AO1024" s="97"/>
      <c r="AP1024" s="97"/>
      <c r="AQ1024" s="97"/>
    </row>
    <row r="1025" spans="2:43" s="101" customFormat="1" ht="15.75" customHeight="1">
      <c r="B1025" s="104"/>
      <c r="C1025" s="104"/>
      <c r="D1025" s="104"/>
      <c r="E1025" s="104"/>
      <c r="F1025" s="104"/>
      <c r="G1025" s="104"/>
      <c r="H1025" s="104"/>
      <c r="I1025" s="104"/>
      <c r="J1025" s="104"/>
      <c r="K1025" s="104"/>
      <c r="L1025" s="104"/>
      <c r="O1025" s="55"/>
      <c r="P1025" s="55"/>
      <c r="R1025" s="105"/>
      <c r="S1025" s="105"/>
      <c r="T1025" s="105"/>
      <c r="U1025" s="105"/>
      <c r="V1025" s="105"/>
      <c r="W1025" s="105"/>
      <c r="X1025" s="59"/>
      <c r="Y1025" s="59"/>
      <c r="Z1025" s="59"/>
      <c r="AA1025" s="59"/>
      <c r="AB1025" s="59"/>
      <c r="AC1025" s="95"/>
      <c r="AD1025" s="96"/>
      <c r="AE1025" s="97"/>
      <c r="AF1025" s="97"/>
      <c r="AG1025" s="97"/>
      <c r="AH1025" s="97"/>
      <c r="AI1025" s="97"/>
      <c r="AJ1025" s="97"/>
      <c r="AK1025" s="97"/>
      <c r="AL1025" s="97"/>
      <c r="AM1025" s="97"/>
      <c r="AN1025" s="97"/>
      <c r="AO1025" s="97"/>
      <c r="AP1025" s="97"/>
      <c r="AQ1025" s="97"/>
    </row>
    <row r="1026" spans="2:43" s="101" customFormat="1" ht="15.75" customHeight="1">
      <c r="B1026" s="104"/>
      <c r="C1026" s="104"/>
      <c r="D1026" s="104"/>
      <c r="E1026" s="104"/>
      <c r="F1026" s="104"/>
      <c r="G1026" s="104"/>
      <c r="H1026" s="104"/>
      <c r="I1026" s="104"/>
      <c r="J1026" s="104"/>
      <c r="K1026" s="104"/>
      <c r="L1026" s="104"/>
      <c r="O1026" s="55"/>
      <c r="P1026" s="55"/>
      <c r="R1026" s="105"/>
      <c r="S1026" s="105"/>
      <c r="T1026" s="105"/>
      <c r="U1026" s="105"/>
      <c r="V1026" s="105"/>
      <c r="W1026" s="105"/>
      <c r="X1026" s="59"/>
      <c r="Y1026" s="59"/>
      <c r="Z1026" s="59"/>
      <c r="AA1026" s="59"/>
      <c r="AB1026" s="59"/>
      <c r="AC1026" s="95"/>
      <c r="AD1026" s="96"/>
      <c r="AE1026" s="97"/>
      <c r="AF1026" s="97"/>
      <c r="AG1026" s="97"/>
      <c r="AH1026" s="97"/>
      <c r="AI1026" s="97"/>
      <c r="AJ1026" s="97"/>
      <c r="AK1026" s="97"/>
      <c r="AL1026" s="97"/>
      <c r="AM1026" s="97"/>
      <c r="AN1026" s="97"/>
      <c r="AO1026" s="97"/>
      <c r="AP1026" s="97"/>
      <c r="AQ1026" s="97"/>
    </row>
    <row r="1027" spans="2:43" s="101" customFormat="1" ht="15.75" customHeight="1">
      <c r="B1027" s="104"/>
      <c r="C1027" s="104"/>
      <c r="D1027" s="104"/>
      <c r="E1027" s="104"/>
      <c r="F1027" s="104"/>
      <c r="G1027" s="104"/>
      <c r="H1027" s="104"/>
      <c r="I1027" s="104"/>
      <c r="J1027" s="104"/>
      <c r="K1027" s="104"/>
      <c r="L1027" s="104"/>
      <c r="O1027" s="55"/>
      <c r="P1027" s="55"/>
      <c r="R1027" s="105"/>
      <c r="S1027" s="105"/>
      <c r="T1027" s="105"/>
      <c r="U1027" s="105"/>
      <c r="V1027" s="105"/>
      <c r="W1027" s="105"/>
      <c r="X1027" s="59"/>
      <c r="Y1027" s="59"/>
      <c r="Z1027" s="59"/>
      <c r="AA1027" s="59"/>
      <c r="AB1027" s="59"/>
      <c r="AC1027" s="95"/>
      <c r="AD1027" s="96"/>
      <c r="AE1027" s="97"/>
      <c r="AF1027" s="97"/>
      <c r="AG1027" s="97"/>
      <c r="AH1027" s="97"/>
      <c r="AI1027" s="97"/>
      <c r="AJ1027" s="97"/>
      <c r="AK1027" s="97"/>
      <c r="AL1027" s="97"/>
      <c r="AM1027" s="97"/>
      <c r="AN1027" s="97"/>
      <c r="AO1027" s="97"/>
      <c r="AP1027" s="97"/>
      <c r="AQ1027" s="97"/>
    </row>
    <row r="1028" spans="2:43" s="101" customFormat="1" ht="15.75" customHeight="1">
      <c r="B1028" s="104"/>
      <c r="C1028" s="104"/>
      <c r="D1028" s="104"/>
      <c r="E1028" s="104"/>
      <c r="F1028" s="104"/>
      <c r="G1028" s="104"/>
      <c r="H1028" s="104"/>
      <c r="I1028" s="104"/>
      <c r="J1028" s="104"/>
      <c r="K1028" s="104"/>
      <c r="L1028" s="104"/>
      <c r="O1028" s="55"/>
      <c r="P1028" s="55"/>
      <c r="R1028" s="105"/>
      <c r="S1028" s="105"/>
      <c r="T1028" s="105"/>
      <c r="U1028" s="105"/>
      <c r="V1028" s="105"/>
      <c r="W1028" s="105"/>
      <c r="X1028" s="59"/>
      <c r="Y1028" s="59"/>
      <c r="Z1028" s="59"/>
      <c r="AA1028" s="59"/>
      <c r="AB1028" s="59"/>
      <c r="AC1028" s="95"/>
      <c r="AD1028" s="96"/>
      <c r="AE1028" s="97"/>
      <c r="AF1028" s="97"/>
      <c r="AG1028" s="97"/>
      <c r="AH1028" s="97"/>
      <c r="AI1028" s="97"/>
      <c r="AJ1028" s="97"/>
      <c r="AK1028" s="97"/>
      <c r="AL1028" s="97"/>
      <c r="AM1028" s="97"/>
      <c r="AN1028" s="97"/>
      <c r="AO1028" s="97"/>
      <c r="AP1028" s="97"/>
      <c r="AQ1028" s="97"/>
    </row>
    <row r="1029" spans="2:43" s="101" customFormat="1" ht="15.75" customHeight="1">
      <c r="B1029" s="104"/>
      <c r="C1029" s="104"/>
      <c r="D1029" s="104"/>
      <c r="E1029" s="104"/>
      <c r="F1029" s="104"/>
      <c r="G1029" s="104"/>
      <c r="H1029" s="104"/>
      <c r="I1029" s="104"/>
      <c r="J1029" s="104"/>
      <c r="K1029" s="104"/>
      <c r="L1029" s="104"/>
      <c r="O1029" s="55"/>
      <c r="P1029" s="55"/>
      <c r="R1029" s="105"/>
      <c r="S1029" s="105"/>
      <c r="T1029" s="105"/>
      <c r="U1029" s="105"/>
      <c r="V1029" s="105"/>
      <c r="W1029" s="105"/>
      <c r="X1029" s="59"/>
      <c r="Y1029" s="59"/>
      <c r="Z1029" s="59"/>
      <c r="AA1029" s="59"/>
      <c r="AB1029" s="59"/>
      <c r="AC1029" s="95"/>
      <c r="AD1029" s="96"/>
      <c r="AE1029" s="97"/>
      <c r="AF1029" s="97"/>
      <c r="AG1029" s="97"/>
      <c r="AH1029" s="97"/>
      <c r="AI1029" s="97"/>
      <c r="AJ1029" s="97"/>
      <c r="AK1029" s="97"/>
      <c r="AL1029" s="97"/>
      <c r="AM1029" s="97"/>
      <c r="AN1029" s="97"/>
      <c r="AO1029" s="97"/>
      <c r="AP1029" s="97"/>
      <c r="AQ1029" s="97"/>
    </row>
    <row r="1030" spans="2:43" s="101" customFormat="1" ht="15.75" customHeight="1">
      <c r="B1030" s="104"/>
      <c r="C1030" s="104"/>
      <c r="D1030" s="104"/>
      <c r="E1030" s="104"/>
      <c r="F1030" s="104"/>
      <c r="G1030" s="104"/>
      <c r="H1030" s="104"/>
      <c r="I1030" s="104"/>
      <c r="J1030" s="104"/>
      <c r="K1030" s="104"/>
      <c r="L1030" s="104"/>
      <c r="O1030" s="55"/>
      <c r="P1030" s="55"/>
      <c r="R1030" s="105"/>
      <c r="S1030" s="105"/>
      <c r="T1030" s="105"/>
      <c r="U1030" s="105"/>
      <c r="V1030" s="105"/>
      <c r="W1030" s="105"/>
      <c r="X1030" s="59"/>
      <c r="Y1030" s="59"/>
      <c r="Z1030" s="59"/>
      <c r="AA1030" s="59"/>
      <c r="AB1030" s="59"/>
      <c r="AC1030" s="95"/>
      <c r="AD1030" s="96"/>
      <c r="AE1030" s="97"/>
      <c r="AF1030" s="97"/>
      <c r="AG1030" s="97"/>
      <c r="AH1030" s="97"/>
      <c r="AI1030" s="97"/>
      <c r="AJ1030" s="97"/>
      <c r="AK1030" s="97"/>
      <c r="AL1030" s="97"/>
      <c r="AM1030" s="97"/>
      <c r="AN1030" s="97"/>
      <c r="AO1030" s="97"/>
      <c r="AP1030" s="97"/>
      <c r="AQ1030" s="97"/>
    </row>
    <row r="1031" spans="2:43" s="101" customFormat="1" ht="15.75" customHeight="1">
      <c r="B1031" s="104"/>
      <c r="C1031" s="104"/>
      <c r="D1031" s="104"/>
      <c r="E1031" s="104"/>
      <c r="F1031" s="104"/>
      <c r="G1031" s="104"/>
      <c r="H1031" s="104"/>
      <c r="I1031" s="104"/>
      <c r="J1031" s="104"/>
      <c r="K1031" s="104"/>
      <c r="L1031" s="104"/>
      <c r="O1031" s="55"/>
      <c r="P1031" s="55"/>
      <c r="R1031" s="105"/>
      <c r="S1031" s="105"/>
      <c r="T1031" s="105"/>
      <c r="U1031" s="105"/>
      <c r="V1031" s="105"/>
      <c r="W1031" s="105"/>
      <c r="X1031" s="59"/>
      <c r="Y1031" s="59"/>
      <c r="Z1031" s="59"/>
      <c r="AA1031" s="59"/>
      <c r="AB1031" s="59"/>
      <c r="AC1031" s="95"/>
      <c r="AD1031" s="96"/>
      <c r="AE1031" s="97"/>
      <c r="AF1031" s="97"/>
      <c r="AG1031" s="97"/>
      <c r="AH1031" s="97"/>
      <c r="AI1031" s="97"/>
      <c r="AJ1031" s="97"/>
      <c r="AK1031" s="97"/>
      <c r="AL1031" s="97"/>
      <c r="AM1031" s="97"/>
      <c r="AN1031" s="97"/>
      <c r="AO1031" s="97"/>
      <c r="AP1031" s="97"/>
      <c r="AQ1031" s="97"/>
    </row>
    <row r="1032" spans="2:43" s="101" customFormat="1" ht="15.75" customHeight="1">
      <c r="B1032" s="104"/>
      <c r="C1032" s="104"/>
      <c r="D1032" s="104"/>
      <c r="E1032" s="104"/>
      <c r="F1032" s="104"/>
      <c r="G1032" s="104"/>
      <c r="H1032" s="104"/>
      <c r="I1032" s="104"/>
      <c r="J1032" s="104"/>
      <c r="K1032" s="104"/>
      <c r="L1032" s="104"/>
      <c r="O1032" s="55"/>
      <c r="P1032" s="55"/>
      <c r="R1032" s="105"/>
      <c r="S1032" s="105"/>
      <c r="T1032" s="105"/>
      <c r="U1032" s="105"/>
      <c r="V1032" s="105"/>
      <c r="W1032" s="105"/>
      <c r="X1032" s="59"/>
      <c r="Y1032" s="59"/>
      <c r="Z1032" s="59"/>
      <c r="AA1032" s="59"/>
      <c r="AB1032" s="59"/>
      <c r="AC1032" s="95"/>
      <c r="AD1032" s="96"/>
      <c r="AE1032" s="97"/>
      <c r="AF1032" s="97"/>
      <c r="AG1032" s="97"/>
      <c r="AH1032" s="97"/>
      <c r="AI1032" s="97"/>
      <c r="AJ1032" s="97"/>
      <c r="AK1032" s="97"/>
      <c r="AL1032" s="97"/>
      <c r="AM1032" s="97"/>
      <c r="AN1032" s="97"/>
      <c r="AO1032" s="97"/>
      <c r="AP1032" s="97"/>
      <c r="AQ1032" s="97"/>
    </row>
    <row r="1033" spans="2:43" s="101" customFormat="1" ht="15.75" customHeight="1">
      <c r="B1033" s="104"/>
      <c r="C1033" s="104"/>
      <c r="D1033" s="104"/>
      <c r="E1033" s="104"/>
      <c r="F1033" s="104"/>
      <c r="G1033" s="104"/>
      <c r="H1033" s="104"/>
      <c r="I1033" s="104"/>
      <c r="J1033" s="104"/>
      <c r="K1033" s="104"/>
      <c r="L1033" s="104"/>
      <c r="O1033" s="55"/>
      <c r="P1033" s="55"/>
      <c r="R1033" s="105"/>
      <c r="S1033" s="105"/>
      <c r="T1033" s="105"/>
      <c r="U1033" s="105"/>
      <c r="V1033" s="105"/>
      <c r="W1033" s="105"/>
      <c r="X1033" s="59"/>
      <c r="Y1033" s="59"/>
      <c r="Z1033" s="59"/>
      <c r="AA1033" s="59"/>
      <c r="AB1033" s="59"/>
      <c r="AC1033" s="95"/>
      <c r="AD1033" s="96"/>
      <c r="AE1033" s="97"/>
      <c r="AF1033" s="97"/>
      <c r="AG1033" s="97"/>
      <c r="AH1033" s="97"/>
      <c r="AI1033" s="97"/>
      <c r="AJ1033" s="97"/>
      <c r="AK1033" s="97"/>
      <c r="AL1033" s="97"/>
      <c r="AM1033" s="97"/>
      <c r="AN1033" s="97"/>
      <c r="AO1033" s="97"/>
      <c r="AP1033" s="97"/>
      <c r="AQ1033" s="97"/>
    </row>
    <row r="1034" spans="2:43" s="101" customFormat="1" ht="15.75" customHeight="1">
      <c r="B1034" s="104"/>
      <c r="C1034" s="104"/>
      <c r="D1034" s="104"/>
      <c r="E1034" s="104"/>
      <c r="F1034" s="104"/>
      <c r="G1034" s="104"/>
      <c r="H1034" s="104"/>
      <c r="I1034" s="104"/>
      <c r="J1034" s="104"/>
      <c r="K1034" s="104"/>
      <c r="L1034" s="104"/>
      <c r="O1034" s="55"/>
      <c r="P1034" s="55"/>
      <c r="R1034" s="105"/>
      <c r="S1034" s="105"/>
      <c r="T1034" s="105"/>
      <c r="U1034" s="105"/>
      <c r="V1034" s="105"/>
      <c r="W1034" s="105"/>
      <c r="X1034" s="59"/>
      <c r="Y1034" s="59"/>
      <c r="Z1034" s="59"/>
      <c r="AA1034" s="59"/>
      <c r="AB1034" s="59"/>
      <c r="AC1034" s="95"/>
      <c r="AD1034" s="96"/>
      <c r="AE1034" s="97"/>
      <c r="AF1034" s="97"/>
      <c r="AG1034" s="97"/>
      <c r="AH1034" s="97"/>
      <c r="AI1034" s="97"/>
      <c r="AJ1034" s="97"/>
      <c r="AK1034" s="97"/>
      <c r="AL1034" s="97"/>
      <c r="AM1034" s="97"/>
      <c r="AN1034" s="97"/>
      <c r="AO1034" s="97"/>
      <c r="AP1034" s="97"/>
      <c r="AQ1034" s="97"/>
    </row>
    <row r="1035" spans="2:43" s="101" customFormat="1" ht="15.75" customHeight="1">
      <c r="B1035" s="104"/>
      <c r="C1035" s="104"/>
      <c r="D1035" s="104"/>
      <c r="E1035" s="104"/>
      <c r="F1035" s="104"/>
      <c r="G1035" s="104"/>
      <c r="H1035" s="104"/>
      <c r="I1035" s="104"/>
      <c r="J1035" s="104"/>
      <c r="K1035" s="104"/>
      <c r="L1035" s="104"/>
      <c r="O1035" s="55"/>
      <c r="P1035" s="55"/>
      <c r="R1035" s="105"/>
      <c r="S1035" s="105"/>
      <c r="T1035" s="105"/>
      <c r="U1035" s="105"/>
      <c r="V1035" s="105"/>
      <c r="W1035" s="105"/>
      <c r="X1035" s="59"/>
      <c r="Y1035" s="59"/>
      <c r="Z1035" s="59"/>
      <c r="AA1035" s="59"/>
      <c r="AB1035" s="59"/>
      <c r="AC1035" s="95"/>
      <c r="AD1035" s="96"/>
      <c r="AE1035" s="97"/>
      <c r="AF1035" s="97"/>
      <c r="AG1035" s="97"/>
      <c r="AH1035" s="97"/>
      <c r="AI1035" s="97"/>
      <c r="AJ1035" s="97"/>
      <c r="AK1035" s="97"/>
      <c r="AL1035" s="97"/>
      <c r="AM1035" s="97"/>
      <c r="AN1035" s="97"/>
      <c r="AO1035" s="97"/>
      <c r="AP1035" s="97"/>
      <c r="AQ1035" s="97"/>
    </row>
    <row r="1036" spans="2:43" s="101" customFormat="1" ht="15.75" customHeight="1">
      <c r="B1036" s="104"/>
      <c r="C1036" s="104"/>
      <c r="D1036" s="104"/>
      <c r="E1036" s="104"/>
      <c r="F1036" s="104"/>
      <c r="G1036" s="104"/>
      <c r="H1036" s="104"/>
      <c r="I1036" s="104"/>
      <c r="J1036" s="104"/>
      <c r="K1036" s="104"/>
      <c r="L1036" s="104"/>
      <c r="O1036" s="55"/>
      <c r="P1036" s="55"/>
      <c r="R1036" s="105"/>
      <c r="S1036" s="105"/>
      <c r="T1036" s="105"/>
      <c r="U1036" s="105"/>
      <c r="V1036" s="105"/>
      <c r="W1036" s="105"/>
      <c r="X1036" s="59"/>
      <c r="Y1036" s="59"/>
      <c r="Z1036" s="59"/>
      <c r="AA1036" s="59"/>
      <c r="AB1036" s="59"/>
      <c r="AC1036" s="95"/>
      <c r="AD1036" s="96"/>
      <c r="AE1036" s="97"/>
      <c r="AF1036" s="97"/>
      <c r="AG1036" s="97"/>
      <c r="AH1036" s="97"/>
      <c r="AI1036" s="97"/>
      <c r="AJ1036" s="97"/>
      <c r="AK1036" s="97"/>
      <c r="AL1036" s="97"/>
      <c r="AM1036" s="97"/>
      <c r="AN1036" s="97"/>
      <c r="AO1036" s="97"/>
      <c r="AP1036" s="97"/>
      <c r="AQ1036" s="97"/>
    </row>
    <row r="1037" spans="2:43" s="101" customFormat="1" ht="15.75" customHeight="1">
      <c r="B1037" s="104"/>
      <c r="C1037" s="104"/>
      <c r="D1037" s="104"/>
      <c r="E1037" s="104"/>
      <c r="F1037" s="104"/>
      <c r="G1037" s="104"/>
      <c r="H1037" s="104"/>
      <c r="I1037" s="104"/>
      <c r="J1037" s="104"/>
      <c r="K1037" s="104"/>
      <c r="L1037" s="104"/>
      <c r="O1037" s="55"/>
      <c r="P1037" s="55"/>
      <c r="R1037" s="105"/>
      <c r="S1037" s="105"/>
      <c r="T1037" s="105"/>
      <c r="U1037" s="105"/>
      <c r="V1037" s="105"/>
      <c r="W1037" s="105"/>
      <c r="X1037" s="59"/>
      <c r="Y1037" s="59"/>
      <c r="Z1037" s="59"/>
      <c r="AA1037" s="59"/>
      <c r="AB1037" s="59"/>
      <c r="AC1037" s="95"/>
      <c r="AD1037" s="96"/>
      <c r="AE1037" s="97"/>
      <c r="AF1037" s="97"/>
      <c r="AG1037" s="97"/>
      <c r="AH1037" s="97"/>
      <c r="AI1037" s="97"/>
      <c r="AJ1037" s="97"/>
      <c r="AK1037" s="97"/>
      <c r="AL1037" s="97"/>
      <c r="AM1037" s="97"/>
      <c r="AN1037" s="97"/>
      <c r="AO1037" s="97"/>
      <c r="AP1037" s="97"/>
      <c r="AQ1037" s="97"/>
    </row>
    <row r="1038" spans="2:43" s="101" customFormat="1" ht="15.75" customHeight="1">
      <c r="B1038" s="104"/>
      <c r="C1038" s="104"/>
      <c r="D1038" s="104"/>
      <c r="E1038" s="104"/>
      <c r="F1038" s="104"/>
      <c r="G1038" s="104"/>
      <c r="H1038" s="104"/>
      <c r="I1038" s="104"/>
      <c r="J1038" s="104"/>
      <c r="K1038" s="104"/>
      <c r="L1038" s="104"/>
      <c r="O1038" s="55"/>
      <c r="P1038" s="55"/>
      <c r="R1038" s="105"/>
      <c r="S1038" s="105"/>
      <c r="T1038" s="105"/>
      <c r="U1038" s="105"/>
      <c r="V1038" s="105"/>
      <c r="W1038" s="105"/>
      <c r="X1038" s="59"/>
      <c r="Y1038" s="59"/>
      <c r="Z1038" s="59"/>
      <c r="AA1038" s="59"/>
      <c r="AB1038" s="59"/>
      <c r="AC1038" s="95"/>
      <c r="AD1038" s="96"/>
      <c r="AE1038" s="97"/>
      <c r="AF1038" s="97"/>
      <c r="AG1038" s="97"/>
      <c r="AH1038" s="97"/>
      <c r="AI1038" s="97"/>
      <c r="AJ1038" s="97"/>
      <c r="AK1038" s="97"/>
      <c r="AL1038" s="97"/>
      <c r="AM1038" s="97"/>
      <c r="AN1038" s="97"/>
      <c r="AO1038" s="97"/>
      <c r="AP1038" s="97"/>
      <c r="AQ1038" s="97"/>
    </row>
    <row r="1039" spans="2:43" s="101" customFormat="1" ht="15.75" customHeight="1">
      <c r="B1039" s="104"/>
      <c r="C1039" s="104"/>
      <c r="D1039" s="104"/>
      <c r="E1039" s="104"/>
      <c r="F1039" s="104"/>
      <c r="G1039" s="104"/>
      <c r="H1039" s="104"/>
      <c r="I1039" s="104"/>
      <c r="J1039" s="104"/>
      <c r="K1039" s="104"/>
      <c r="L1039" s="104"/>
      <c r="O1039" s="55"/>
      <c r="P1039" s="55"/>
      <c r="R1039" s="105"/>
      <c r="S1039" s="105"/>
      <c r="T1039" s="105"/>
      <c r="U1039" s="105"/>
      <c r="V1039" s="105"/>
      <c r="W1039" s="105"/>
      <c r="X1039" s="59"/>
      <c r="Y1039" s="59"/>
      <c r="Z1039" s="59"/>
      <c r="AA1039" s="59"/>
      <c r="AB1039" s="59"/>
      <c r="AC1039" s="95"/>
      <c r="AD1039" s="96"/>
      <c r="AE1039" s="97"/>
      <c r="AF1039" s="97"/>
      <c r="AG1039" s="97"/>
      <c r="AH1039" s="97"/>
      <c r="AI1039" s="97"/>
      <c r="AJ1039" s="97"/>
      <c r="AK1039" s="97"/>
      <c r="AL1039" s="97"/>
      <c r="AM1039" s="97"/>
      <c r="AN1039" s="97"/>
      <c r="AO1039" s="97"/>
      <c r="AP1039" s="97"/>
      <c r="AQ1039" s="97"/>
    </row>
    <row r="1040" spans="2:43" s="101" customFormat="1" ht="15.75" customHeight="1">
      <c r="B1040" s="104"/>
      <c r="C1040" s="104"/>
      <c r="D1040" s="104"/>
      <c r="E1040" s="104"/>
      <c r="F1040" s="104"/>
      <c r="G1040" s="104"/>
      <c r="H1040" s="104"/>
      <c r="I1040" s="104"/>
      <c r="J1040" s="104"/>
      <c r="K1040" s="104"/>
      <c r="L1040" s="104"/>
      <c r="O1040" s="55"/>
      <c r="P1040" s="55"/>
      <c r="R1040" s="105"/>
      <c r="S1040" s="105"/>
      <c r="T1040" s="105"/>
      <c r="U1040" s="105"/>
      <c r="V1040" s="105"/>
      <c r="W1040" s="105"/>
      <c r="X1040" s="59"/>
      <c r="Y1040" s="59"/>
      <c r="Z1040" s="59"/>
      <c r="AA1040" s="59"/>
      <c r="AB1040" s="59"/>
      <c r="AC1040" s="95"/>
      <c r="AD1040" s="96"/>
      <c r="AE1040" s="97"/>
      <c r="AF1040" s="97"/>
      <c r="AG1040" s="97"/>
      <c r="AH1040" s="97"/>
      <c r="AI1040" s="97"/>
      <c r="AJ1040" s="97"/>
      <c r="AK1040" s="97"/>
      <c r="AL1040" s="97"/>
      <c r="AM1040" s="97"/>
      <c r="AN1040" s="97"/>
      <c r="AO1040" s="97"/>
      <c r="AP1040" s="97"/>
      <c r="AQ1040" s="97"/>
    </row>
    <row r="1041" spans="2:43" s="101" customFormat="1" ht="15.75" customHeight="1">
      <c r="B1041" s="104"/>
      <c r="C1041" s="104"/>
      <c r="D1041" s="104"/>
      <c r="E1041" s="104"/>
      <c r="F1041" s="104"/>
      <c r="G1041" s="104"/>
      <c r="H1041" s="104"/>
      <c r="I1041" s="104"/>
      <c r="J1041" s="104"/>
      <c r="K1041" s="104"/>
      <c r="L1041" s="104"/>
      <c r="O1041" s="55"/>
      <c r="P1041" s="55"/>
      <c r="R1041" s="105"/>
      <c r="S1041" s="105"/>
      <c r="T1041" s="105"/>
      <c r="U1041" s="105"/>
      <c r="V1041" s="105"/>
      <c r="W1041" s="105"/>
      <c r="X1041" s="59"/>
      <c r="Y1041" s="59"/>
      <c r="Z1041" s="59"/>
      <c r="AA1041" s="59"/>
      <c r="AB1041" s="59"/>
      <c r="AC1041" s="95"/>
      <c r="AD1041" s="96"/>
      <c r="AE1041" s="97"/>
      <c r="AF1041" s="97"/>
      <c r="AG1041" s="97"/>
      <c r="AH1041" s="97"/>
      <c r="AI1041" s="97"/>
      <c r="AJ1041" s="97"/>
      <c r="AK1041" s="97"/>
      <c r="AL1041" s="97"/>
      <c r="AM1041" s="97"/>
      <c r="AN1041" s="97"/>
      <c r="AO1041" s="97"/>
      <c r="AP1041" s="97"/>
      <c r="AQ1041" s="97"/>
    </row>
    <row r="1042" spans="2:43" s="101" customFormat="1" ht="15.75" customHeight="1">
      <c r="B1042" s="104"/>
      <c r="C1042" s="104"/>
      <c r="D1042" s="104"/>
      <c r="E1042" s="104"/>
      <c r="F1042" s="104"/>
      <c r="G1042" s="104"/>
      <c r="H1042" s="104"/>
      <c r="I1042" s="104"/>
      <c r="J1042" s="104"/>
      <c r="K1042" s="104"/>
      <c r="L1042" s="104"/>
      <c r="O1042" s="55"/>
      <c r="P1042" s="55"/>
      <c r="R1042" s="105"/>
      <c r="S1042" s="105"/>
      <c r="T1042" s="105"/>
      <c r="U1042" s="105"/>
      <c r="V1042" s="105"/>
      <c r="W1042" s="105"/>
      <c r="X1042" s="59"/>
      <c r="Y1042" s="59"/>
      <c r="Z1042" s="59"/>
      <c r="AA1042" s="59"/>
      <c r="AB1042" s="59"/>
      <c r="AC1042" s="95"/>
      <c r="AD1042" s="96"/>
      <c r="AE1042" s="97"/>
      <c r="AF1042" s="97"/>
      <c r="AG1042" s="97"/>
      <c r="AH1042" s="97"/>
      <c r="AI1042" s="97"/>
      <c r="AJ1042" s="97"/>
      <c r="AK1042" s="97"/>
      <c r="AL1042" s="97"/>
      <c r="AM1042" s="97"/>
      <c r="AN1042" s="97"/>
      <c r="AO1042" s="97"/>
      <c r="AP1042" s="97"/>
      <c r="AQ1042" s="97"/>
    </row>
    <row r="1043" spans="2:43" s="101" customFormat="1" ht="15.75" customHeight="1">
      <c r="B1043" s="104"/>
      <c r="C1043" s="104"/>
      <c r="D1043" s="104"/>
      <c r="E1043" s="104"/>
      <c r="F1043" s="104"/>
      <c r="G1043" s="104"/>
      <c r="H1043" s="104"/>
      <c r="I1043" s="104"/>
      <c r="J1043" s="104"/>
      <c r="K1043" s="104"/>
      <c r="L1043" s="104"/>
      <c r="O1043" s="55"/>
      <c r="P1043" s="55"/>
      <c r="R1043" s="105"/>
      <c r="S1043" s="105"/>
      <c r="T1043" s="105"/>
      <c r="U1043" s="105"/>
      <c r="V1043" s="105"/>
      <c r="W1043" s="105"/>
      <c r="X1043" s="59"/>
      <c r="Y1043" s="59"/>
      <c r="Z1043" s="59"/>
      <c r="AA1043" s="59"/>
      <c r="AB1043" s="59"/>
      <c r="AC1043" s="95"/>
      <c r="AD1043" s="96"/>
      <c r="AE1043" s="97"/>
      <c r="AF1043" s="97"/>
      <c r="AG1043" s="97"/>
      <c r="AH1043" s="97"/>
      <c r="AI1043" s="97"/>
      <c r="AJ1043" s="97"/>
      <c r="AK1043" s="97"/>
      <c r="AL1043" s="97"/>
      <c r="AM1043" s="97"/>
      <c r="AN1043" s="97"/>
      <c r="AO1043" s="97"/>
      <c r="AP1043" s="97"/>
      <c r="AQ1043" s="97"/>
    </row>
    <row r="1044" spans="2:43" s="101" customFormat="1" ht="15.75" customHeight="1">
      <c r="B1044" s="104"/>
      <c r="C1044" s="104"/>
      <c r="D1044" s="104"/>
      <c r="E1044" s="104"/>
      <c r="F1044" s="104"/>
      <c r="G1044" s="104"/>
      <c r="H1044" s="104"/>
      <c r="I1044" s="104"/>
      <c r="J1044" s="104"/>
      <c r="K1044" s="104"/>
      <c r="L1044" s="104"/>
      <c r="O1044" s="55"/>
      <c r="P1044" s="55"/>
      <c r="R1044" s="105"/>
      <c r="S1044" s="105"/>
      <c r="T1044" s="105"/>
      <c r="U1044" s="105"/>
      <c r="V1044" s="105"/>
      <c r="W1044" s="105"/>
      <c r="X1044" s="59"/>
      <c r="Y1044" s="59"/>
      <c r="Z1044" s="59"/>
      <c r="AA1044" s="59"/>
      <c r="AB1044" s="59"/>
      <c r="AC1044" s="95"/>
      <c r="AD1044" s="96"/>
      <c r="AE1044" s="97"/>
      <c r="AF1044" s="97"/>
      <c r="AG1044" s="97"/>
      <c r="AH1044" s="97"/>
      <c r="AI1044" s="97"/>
      <c r="AJ1044" s="97"/>
      <c r="AK1044" s="97"/>
      <c r="AL1044" s="97"/>
      <c r="AM1044" s="97"/>
      <c r="AN1044" s="97"/>
      <c r="AO1044" s="97"/>
      <c r="AP1044" s="97"/>
      <c r="AQ1044" s="97"/>
    </row>
    <row r="1045" spans="2:43" s="101" customFormat="1" ht="15.75" customHeight="1">
      <c r="B1045" s="104"/>
      <c r="C1045" s="104"/>
      <c r="D1045" s="104"/>
      <c r="E1045" s="104"/>
      <c r="F1045" s="104"/>
      <c r="G1045" s="104"/>
      <c r="H1045" s="104"/>
      <c r="I1045" s="104"/>
      <c r="J1045" s="104"/>
      <c r="K1045" s="104"/>
      <c r="L1045" s="104"/>
      <c r="O1045" s="55"/>
      <c r="P1045" s="55"/>
      <c r="R1045" s="105"/>
      <c r="S1045" s="105"/>
      <c r="T1045" s="105"/>
      <c r="U1045" s="105"/>
      <c r="V1045" s="105"/>
      <c r="W1045" s="105"/>
      <c r="X1045" s="59"/>
      <c r="Y1045" s="59"/>
      <c r="Z1045" s="59"/>
      <c r="AA1045" s="59"/>
      <c r="AB1045" s="59"/>
      <c r="AC1045" s="95"/>
      <c r="AD1045" s="96"/>
      <c r="AE1045" s="97"/>
      <c r="AF1045" s="97"/>
      <c r="AG1045" s="97"/>
      <c r="AH1045" s="97"/>
      <c r="AI1045" s="97"/>
      <c r="AJ1045" s="97"/>
      <c r="AK1045" s="97"/>
      <c r="AL1045" s="97"/>
      <c r="AM1045" s="97"/>
      <c r="AN1045" s="97"/>
      <c r="AO1045" s="97"/>
      <c r="AP1045" s="97"/>
      <c r="AQ1045" s="97"/>
    </row>
    <row r="1046" spans="2:43" s="101" customFormat="1" ht="15.75" customHeight="1">
      <c r="B1046" s="104"/>
      <c r="C1046" s="104"/>
      <c r="D1046" s="104"/>
      <c r="E1046" s="104"/>
      <c r="F1046" s="104"/>
      <c r="G1046" s="104"/>
      <c r="H1046" s="104"/>
      <c r="I1046" s="104"/>
      <c r="J1046" s="104"/>
      <c r="K1046" s="104"/>
      <c r="L1046" s="104"/>
      <c r="O1046" s="55"/>
      <c r="P1046" s="55"/>
      <c r="R1046" s="105"/>
      <c r="S1046" s="105"/>
      <c r="T1046" s="105"/>
      <c r="U1046" s="105"/>
      <c r="V1046" s="105"/>
      <c r="W1046" s="105"/>
      <c r="X1046" s="59"/>
      <c r="Y1046" s="59"/>
      <c r="Z1046" s="59"/>
      <c r="AA1046" s="59"/>
      <c r="AB1046" s="59"/>
      <c r="AC1046" s="95"/>
      <c r="AD1046" s="96"/>
      <c r="AE1046" s="97"/>
      <c r="AF1046" s="97"/>
      <c r="AG1046" s="97"/>
      <c r="AH1046" s="97"/>
      <c r="AI1046" s="97"/>
      <c r="AJ1046" s="97"/>
      <c r="AK1046" s="97"/>
      <c r="AL1046" s="97"/>
      <c r="AM1046" s="97"/>
      <c r="AN1046" s="97"/>
      <c r="AO1046" s="97"/>
      <c r="AP1046" s="97"/>
      <c r="AQ1046" s="97"/>
    </row>
    <row r="1047" spans="2:43" s="101" customFormat="1" ht="15.75" customHeight="1">
      <c r="B1047" s="104"/>
      <c r="C1047" s="104"/>
      <c r="D1047" s="104"/>
      <c r="E1047" s="104"/>
      <c r="F1047" s="104"/>
      <c r="G1047" s="104"/>
      <c r="H1047" s="104"/>
      <c r="I1047" s="104"/>
      <c r="J1047" s="104"/>
      <c r="K1047" s="104"/>
      <c r="L1047" s="104"/>
      <c r="O1047" s="55"/>
      <c r="P1047" s="55"/>
      <c r="R1047" s="105"/>
      <c r="S1047" s="105"/>
      <c r="T1047" s="105"/>
      <c r="U1047" s="105"/>
      <c r="V1047" s="105"/>
      <c r="W1047" s="105"/>
      <c r="X1047" s="59"/>
      <c r="Y1047" s="59"/>
      <c r="Z1047" s="59"/>
      <c r="AA1047" s="59"/>
      <c r="AB1047" s="59"/>
      <c r="AC1047" s="95"/>
      <c r="AD1047" s="96"/>
      <c r="AE1047" s="97"/>
      <c r="AF1047" s="97"/>
      <c r="AG1047" s="97"/>
      <c r="AH1047" s="97"/>
      <c r="AI1047" s="97"/>
      <c r="AJ1047" s="97"/>
      <c r="AK1047" s="97"/>
      <c r="AL1047" s="97"/>
      <c r="AM1047" s="97"/>
      <c r="AN1047" s="97"/>
      <c r="AO1047" s="97"/>
      <c r="AP1047" s="97"/>
      <c r="AQ1047" s="97"/>
    </row>
    <row r="1048" spans="2:43" s="101" customFormat="1" ht="15.75" customHeight="1">
      <c r="B1048" s="104"/>
      <c r="C1048" s="104"/>
      <c r="D1048" s="104"/>
      <c r="E1048" s="104"/>
      <c r="F1048" s="104"/>
      <c r="G1048" s="104"/>
      <c r="H1048" s="104"/>
      <c r="I1048" s="104"/>
      <c r="J1048" s="104"/>
      <c r="K1048" s="104"/>
      <c r="L1048" s="104"/>
      <c r="O1048" s="55"/>
      <c r="P1048" s="55"/>
      <c r="R1048" s="105"/>
      <c r="S1048" s="105"/>
      <c r="T1048" s="105"/>
      <c r="U1048" s="105"/>
      <c r="V1048" s="105"/>
      <c r="W1048" s="105"/>
      <c r="X1048" s="59"/>
      <c r="Y1048" s="59"/>
      <c r="Z1048" s="59"/>
      <c r="AA1048" s="59"/>
      <c r="AB1048" s="59"/>
      <c r="AC1048" s="95"/>
      <c r="AD1048" s="96"/>
      <c r="AE1048" s="97"/>
      <c r="AF1048" s="97"/>
      <c r="AG1048" s="97"/>
      <c r="AH1048" s="97"/>
      <c r="AI1048" s="97"/>
      <c r="AJ1048" s="97"/>
      <c r="AK1048" s="97"/>
      <c r="AL1048" s="97"/>
      <c r="AM1048" s="97"/>
      <c r="AN1048" s="97"/>
      <c r="AO1048" s="97"/>
      <c r="AP1048" s="97"/>
      <c r="AQ1048" s="97"/>
    </row>
    <row r="1049" spans="2:43" s="101" customFormat="1" ht="15.75" customHeight="1">
      <c r="B1049" s="104"/>
      <c r="C1049" s="104"/>
      <c r="D1049" s="104"/>
      <c r="E1049" s="104"/>
      <c r="F1049" s="104"/>
      <c r="G1049" s="104"/>
      <c r="H1049" s="104"/>
      <c r="I1049" s="104"/>
      <c r="J1049" s="104"/>
      <c r="K1049" s="104"/>
      <c r="L1049" s="104"/>
      <c r="O1049" s="55"/>
      <c r="P1049" s="55"/>
      <c r="R1049" s="105"/>
      <c r="S1049" s="105"/>
      <c r="T1049" s="105"/>
      <c r="U1049" s="105"/>
      <c r="V1049" s="105"/>
      <c r="W1049" s="105"/>
      <c r="X1049" s="59"/>
      <c r="Y1049" s="59"/>
      <c r="Z1049" s="59"/>
      <c r="AA1049" s="59"/>
      <c r="AB1049" s="59"/>
      <c r="AC1049" s="95"/>
      <c r="AD1049" s="96"/>
      <c r="AE1049" s="97"/>
      <c r="AF1049" s="97"/>
      <c r="AG1049" s="97"/>
      <c r="AH1049" s="97"/>
      <c r="AI1049" s="97"/>
      <c r="AJ1049" s="97"/>
      <c r="AK1049" s="97"/>
      <c r="AL1049" s="97"/>
      <c r="AM1049" s="97"/>
      <c r="AN1049" s="97"/>
      <c r="AO1049" s="97"/>
      <c r="AP1049" s="97"/>
      <c r="AQ1049" s="97"/>
    </row>
    <row r="1050" spans="2:43" s="101" customFormat="1" ht="15.75" customHeight="1">
      <c r="B1050" s="104"/>
      <c r="C1050" s="104"/>
      <c r="D1050" s="104"/>
      <c r="E1050" s="104"/>
      <c r="F1050" s="104"/>
      <c r="G1050" s="104"/>
      <c r="H1050" s="104"/>
      <c r="I1050" s="104"/>
      <c r="J1050" s="104"/>
      <c r="K1050" s="104"/>
      <c r="L1050" s="104"/>
      <c r="O1050" s="55"/>
      <c r="P1050" s="55"/>
      <c r="R1050" s="105"/>
      <c r="S1050" s="105"/>
      <c r="T1050" s="105"/>
      <c r="U1050" s="105"/>
      <c r="V1050" s="105"/>
      <c r="W1050" s="105"/>
      <c r="X1050" s="59"/>
      <c r="Y1050" s="59"/>
      <c r="Z1050" s="59"/>
      <c r="AA1050" s="59"/>
      <c r="AB1050" s="59"/>
      <c r="AC1050" s="95"/>
      <c r="AD1050" s="96"/>
      <c r="AE1050" s="97"/>
      <c r="AF1050" s="97"/>
      <c r="AG1050" s="97"/>
      <c r="AH1050" s="97"/>
      <c r="AI1050" s="97"/>
      <c r="AJ1050" s="97"/>
      <c r="AK1050" s="97"/>
      <c r="AL1050" s="97"/>
      <c r="AM1050" s="97"/>
      <c r="AN1050" s="97"/>
      <c r="AO1050" s="97"/>
      <c r="AP1050" s="97"/>
      <c r="AQ1050" s="97"/>
    </row>
    <row r="1051" spans="2:43" s="101" customFormat="1" ht="15.75" customHeight="1">
      <c r="B1051" s="104"/>
      <c r="C1051" s="104"/>
      <c r="D1051" s="104"/>
      <c r="E1051" s="104"/>
      <c r="F1051" s="104"/>
      <c r="G1051" s="104"/>
      <c r="H1051" s="104"/>
      <c r="I1051" s="104"/>
      <c r="J1051" s="104"/>
      <c r="K1051" s="104"/>
      <c r="L1051" s="104"/>
      <c r="O1051" s="55"/>
      <c r="P1051" s="55"/>
      <c r="R1051" s="105"/>
      <c r="S1051" s="105"/>
      <c r="T1051" s="105"/>
      <c r="U1051" s="105"/>
      <c r="V1051" s="105"/>
      <c r="W1051" s="105"/>
      <c r="X1051" s="59"/>
      <c r="Y1051" s="59"/>
      <c r="Z1051" s="59"/>
      <c r="AA1051" s="59"/>
      <c r="AB1051" s="59"/>
      <c r="AC1051" s="95"/>
      <c r="AD1051" s="96"/>
      <c r="AE1051" s="97"/>
      <c r="AF1051" s="97"/>
      <c r="AG1051" s="97"/>
      <c r="AH1051" s="97"/>
      <c r="AI1051" s="97"/>
      <c r="AJ1051" s="97"/>
      <c r="AK1051" s="97"/>
      <c r="AL1051" s="97"/>
      <c r="AM1051" s="97"/>
      <c r="AN1051" s="97"/>
      <c r="AO1051" s="97"/>
      <c r="AP1051" s="97"/>
      <c r="AQ1051" s="97"/>
    </row>
    <row r="1052" spans="2:43" s="101" customFormat="1" ht="15.75" customHeight="1">
      <c r="B1052" s="104"/>
      <c r="C1052" s="104"/>
      <c r="D1052" s="104"/>
      <c r="E1052" s="104"/>
      <c r="F1052" s="104"/>
      <c r="G1052" s="104"/>
      <c r="H1052" s="104"/>
      <c r="I1052" s="104"/>
      <c r="J1052" s="104"/>
      <c r="K1052" s="104"/>
      <c r="L1052" s="104"/>
      <c r="O1052" s="55"/>
      <c r="P1052" s="55"/>
      <c r="R1052" s="105"/>
      <c r="S1052" s="105"/>
      <c r="T1052" s="105"/>
      <c r="U1052" s="105"/>
      <c r="V1052" s="105"/>
      <c r="W1052" s="105"/>
      <c r="X1052" s="59"/>
      <c r="Y1052" s="59"/>
      <c r="Z1052" s="59"/>
      <c r="AA1052" s="59"/>
      <c r="AB1052" s="59"/>
      <c r="AC1052" s="95"/>
      <c r="AD1052" s="96"/>
      <c r="AE1052" s="97"/>
      <c r="AF1052" s="97"/>
      <c r="AG1052" s="97"/>
      <c r="AH1052" s="97"/>
      <c r="AI1052" s="97"/>
      <c r="AJ1052" s="97"/>
      <c r="AK1052" s="97"/>
      <c r="AL1052" s="97"/>
      <c r="AM1052" s="97"/>
      <c r="AN1052" s="97"/>
      <c r="AO1052" s="97"/>
      <c r="AP1052" s="97"/>
      <c r="AQ1052" s="97"/>
    </row>
    <row r="1053" spans="2:43" s="101" customFormat="1" ht="15.75" customHeight="1">
      <c r="B1053" s="104"/>
      <c r="C1053" s="104"/>
      <c r="D1053" s="104"/>
      <c r="E1053" s="104"/>
      <c r="F1053" s="104"/>
      <c r="G1053" s="104"/>
      <c r="H1053" s="104"/>
      <c r="I1053" s="104"/>
      <c r="J1053" s="104"/>
      <c r="K1053" s="104"/>
      <c r="L1053" s="104"/>
      <c r="O1053" s="55"/>
      <c r="P1053" s="55"/>
      <c r="R1053" s="105"/>
      <c r="S1053" s="105"/>
      <c r="T1053" s="105"/>
      <c r="U1053" s="105"/>
      <c r="V1053" s="105"/>
      <c r="W1053" s="105"/>
      <c r="X1053" s="59"/>
      <c r="Y1053" s="59"/>
      <c r="Z1053" s="59"/>
      <c r="AA1053" s="59"/>
      <c r="AB1053" s="59"/>
      <c r="AC1053" s="95"/>
      <c r="AD1053" s="96"/>
      <c r="AE1053" s="97"/>
      <c r="AF1053" s="97"/>
      <c r="AG1053" s="97"/>
      <c r="AH1053" s="97"/>
      <c r="AI1053" s="97"/>
      <c r="AJ1053" s="97"/>
      <c r="AK1053" s="97"/>
      <c r="AL1053" s="97"/>
      <c r="AM1053" s="97"/>
      <c r="AN1053" s="97"/>
      <c r="AO1053" s="97"/>
      <c r="AP1053" s="97"/>
      <c r="AQ1053" s="97"/>
    </row>
    <row r="1054" spans="2:43" s="101" customFormat="1" ht="15.75" customHeight="1">
      <c r="B1054" s="104"/>
      <c r="C1054" s="104"/>
      <c r="D1054" s="104"/>
      <c r="E1054" s="104"/>
      <c r="F1054" s="104"/>
      <c r="G1054" s="104"/>
      <c r="H1054" s="104"/>
      <c r="I1054" s="104"/>
      <c r="J1054" s="104"/>
      <c r="K1054" s="104"/>
      <c r="L1054" s="104"/>
      <c r="O1054" s="55"/>
      <c r="P1054" s="55"/>
      <c r="R1054" s="105"/>
      <c r="S1054" s="105"/>
      <c r="T1054" s="105"/>
      <c r="U1054" s="105"/>
      <c r="V1054" s="105"/>
      <c r="W1054" s="105"/>
      <c r="X1054" s="59"/>
      <c r="Y1054" s="59"/>
      <c r="Z1054" s="59"/>
      <c r="AA1054" s="59"/>
      <c r="AB1054" s="59"/>
      <c r="AC1054" s="95"/>
      <c r="AD1054" s="96"/>
      <c r="AE1054" s="97"/>
      <c r="AF1054" s="97"/>
      <c r="AG1054" s="97"/>
      <c r="AH1054" s="97"/>
      <c r="AI1054" s="97"/>
      <c r="AJ1054" s="97"/>
      <c r="AK1054" s="97"/>
      <c r="AL1054" s="97"/>
      <c r="AM1054" s="97"/>
      <c r="AN1054" s="97"/>
      <c r="AO1054" s="97"/>
      <c r="AP1054" s="97"/>
      <c r="AQ1054" s="97"/>
    </row>
    <row r="1055" spans="2:43" s="101" customFormat="1" ht="15.75" customHeight="1">
      <c r="B1055" s="104"/>
      <c r="C1055" s="104"/>
      <c r="D1055" s="104"/>
      <c r="E1055" s="104"/>
      <c r="F1055" s="104"/>
      <c r="G1055" s="104"/>
      <c r="H1055" s="104"/>
      <c r="I1055" s="104"/>
      <c r="J1055" s="104"/>
      <c r="K1055" s="104"/>
      <c r="L1055" s="104"/>
      <c r="O1055" s="55"/>
      <c r="P1055" s="55"/>
      <c r="R1055" s="105"/>
      <c r="S1055" s="105"/>
      <c r="T1055" s="105"/>
      <c r="U1055" s="105"/>
      <c r="V1055" s="105"/>
      <c r="W1055" s="105"/>
      <c r="X1055" s="59"/>
      <c r="Y1055" s="59"/>
      <c r="Z1055" s="59"/>
      <c r="AA1055" s="59"/>
      <c r="AB1055" s="59"/>
      <c r="AC1055" s="95"/>
      <c r="AD1055" s="96"/>
      <c r="AE1055" s="97"/>
      <c r="AF1055" s="97"/>
      <c r="AG1055" s="97"/>
      <c r="AH1055" s="97"/>
      <c r="AI1055" s="97"/>
      <c r="AJ1055" s="97"/>
      <c r="AK1055" s="97"/>
      <c r="AL1055" s="97"/>
      <c r="AM1055" s="97"/>
      <c r="AN1055" s="97"/>
      <c r="AO1055" s="97"/>
      <c r="AP1055" s="97"/>
      <c r="AQ1055" s="97"/>
    </row>
    <row r="1056" spans="2:43" s="101" customFormat="1" ht="15.75" customHeight="1">
      <c r="B1056" s="104"/>
      <c r="C1056" s="104"/>
      <c r="D1056" s="104"/>
      <c r="E1056" s="104"/>
      <c r="F1056" s="104"/>
      <c r="G1056" s="104"/>
      <c r="H1056" s="104"/>
      <c r="I1056" s="104"/>
      <c r="J1056" s="104"/>
      <c r="K1056" s="104"/>
      <c r="L1056" s="104"/>
      <c r="O1056" s="55"/>
      <c r="P1056" s="55"/>
      <c r="R1056" s="105"/>
      <c r="S1056" s="105"/>
      <c r="T1056" s="105"/>
      <c r="U1056" s="105"/>
      <c r="V1056" s="105"/>
      <c r="W1056" s="105"/>
      <c r="X1056" s="59"/>
      <c r="Y1056" s="59"/>
      <c r="Z1056" s="59"/>
      <c r="AA1056" s="59"/>
      <c r="AB1056" s="59"/>
      <c r="AC1056" s="95"/>
      <c r="AD1056" s="96"/>
      <c r="AE1056" s="97"/>
      <c r="AF1056" s="97"/>
      <c r="AG1056" s="97"/>
      <c r="AH1056" s="97"/>
      <c r="AI1056" s="97"/>
      <c r="AJ1056" s="97"/>
      <c r="AK1056" s="97"/>
      <c r="AL1056" s="97"/>
      <c r="AM1056" s="97"/>
      <c r="AN1056" s="97"/>
      <c r="AO1056" s="97"/>
      <c r="AP1056" s="97"/>
      <c r="AQ1056" s="97"/>
    </row>
    <row r="1057" spans="2:43" s="101" customFormat="1" ht="15.75" customHeight="1">
      <c r="B1057" s="104"/>
      <c r="C1057" s="104"/>
      <c r="D1057" s="104"/>
      <c r="E1057" s="104"/>
      <c r="F1057" s="104"/>
      <c r="G1057" s="104"/>
      <c r="H1057" s="104"/>
      <c r="I1057" s="104"/>
      <c r="J1057" s="104"/>
      <c r="K1057" s="104"/>
      <c r="L1057" s="104"/>
      <c r="O1057" s="55"/>
      <c r="P1057" s="55"/>
      <c r="R1057" s="105"/>
      <c r="S1057" s="105"/>
      <c r="T1057" s="105"/>
      <c r="U1057" s="105"/>
      <c r="V1057" s="105"/>
      <c r="W1057" s="105"/>
      <c r="X1057" s="59"/>
      <c r="Y1057" s="59"/>
      <c r="Z1057" s="59"/>
      <c r="AA1057" s="59"/>
      <c r="AB1057" s="59"/>
      <c r="AC1057" s="95"/>
      <c r="AD1057" s="96"/>
      <c r="AE1057" s="97"/>
      <c r="AF1057" s="97"/>
      <c r="AG1057" s="97"/>
      <c r="AH1057" s="97"/>
      <c r="AI1057" s="97"/>
      <c r="AJ1057" s="97"/>
      <c r="AK1057" s="97"/>
      <c r="AL1057" s="97"/>
      <c r="AM1057" s="97"/>
      <c r="AN1057" s="97"/>
      <c r="AO1057" s="97"/>
      <c r="AP1057" s="97"/>
      <c r="AQ1057" s="97"/>
    </row>
    <row r="1058" spans="2:43" s="101" customFormat="1" ht="15.75" customHeight="1">
      <c r="B1058" s="104"/>
      <c r="C1058" s="104"/>
      <c r="D1058" s="104"/>
      <c r="E1058" s="104"/>
      <c r="F1058" s="104"/>
      <c r="G1058" s="104"/>
      <c r="H1058" s="104"/>
      <c r="I1058" s="104"/>
      <c r="J1058" s="104"/>
      <c r="K1058" s="104"/>
      <c r="L1058" s="104"/>
      <c r="O1058" s="55"/>
      <c r="P1058" s="55"/>
      <c r="R1058" s="105"/>
      <c r="S1058" s="105"/>
      <c r="T1058" s="105"/>
      <c r="U1058" s="105"/>
      <c r="V1058" s="105"/>
      <c r="W1058" s="105"/>
      <c r="X1058" s="59"/>
      <c r="Y1058" s="59"/>
      <c r="Z1058" s="59"/>
      <c r="AA1058" s="59"/>
      <c r="AB1058" s="59"/>
      <c r="AC1058" s="95"/>
      <c r="AD1058" s="96"/>
      <c r="AE1058" s="97"/>
      <c r="AF1058" s="97"/>
      <c r="AG1058" s="97"/>
      <c r="AH1058" s="97"/>
      <c r="AI1058" s="97"/>
      <c r="AJ1058" s="97"/>
      <c r="AK1058" s="97"/>
      <c r="AL1058" s="97"/>
      <c r="AM1058" s="97"/>
      <c r="AN1058" s="97"/>
      <c r="AO1058" s="97"/>
      <c r="AP1058" s="97"/>
      <c r="AQ1058" s="97"/>
    </row>
    <row r="1059" spans="2:43" s="101" customFormat="1" ht="15.75" customHeight="1">
      <c r="B1059" s="104"/>
      <c r="C1059" s="104"/>
      <c r="D1059" s="104"/>
      <c r="E1059" s="104"/>
      <c r="F1059" s="104"/>
      <c r="G1059" s="104"/>
      <c r="H1059" s="104"/>
      <c r="I1059" s="104"/>
      <c r="J1059" s="104"/>
      <c r="K1059" s="104"/>
      <c r="L1059" s="104"/>
      <c r="O1059" s="55"/>
      <c r="P1059" s="55"/>
      <c r="R1059" s="105"/>
      <c r="S1059" s="105"/>
      <c r="T1059" s="105"/>
      <c r="U1059" s="105"/>
      <c r="V1059" s="105"/>
      <c r="W1059" s="105"/>
      <c r="X1059" s="59"/>
      <c r="Y1059" s="59"/>
      <c r="Z1059" s="59"/>
      <c r="AA1059" s="59"/>
      <c r="AB1059" s="59"/>
      <c r="AC1059" s="95"/>
      <c r="AD1059" s="96"/>
      <c r="AE1059" s="97"/>
      <c r="AF1059" s="97"/>
      <c r="AG1059" s="97"/>
      <c r="AH1059" s="97"/>
      <c r="AI1059" s="97"/>
      <c r="AJ1059" s="97"/>
      <c r="AK1059" s="97"/>
      <c r="AL1059" s="97"/>
      <c r="AM1059" s="97"/>
      <c r="AN1059" s="97"/>
      <c r="AO1059" s="97"/>
      <c r="AP1059" s="97"/>
      <c r="AQ1059" s="97"/>
    </row>
    <row r="1060" spans="2:43" s="101" customFormat="1" ht="15.75" customHeight="1">
      <c r="B1060" s="104"/>
      <c r="C1060" s="104"/>
      <c r="D1060" s="104"/>
      <c r="E1060" s="104"/>
      <c r="F1060" s="104"/>
      <c r="G1060" s="104"/>
      <c r="H1060" s="104"/>
      <c r="I1060" s="104"/>
      <c r="J1060" s="104"/>
      <c r="K1060" s="104"/>
      <c r="L1060" s="104"/>
      <c r="O1060" s="55"/>
      <c r="P1060" s="55"/>
      <c r="R1060" s="105"/>
      <c r="S1060" s="105"/>
      <c r="T1060" s="105"/>
      <c r="U1060" s="105"/>
      <c r="V1060" s="105"/>
      <c r="W1060" s="105"/>
      <c r="X1060" s="59"/>
      <c r="Y1060" s="59"/>
      <c r="Z1060" s="59"/>
      <c r="AA1060" s="59"/>
      <c r="AB1060" s="59"/>
      <c r="AC1060" s="95"/>
      <c r="AD1060" s="96"/>
      <c r="AE1060" s="97"/>
      <c r="AF1060" s="97"/>
      <c r="AG1060" s="97"/>
      <c r="AH1060" s="97"/>
      <c r="AI1060" s="97"/>
      <c r="AJ1060" s="97"/>
      <c r="AK1060" s="97"/>
      <c r="AL1060" s="97"/>
      <c r="AM1060" s="97"/>
      <c r="AN1060" s="97"/>
      <c r="AO1060" s="97"/>
      <c r="AP1060" s="97"/>
      <c r="AQ1060" s="97"/>
    </row>
    <row r="1061" spans="2:43" s="101" customFormat="1" ht="15.75" customHeight="1">
      <c r="B1061" s="104"/>
      <c r="C1061" s="104"/>
      <c r="D1061" s="104"/>
      <c r="E1061" s="104"/>
      <c r="F1061" s="104"/>
      <c r="G1061" s="104"/>
      <c r="H1061" s="104"/>
      <c r="I1061" s="104"/>
      <c r="J1061" s="104"/>
      <c r="K1061" s="104"/>
      <c r="L1061" s="104"/>
      <c r="O1061" s="55"/>
      <c r="P1061" s="55"/>
      <c r="R1061" s="105"/>
      <c r="S1061" s="105"/>
      <c r="T1061" s="105"/>
      <c r="U1061" s="105"/>
      <c r="V1061" s="105"/>
      <c r="W1061" s="105"/>
      <c r="X1061" s="59"/>
      <c r="Y1061" s="59"/>
      <c r="Z1061" s="59"/>
      <c r="AA1061" s="59"/>
      <c r="AB1061" s="59"/>
      <c r="AC1061" s="95"/>
      <c r="AD1061" s="96"/>
      <c r="AE1061" s="97"/>
      <c r="AF1061" s="97"/>
      <c r="AG1061" s="97"/>
      <c r="AH1061" s="97"/>
      <c r="AI1061" s="97"/>
      <c r="AJ1061" s="97"/>
      <c r="AK1061" s="97"/>
      <c r="AL1061" s="97"/>
      <c r="AM1061" s="97"/>
      <c r="AN1061" s="97"/>
      <c r="AO1061" s="97"/>
      <c r="AP1061" s="97"/>
      <c r="AQ1061" s="97"/>
    </row>
    <row r="1062" spans="2:43" s="101" customFormat="1" ht="15.75" customHeight="1">
      <c r="B1062" s="104"/>
      <c r="C1062" s="104"/>
      <c r="D1062" s="104"/>
      <c r="E1062" s="104"/>
      <c r="F1062" s="104"/>
      <c r="G1062" s="104"/>
      <c r="H1062" s="104"/>
      <c r="I1062" s="104"/>
      <c r="J1062" s="104"/>
      <c r="K1062" s="104"/>
      <c r="L1062" s="104"/>
      <c r="O1062" s="55"/>
      <c r="P1062" s="55"/>
      <c r="R1062" s="105"/>
      <c r="S1062" s="105"/>
      <c r="T1062" s="105"/>
      <c r="U1062" s="105"/>
      <c r="V1062" s="105"/>
      <c r="W1062" s="105"/>
      <c r="X1062" s="59"/>
      <c r="Y1062" s="59"/>
      <c r="Z1062" s="59"/>
      <c r="AA1062" s="59"/>
      <c r="AB1062" s="59"/>
      <c r="AC1062" s="95"/>
      <c r="AD1062" s="96"/>
      <c r="AE1062" s="97"/>
      <c r="AF1062" s="97"/>
      <c r="AG1062" s="97"/>
      <c r="AH1062" s="97"/>
      <c r="AI1062" s="97"/>
      <c r="AJ1062" s="97"/>
      <c r="AK1062" s="97"/>
      <c r="AL1062" s="97"/>
      <c r="AM1062" s="97"/>
      <c r="AN1062" s="97"/>
      <c r="AO1062" s="97"/>
      <c r="AP1062" s="97"/>
      <c r="AQ1062" s="97"/>
    </row>
    <row r="1063" spans="2:43" s="101" customFormat="1" ht="15.75" customHeight="1">
      <c r="B1063" s="104"/>
      <c r="C1063" s="104"/>
      <c r="D1063" s="104"/>
      <c r="E1063" s="104"/>
      <c r="F1063" s="104"/>
      <c r="G1063" s="104"/>
      <c r="H1063" s="104"/>
      <c r="I1063" s="104"/>
      <c r="J1063" s="104"/>
      <c r="K1063" s="104"/>
      <c r="L1063" s="104"/>
      <c r="P1063" s="55"/>
      <c r="R1063" s="105"/>
      <c r="S1063" s="105"/>
      <c r="T1063" s="105"/>
      <c r="U1063" s="105"/>
      <c r="V1063" s="105"/>
      <c r="W1063" s="105"/>
      <c r="X1063" s="59"/>
      <c r="Y1063" s="59"/>
      <c r="Z1063" s="59"/>
      <c r="AA1063" s="59"/>
      <c r="AB1063" s="59"/>
      <c r="AC1063" s="95"/>
      <c r="AD1063" s="96"/>
      <c r="AE1063" s="97"/>
      <c r="AF1063" s="97"/>
      <c r="AG1063" s="97"/>
      <c r="AH1063" s="97"/>
      <c r="AI1063" s="97"/>
      <c r="AJ1063" s="97"/>
      <c r="AK1063" s="97"/>
      <c r="AL1063" s="97"/>
      <c r="AM1063" s="97"/>
      <c r="AN1063" s="97"/>
      <c r="AO1063" s="97"/>
      <c r="AP1063" s="97"/>
      <c r="AQ1063" s="97"/>
    </row>
    <row r="1064" spans="2:43" s="101" customFormat="1" ht="15.75" customHeight="1">
      <c r="B1064" s="104"/>
      <c r="C1064" s="104"/>
      <c r="D1064" s="104"/>
      <c r="E1064" s="104"/>
      <c r="F1064" s="104"/>
      <c r="G1064" s="104"/>
      <c r="H1064" s="104"/>
      <c r="I1064" s="104"/>
      <c r="J1064" s="104"/>
      <c r="K1064" s="104"/>
      <c r="L1064" s="104"/>
      <c r="P1064" s="55"/>
      <c r="R1064" s="105"/>
      <c r="S1064" s="105"/>
      <c r="T1064" s="105"/>
      <c r="U1064" s="105"/>
      <c r="V1064" s="105"/>
      <c r="W1064" s="105"/>
      <c r="X1064" s="59"/>
      <c r="Y1064" s="59"/>
      <c r="Z1064" s="59"/>
      <c r="AA1064" s="59"/>
      <c r="AB1064" s="59"/>
      <c r="AC1064" s="95"/>
      <c r="AD1064" s="96"/>
      <c r="AE1064" s="97"/>
      <c r="AF1064" s="97"/>
      <c r="AG1064" s="97"/>
      <c r="AH1064" s="97"/>
      <c r="AI1064" s="97"/>
      <c r="AJ1064" s="97"/>
      <c r="AK1064" s="97"/>
      <c r="AL1064" s="97"/>
      <c r="AM1064" s="97"/>
      <c r="AN1064" s="97"/>
      <c r="AO1064" s="97"/>
      <c r="AP1064" s="97"/>
      <c r="AQ1064" s="97"/>
    </row>
    <row r="1065" spans="2:43" s="101" customFormat="1" ht="15.75" customHeight="1">
      <c r="B1065" s="104"/>
      <c r="C1065" s="104"/>
      <c r="D1065" s="104"/>
      <c r="E1065" s="104"/>
      <c r="F1065" s="104"/>
      <c r="G1065" s="104"/>
      <c r="H1065" s="104"/>
      <c r="I1065" s="104"/>
      <c r="J1065" s="104"/>
      <c r="K1065" s="104"/>
      <c r="L1065" s="104"/>
      <c r="P1065" s="55"/>
      <c r="R1065" s="105"/>
      <c r="S1065" s="105"/>
      <c r="T1065" s="105"/>
      <c r="U1065" s="105"/>
      <c r="V1065" s="105"/>
      <c r="W1065" s="105"/>
      <c r="X1065" s="59"/>
      <c r="Y1065" s="59"/>
      <c r="Z1065" s="59"/>
      <c r="AA1065" s="59"/>
      <c r="AB1065" s="59"/>
      <c r="AC1065" s="95"/>
      <c r="AD1065" s="96"/>
      <c r="AE1065" s="97"/>
      <c r="AF1065" s="97"/>
      <c r="AG1065" s="97"/>
      <c r="AH1065" s="97"/>
      <c r="AI1065" s="97"/>
      <c r="AJ1065" s="97"/>
      <c r="AK1065" s="97"/>
      <c r="AL1065" s="97"/>
      <c r="AM1065" s="97"/>
      <c r="AN1065" s="97"/>
      <c r="AO1065" s="97"/>
      <c r="AP1065" s="97"/>
      <c r="AQ1065" s="97"/>
    </row>
    <row r="1066" spans="2:43" s="101" customFormat="1" ht="15.75" customHeight="1">
      <c r="B1066" s="104"/>
      <c r="C1066" s="104"/>
      <c r="D1066" s="104"/>
      <c r="E1066" s="104"/>
      <c r="F1066" s="104"/>
      <c r="G1066" s="104"/>
      <c r="H1066" s="104"/>
      <c r="I1066" s="104"/>
      <c r="J1066" s="104"/>
      <c r="K1066" s="104"/>
      <c r="L1066" s="104"/>
      <c r="P1066" s="55"/>
      <c r="R1066" s="105"/>
      <c r="S1066" s="105"/>
      <c r="T1066" s="105"/>
      <c r="U1066" s="105"/>
      <c r="V1066" s="105"/>
      <c r="W1066" s="105"/>
      <c r="X1066" s="59"/>
      <c r="Y1066" s="59"/>
      <c r="Z1066" s="59"/>
      <c r="AA1066" s="59"/>
      <c r="AB1066" s="59"/>
      <c r="AC1066" s="95"/>
      <c r="AD1066" s="96"/>
      <c r="AE1066" s="97"/>
      <c r="AF1066" s="97"/>
      <c r="AG1066" s="97"/>
      <c r="AH1066" s="97"/>
      <c r="AI1066" s="97"/>
      <c r="AJ1066" s="97"/>
      <c r="AK1066" s="97"/>
      <c r="AL1066" s="97"/>
      <c r="AM1066" s="97"/>
      <c r="AN1066" s="97"/>
      <c r="AO1066" s="97"/>
      <c r="AP1066" s="97"/>
      <c r="AQ1066" s="97"/>
    </row>
    <row r="1067" spans="2:43" s="101" customFormat="1" ht="15.75" customHeight="1">
      <c r="B1067" s="104"/>
      <c r="C1067" s="104"/>
      <c r="D1067" s="104"/>
      <c r="E1067" s="104"/>
      <c r="F1067" s="104"/>
      <c r="G1067" s="104"/>
      <c r="H1067" s="104"/>
      <c r="I1067" s="104"/>
      <c r="J1067" s="104"/>
      <c r="K1067" s="104"/>
      <c r="L1067" s="104"/>
      <c r="P1067" s="55"/>
      <c r="R1067" s="105"/>
      <c r="S1067" s="105"/>
      <c r="T1067" s="105"/>
      <c r="U1067" s="105"/>
      <c r="V1067" s="105"/>
      <c r="W1067" s="105"/>
      <c r="X1067" s="59"/>
      <c r="Y1067" s="59"/>
      <c r="Z1067" s="59"/>
      <c r="AA1067" s="59"/>
      <c r="AB1067" s="59"/>
      <c r="AC1067" s="95"/>
      <c r="AD1067" s="96"/>
      <c r="AE1067" s="97"/>
      <c r="AF1067" s="97"/>
      <c r="AG1067" s="97"/>
      <c r="AH1067" s="97"/>
      <c r="AI1067" s="97"/>
      <c r="AJ1067" s="97"/>
      <c r="AK1067" s="97"/>
      <c r="AL1067" s="97"/>
      <c r="AM1067" s="97"/>
      <c r="AN1067" s="97"/>
      <c r="AO1067" s="97"/>
      <c r="AP1067" s="97"/>
      <c r="AQ1067" s="97"/>
    </row>
    <row r="1068" spans="2:43" s="101" customFormat="1" ht="15.75" customHeight="1">
      <c r="B1068" s="104"/>
      <c r="C1068" s="104"/>
      <c r="D1068" s="104"/>
      <c r="E1068" s="104"/>
      <c r="F1068" s="104"/>
      <c r="G1068" s="104"/>
      <c r="H1068" s="104"/>
      <c r="I1068" s="104"/>
      <c r="J1068" s="104"/>
      <c r="K1068" s="104"/>
      <c r="L1068" s="104"/>
      <c r="P1068" s="55"/>
      <c r="R1068" s="105"/>
      <c r="S1068" s="105"/>
      <c r="T1068" s="105"/>
      <c r="U1068" s="105"/>
      <c r="V1068" s="105"/>
      <c r="W1068" s="105"/>
      <c r="X1068" s="59"/>
      <c r="Y1068" s="59"/>
      <c r="Z1068" s="59"/>
      <c r="AA1068" s="59"/>
      <c r="AB1068" s="59"/>
      <c r="AC1068" s="95"/>
      <c r="AD1068" s="96"/>
      <c r="AE1068" s="97"/>
      <c r="AF1068" s="97"/>
      <c r="AG1068" s="97"/>
      <c r="AH1068" s="97"/>
      <c r="AI1068" s="97"/>
      <c r="AJ1068" s="97"/>
      <c r="AK1068" s="97"/>
      <c r="AL1068" s="97"/>
      <c r="AM1068" s="97"/>
      <c r="AN1068" s="97"/>
      <c r="AO1068" s="97"/>
      <c r="AP1068" s="97"/>
      <c r="AQ1068" s="97"/>
    </row>
    <row r="1069" spans="2:43" s="101" customFormat="1" ht="15.75" customHeight="1">
      <c r="B1069" s="104"/>
      <c r="C1069" s="104"/>
      <c r="D1069" s="104"/>
      <c r="E1069" s="104"/>
      <c r="F1069" s="104"/>
      <c r="G1069" s="104"/>
      <c r="H1069" s="104"/>
      <c r="I1069" s="104"/>
      <c r="J1069" s="104"/>
      <c r="K1069" s="104"/>
      <c r="L1069" s="104"/>
      <c r="P1069" s="55"/>
      <c r="R1069" s="105"/>
      <c r="S1069" s="105"/>
      <c r="T1069" s="105"/>
      <c r="U1069" s="105"/>
      <c r="V1069" s="105"/>
      <c r="W1069" s="105"/>
      <c r="X1069" s="59"/>
      <c r="Y1069" s="59"/>
      <c r="Z1069" s="59"/>
      <c r="AA1069" s="59"/>
      <c r="AB1069" s="59"/>
      <c r="AC1069" s="95"/>
      <c r="AD1069" s="96"/>
      <c r="AE1069" s="97"/>
      <c r="AF1069" s="97"/>
      <c r="AG1069" s="97"/>
      <c r="AH1069" s="97"/>
      <c r="AI1069" s="97"/>
      <c r="AJ1069" s="97"/>
      <c r="AK1069" s="97"/>
      <c r="AL1069" s="97"/>
      <c r="AM1069" s="97"/>
      <c r="AN1069" s="97"/>
      <c r="AO1069" s="97"/>
      <c r="AP1069" s="97"/>
      <c r="AQ1069" s="97"/>
    </row>
    <row r="1070" spans="2:43" s="101" customFormat="1" ht="15.75" customHeight="1">
      <c r="B1070" s="104"/>
      <c r="C1070" s="104"/>
      <c r="D1070" s="104"/>
      <c r="E1070" s="104"/>
      <c r="F1070" s="104"/>
      <c r="G1070" s="104"/>
      <c r="H1070" s="104"/>
      <c r="I1070" s="104"/>
      <c r="J1070" s="104"/>
      <c r="K1070" s="104"/>
      <c r="L1070" s="104"/>
      <c r="P1070" s="55"/>
      <c r="R1070" s="105"/>
      <c r="S1070" s="105"/>
      <c r="T1070" s="105"/>
      <c r="U1070" s="105"/>
      <c r="V1070" s="105"/>
      <c r="W1070" s="105"/>
      <c r="X1070" s="59"/>
      <c r="Y1070" s="59"/>
      <c r="Z1070" s="59"/>
      <c r="AA1070" s="59"/>
      <c r="AB1070" s="59"/>
      <c r="AC1070" s="95"/>
      <c r="AD1070" s="96"/>
      <c r="AE1070" s="97"/>
      <c r="AF1070" s="97"/>
      <c r="AG1070" s="97"/>
      <c r="AH1070" s="97"/>
      <c r="AI1070" s="97"/>
      <c r="AJ1070" s="97"/>
      <c r="AK1070" s="97"/>
      <c r="AL1070" s="97"/>
      <c r="AM1070" s="97"/>
      <c r="AN1070" s="97"/>
      <c r="AO1070" s="97"/>
      <c r="AP1070" s="97"/>
      <c r="AQ1070" s="97"/>
    </row>
    <row r="1071" spans="2:43" s="101" customFormat="1" ht="15.75" customHeight="1">
      <c r="B1071" s="104"/>
      <c r="C1071" s="104"/>
      <c r="D1071" s="104"/>
      <c r="E1071" s="104"/>
      <c r="F1071" s="104"/>
      <c r="G1071" s="104"/>
      <c r="H1071" s="104"/>
      <c r="I1071" s="104"/>
      <c r="J1071" s="104"/>
      <c r="K1071" s="104"/>
      <c r="L1071" s="104"/>
      <c r="P1071" s="55"/>
      <c r="R1071" s="105"/>
      <c r="S1071" s="105"/>
      <c r="T1071" s="105"/>
      <c r="U1071" s="105"/>
      <c r="V1071" s="105"/>
      <c r="W1071" s="105"/>
      <c r="X1071" s="59"/>
      <c r="Y1071" s="59"/>
      <c r="Z1071" s="59"/>
      <c r="AA1071" s="59"/>
      <c r="AB1071" s="59"/>
      <c r="AC1071" s="95"/>
      <c r="AD1071" s="96"/>
      <c r="AE1071" s="97"/>
      <c r="AF1071" s="97"/>
      <c r="AG1071" s="97"/>
      <c r="AH1071" s="97"/>
      <c r="AI1071" s="97"/>
      <c r="AJ1071" s="97"/>
      <c r="AK1071" s="97"/>
      <c r="AL1071" s="97"/>
      <c r="AM1071" s="97"/>
      <c r="AN1071" s="97"/>
      <c r="AO1071" s="97"/>
      <c r="AP1071" s="97"/>
      <c r="AQ1071" s="97"/>
    </row>
    <row r="1072" spans="2:43" s="101" customFormat="1" ht="15.75" customHeight="1">
      <c r="B1072" s="104"/>
      <c r="C1072" s="104"/>
      <c r="D1072" s="104"/>
      <c r="E1072" s="104"/>
      <c r="F1072" s="104"/>
      <c r="G1072" s="104"/>
      <c r="H1072" s="104"/>
      <c r="I1072" s="104"/>
      <c r="J1072" s="104"/>
      <c r="K1072" s="104"/>
      <c r="L1072" s="104"/>
      <c r="P1072" s="55"/>
      <c r="R1072" s="105"/>
      <c r="S1072" s="105"/>
      <c r="T1072" s="105"/>
      <c r="U1072" s="105"/>
      <c r="V1072" s="105"/>
      <c r="W1072" s="105"/>
      <c r="X1072" s="59"/>
      <c r="Y1072" s="59"/>
      <c r="Z1072" s="59"/>
      <c r="AA1072" s="59"/>
      <c r="AB1072" s="59"/>
      <c r="AC1072" s="95"/>
      <c r="AD1072" s="96"/>
      <c r="AE1072" s="97"/>
      <c r="AF1072" s="97"/>
      <c r="AG1072" s="97"/>
      <c r="AH1072" s="97"/>
      <c r="AI1072" s="97"/>
      <c r="AJ1072" s="97"/>
      <c r="AK1072" s="97"/>
      <c r="AL1072" s="97"/>
      <c r="AM1072" s="97"/>
      <c r="AN1072" s="97"/>
      <c r="AO1072" s="97"/>
      <c r="AP1072" s="97"/>
      <c r="AQ1072" s="97"/>
    </row>
    <row r="1073" spans="2:43" s="101" customFormat="1" ht="15.75" customHeight="1">
      <c r="B1073" s="104"/>
      <c r="C1073" s="104"/>
      <c r="D1073" s="104"/>
      <c r="E1073" s="104"/>
      <c r="F1073" s="104"/>
      <c r="G1073" s="104"/>
      <c r="H1073" s="104"/>
      <c r="I1073" s="104"/>
      <c r="J1073" s="104"/>
      <c r="K1073" s="104"/>
      <c r="L1073" s="104"/>
      <c r="P1073" s="55"/>
      <c r="R1073" s="105"/>
      <c r="S1073" s="105"/>
      <c r="T1073" s="105"/>
      <c r="U1073" s="105"/>
      <c r="V1073" s="105"/>
      <c r="W1073" s="105"/>
      <c r="X1073" s="59"/>
      <c r="Y1073" s="59"/>
      <c r="Z1073" s="59"/>
      <c r="AA1073" s="59"/>
      <c r="AB1073" s="59"/>
      <c r="AC1073" s="95"/>
      <c r="AD1073" s="96"/>
      <c r="AE1073" s="97"/>
      <c r="AF1073" s="97"/>
      <c r="AG1073" s="97"/>
      <c r="AH1073" s="97"/>
      <c r="AI1073" s="97"/>
      <c r="AJ1073" s="97"/>
      <c r="AK1073" s="97"/>
      <c r="AL1073" s="97"/>
      <c r="AM1073" s="97"/>
      <c r="AN1073" s="97"/>
      <c r="AO1073" s="97"/>
      <c r="AP1073" s="97"/>
      <c r="AQ1073" s="97"/>
    </row>
    <row r="1074" spans="2:43" s="101" customFormat="1" ht="15.75" customHeight="1">
      <c r="B1074" s="104"/>
      <c r="C1074" s="104"/>
      <c r="D1074" s="104"/>
      <c r="E1074" s="104"/>
      <c r="F1074" s="104"/>
      <c r="G1074" s="104"/>
      <c r="H1074" s="104"/>
      <c r="I1074" s="104"/>
      <c r="J1074" s="104"/>
      <c r="K1074" s="104"/>
      <c r="L1074" s="104"/>
      <c r="P1074" s="55"/>
      <c r="R1074" s="105"/>
      <c r="S1074" s="105"/>
      <c r="T1074" s="105"/>
      <c r="U1074" s="105"/>
      <c r="V1074" s="105"/>
      <c r="W1074" s="105"/>
      <c r="X1074" s="59"/>
      <c r="Y1074" s="59"/>
      <c r="Z1074" s="59"/>
      <c r="AA1074" s="59"/>
      <c r="AB1074" s="59"/>
      <c r="AC1074" s="95"/>
      <c r="AD1074" s="96"/>
      <c r="AE1074" s="97"/>
      <c r="AF1074" s="97"/>
      <c r="AG1074" s="97"/>
      <c r="AH1074" s="97"/>
      <c r="AI1074" s="97"/>
      <c r="AJ1074" s="97"/>
      <c r="AK1074" s="97"/>
      <c r="AL1074" s="97"/>
      <c r="AM1074" s="97"/>
      <c r="AN1074" s="97"/>
      <c r="AO1074" s="97"/>
      <c r="AP1074" s="97"/>
      <c r="AQ1074" s="97"/>
    </row>
    <row r="1075" spans="2:43" s="101" customFormat="1" ht="15.75" customHeight="1">
      <c r="B1075" s="104"/>
      <c r="C1075" s="104"/>
      <c r="D1075" s="104"/>
      <c r="E1075" s="104"/>
      <c r="F1075" s="104"/>
      <c r="G1075" s="104"/>
      <c r="H1075" s="104"/>
      <c r="I1075" s="104"/>
      <c r="J1075" s="104"/>
      <c r="K1075" s="104"/>
      <c r="L1075" s="104"/>
      <c r="P1075" s="55"/>
      <c r="R1075" s="105"/>
      <c r="S1075" s="105"/>
      <c r="T1075" s="105"/>
      <c r="U1075" s="105"/>
      <c r="V1075" s="105"/>
      <c r="W1075" s="105"/>
      <c r="X1075" s="59"/>
      <c r="Y1075" s="59"/>
      <c r="Z1075" s="59"/>
      <c r="AA1075" s="59"/>
      <c r="AB1075" s="59"/>
      <c r="AC1075" s="95"/>
      <c r="AD1075" s="96"/>
      <c r="AE1075" s="97"/>
      <c r="AF1075" s="97"/>
      <c r="AG1075" s="97"/>
      <c r="AH1075" s="97"/>
      <c r="AI1075" s="97"/>
      <c r="AJ1075" s="97"/>
      <c r="AK1075" s="97"/>
      <c r="AL1075" s="97"/>
      <c r="AM1075" s="97"/>
      <c r="AN1075" s="97"/>
      <c r="AO1075" s="97"/>
      <c r="AP1075" s="97"/>
      <c r="AQ1075" s="97"/>
    </row>
    <row r="1076" spans="2:43" s="101" customFormat="1" ht="15.75" customHeight="1">
      <c r="B1076" s="104"/>
      <c r="C1076" s="104"/>
      <c r="D1076" s="104"/>
      <c r="E1076" s="104"/>
      <c r="F1076" s="104"/>
      <c r="G1076" s="104"/>
      <c r="H1076" s="104"/>
      <c r="I1076" s="104"/>
      <c r="J1076" s="104"/>
      <c r="K1076" s="104"/>
      <c r="L1076" s="104"/>
      <c r="P1076" s="55"/>
      <c r="R1076" s="105"/>
      <c r="S1076" s="105"/>
      <c r="T1076" s="105"/>
      <c r="U1076" s="105"/>
      <c r="V1076" s="105"/>
      <c r="W1076" s="105"/>
      <c r="X1076" s="59"/>
      <c r="Y1076" s="59"/>
      <c r="Z1076" s="59"/>
      <c r="AA1076" s="59"/>
      <c r="AB1076" s="59"/>
      <c r="AC1076" s="95"/>
      <c r="AD1076" s="96"/>
      <c r="AE1076" s="97"/>
      <c r="AF1076" s="97"/>
      <c r="AG1076" s="97"/>
      <c r="AH1076" s="97"/>
      <c r="AI1076" s="97"/>
      <c r="AJ1076" s="97"/>
      <c r="AK1076" s="97"/>
      <c r="AL1076" s="97"/>
      <c r="AM1076" s="97"/>
      <c r="AN1076" s="97"/>
      <c r="AO1076" s="97"/>
      <c r="AP1076" s="97"/>
      <c r="AQ1076" s="97"/>
    </row>
    <row r="1077" spans="2:43" s="101" customFormat="1" ht="15.75" customHeight="1">
      <c r="B1077" s="104"/>
      <c r="C1077" s="104"/>
      <c r="D1077" s="104"/>
      <c r="E1077" s="104"/>
      <c r="F1077" s="104"/>
      <c r="G1077" s="104"/>
      <c r="H1077" s="104"/>
      <c r="I1077" s="104"/>
      <c r="J1077" s="104"/>
      <c r="K1077" s="104"/>
      <c r="L1077" s="104"/>
      <c r="P1077" s="55"/>
      <c r="R1077" s="105"/>
      <c r="S1077" s="105"/>
      <c r="T1077" s="105"/>
      <c r="U1077" s="105"/>
      <c r="V1077" s="105"/>
      <c r="W1077" s="105"/>
      <c r="X1077" s="59"/>
      <c r="Y1077" s="59"/>
      <c r="Z1077" s="59"/>
      <c r="AA1077" s="59"/>
      <c r="AB1077" s="59"/>
      <c r="AC1077" s="95"/>
      <c r="AD1077" s="96"/>
      <c r="AE1077" s="97"/>
      <c r="AF1077" s="97"/>
      <c r="AG1077" s="97"/>
      <c r="AH1077" s="97"/>
      <c r="AI1077" s="97"/>
      <c r="AJ1077" s="97"/>
      <c r="AK1077" s="97"/>
      <c r="AL1077" s="97"/>
      <c r="AM1077" s="97"/>
      <c r="AN1077" s="97"/>
      <c r="AO1077" s="97"/>
      <c r="AP1077" s="97"/>
      <c r="AQ1077" s="97"/>
    </row>
    <row r="1078" spans="2:43" s="101" customFormat="1" ht="15.75" customHeight="1">
      <c r="B1078" s="104"/>
      <c r="C1078" s="104"/>
      <c r="D1078" s="104"/>
      <c r="E1078" s="104"/>
      <c r="F1078" s="104"/>
      <c r="G1078" s="104"/>
      <c r="H1078" s="104"/>
      <c r="I1078" s="104"/>
      <c r="J1078" s="104"/>
      <c r="K1078" s="104"/>
      <c r="L1078" s="104"/>
      <c r="P1078" s="55"/>
      <c r="R1078" s="105"/>
      <c r="S1078" s="105"/>
      <c r="T1078" s="105"/>
      <c r="U1078" s="105"/>
      <c r="V1078" s="105"/>
      <c r="W1078" s="105"/>
      <c r="X1078" s="59"/>
      <c r="Y1078" s="59"/>
      <c r="Z1078" s="59"/>
      <c r="AA1078" s="59"/>
      <c r="AB1078" s="59"/>
      <c r="AC1078" s="95"/>
      <c r="AD1078" s="96"/>
      <c r="AE1078" s="97"/>
      <c r="AF1078" s="97"/>
      <c r="AG1078" s="97"/>
      <c r="AH1078" s="97"/>
      <c r="AI1078" s="97"/>
      <c r="AJ1078" s="97"/>
      <c r="AK1078" s="97"/>
      <c r="AL1078" s="97"/>
      <c r="AM1078" s="97"/>
      <c r="AN1078" s="97"/>
      <c r="AO1078" s="97"/>
      <c r="AP1078" s="97"/>
      <c r="AQ1078" s="97"/>
    </row>
    <row r="1079" spans="2:43" s="101" customFormat="1" ht="15" customHeight="1">
      <c r="B1079" s="104"/>
      <c r="C1079" s="104"/>
      <c r="D1079" s="104"/>
      <c r="E1079" s="104"/>
      <c r="F1079" s="104"/>
      <c r="G1079" s="104"/>
      <c r="H1079" s="104"/>
      <c r="I1079" s="104"/>
      <c r="J1079" s="104"/>
      <c r="K1079" s="104"/>
      <c r="L1079" s="104"/>
      <c r="P1079" s="55"/>
      <c r="R1079" s="105"/>
      <c r="S1079" s="105"/>
      <c r="T1079" s="105"/>
      <c r="U1079" s="105"/>
      <c r="V1079" s="105"/>
      <c r="W1079" s="105"/>
      <c r="AD1079" s="106"/>
      <c r="AE1079" s="97"/>
      <c r="AF1079" s="97"/>
      <c r="AG1079" s="97"/>
      <c r="AH1079" s="97"/>
      <c r="AI1079" s="97"/>
      <c r="AJ1079" s="97"/>
      <c r="AK1079" s="97"/>
      <c r="AL1079" s="97"/>
      <c r="AM1079" s="97"/>
      <c r="AN1079" s="97"/>
      <c r="AO1079" s="97"/>
      <c r="AP1079" s="97"/>
      <c r="AQ1079" s="97"/>
    </row>
    <row r="1080" spans="2:43" s="101" customFormat="1" ht="15" customHeight="1">
      <c r="B1080" s="104"/>
      <c r="C1080" s="104"/>
      <c r="D1080" s="104"/>
      <c r="E1080" s="104"/>
      <c r="F1080" s="104"/>
      <c r="G1080" s="104"/>
      <c r="H1080" s="104"/>
      <c r="I1080" s="104"/>
      <c r="J1080" s="104"/>
      <c r="K1080" s="104"/>
      <c r="L1080" s="104"/>
      <c r="R1080" s="105"/>
      <c r="S1080" s="105"/>
      <c r="T1080" s="105"/>
      <c r="U1080" s="105"/>
      <c r="V1080" s="105"/>
      <c r="W1080" s="105"/>
      <c r="AD1080" s="106"/>
      <c r="AE1080" s="97"/>
      <c r="AF1080" s="97"/>
      <c r="AG1080" s="97"/>
      <c r="AH1080" s="97"/>
      <c r="AI1080" s="97"/>
      <c r="AJ1080" s="97"/>
      <c r="AK1080" s="97"/>
      <c r="AL1080" s="97"/>
      <c r="AM1080" s="97"/>
      <c r="AN1080" s="97"/>
      <c r="AO1080" s="97"/>
      <c r="AP1080" s="97"/>
      <c r="AQ1080" s="97"/>
    </row>
    <row r="1081" spans="2:43" s="101" customFormat="1" ht="15" customHeight="1">
      <c r="B1081" s="104"/>
      <c r="C1081" s="104"/>
      <c r="D1081" s="104"/>
      <c r="E1081" s="104"/>
      <c r="F1081" s="104"/>
      <c r="G1081" s="104"/>
      <c r="H1081" s="104"/>
      <c r="I1081" s="104"/>
      <c r="J1081" s="104"/>
      <c r="K1081" s="104"/>
      <c r="L1081" s="104"/>
      <c r="R1081" s="105"/>
      <c r="S1081" s="105"/>
      <c r="T1081" s="105"/>
      <c r="U1081" s="105"/>
      <c r="V1081" s="105"/>
      <c r="W1081" s="105"/>
      <c r="AD1081" s="106"/>
      <c r="AE1081" s="97"/>
      <c r="AF1081" s="97"/>
      <c r="AG1081" s="97"/>
      <c r="AH1081" s="97"/>
      <c r="AI1081" s="97"/>
      <c r="AJ1081" s="97"/>
      <c r="AK1081" s="97"/>
      <c r="AL1081" s="97"/>
      <c r="AM1081" s="97"/>
      <c r="AN1081" s="97"/>
      <c r="AO1081" s="97"/>
      <c r="AP1081" s="97"/>
      <c r="AQ1081" s="97"/>
    </row>
    <row r="1082" spans="2:43" s="101" customFormat="1" ht="15" customHeight="1">
      <c r="B1082" s="104"/>
      <c r="C1082" s="104"/>
      <c r="D1082" s="104"/>
      <c r="E1082" s="104"/>
      <c r="F1082" s="104"/>
      <c r="G1082" s="104"/>
      <c r="H1082" s="104"/>
      <c r="I1082" s="104"/>
      <c r="J1082" s="104"/>
      <c r="K1082" s="104"/>
      <c r="L1082" s="104"/>
      <c r="R1082" s="105"/>
      <c r="S1082" s="105"/>
      <c r="T1082" s="105"/>
      <c r="U1082" s="105"/>
      <c r="V1082" s="105"/>
      <c r="W1082" s="105"/>
      <c r="AD1082" s="106"/>
      <c r="AE1082" s="97"/>
      <c r="AF1082" s="97"/>
      <c r="AG1082" s="97"/>
      <c r="AH1082" s="97"/>
      <c r="AI1082" s="97"/>
      <c r="AJ1082" s="97"/>
      <c r="AK1082" s="97"/>
      <c r="AL1082" s="97"/>
      <c r="AM1082" s="97"/>
      <c r="AN1082" s="97"/>
      <c r="AO1082" s="97"/>
      <c r="AP1082" s="97"/>
      <c r="AQ1082" s="97"/>
    </row>
    <row r="1083" spans="2:43" s="101" customFormat="1" ht="15" customHeight="1">
      <c r="B1083" s="104"/>
      <c r="C1083" s="104"/>
      <c r="D1083" s="104"/>
      <c r="E1083" s="104"/>
      <c r="F1083" s="104"/>
      <c r="G1083" s="104"/>
      <c r="H1083" s="104"/>
      <c r="I1083" s="104"/>
      <c r="J1083" s="104"/>
      <c r="K1083" s="104"/>
      <c r="L1083" s="104"/>
      <c r="R1083" s="105"/>
      <c r="S1083" s="105"/>
      <c r="T1083" s="105"/>
      <c r="U1083" s="105"/>
      <c r="V1083" s="105"/>
      <c r="W1083" s="105"/>
      <c r="AD1083" s="106"/>
      <c r="AE1083" s="97"/>
      <c r="AF1083" s="97"/>
      <c r="AG1083" s="97"/>
      <c r="AH1083" s="97"/>
      <c r="AI1083" s="97"/>
      <c r="AJ1083" s="97"/>
      <c r="AK1083" s="97"/>
      <c r="AL1083" s="97"/>
      <c r="AM1083" s="97"/>
      <c r="AN1083" s="97"/>
      <c r="AO1083" s="97"/>
      <c r="AP1083" s="97"/>
      <c r="AQ1083" s="97"/>
    </row>
    <row r="1084" spans="2:43" s="101" customFormat="1" ht="15" customHeight="1">
      <c r="B1084" s="104"/>
      <c r="C1084" s="104"/>
      <c r="D1084" s="104"/>
      <c r="E1084" s="104"/>
      <c r="F1084" s="104"/>
      <c r="G1084" s="104"/>
      <c r="H1084" s="104"/>
      <c r="I1084" s="104"/>
      <c r="J1084" s="104"/>
      <c r="K1084" s="104"/>
      <c r="L1084" s="104"/>
      <c r="R1084" s="105"/>
      <c r="S1084" s="105"/>
      <c r="T1084" s="105"/>
      <c r="U1084" s="105"/>
      <c r="V1084" s="105"/>
      <c r="W1084" s="105"/>
      <c r="AD1084" s="106"/>
      <c r="AE1084" s="97"/>
      <c r="AF1084" s="97"/>
      <c r="AG1084" s="97"/>
      <c r="AH1084" s="97"/>
      <c r="AI1084" s="97"/>
      <c r="AJ1084" s="97"/>
      <c r="AK1084" s="97"/>
      <c r="AL1084" s="97"/>
      <c r="AM1084" s="97"/>
      <c r="AN1084" s="97"/>
      <c r="AO1084" s="97"/>
      <c r="AP1084" s="97"/>
      <c r="AQ1084" s="97"/>
    </row>
    <row r="1085" spans="2:43" s="101" customFormat="1" ht="15" customHeight="1">
      <c r="B1085" s="104"/>
      <c r="C1085" s="104"/>
      <c r="D1085" s="104"/>
      <c r="E1085" s="104"/>
      <c r="F1085" s="104"/>
      <c r="G1085" s="104"/>
      <c r="H1085" s="104"/>
      <c r="I1085" s="104"/>
      <c r="J1085" s="104"/>
      <c r="K1085" s="104"/>
      <c r="L1085" s="104"/>
      <c r="R1085" s="105"/>
      <c r="S1085" s="105"/>
      <c r="T1085" s="105"/>
      <c r="U1085" s="105"/>
      <c r="V1085" s="105"/>
      <c r="W1085" s="105"/>
      <c r="AD1085" s="106"/>
      <c r="AE1085" s="97"/>
      <c r="AF1085" s="97"/>
      <c r="AG1085" s="97"/>
      <c r="AH1085" s="97"/>
      <c r="AI1085" s="97"/>
      <c r="AJ1085" s="97"/>
      <c r="AK1085" s="97"/>
      <c r="AL1085" s="97"/>
      <c r="AM1085" s="97"/>
      <c r="AN1085" s="97"/>
      <c r="AO1085" s="97"/>
      <c r="AP1085" s="97"/>
      <c r="AQ1085" s="97"/>
    </row>
    <row r="1086" spans="2:43" s="101" customFormat="1" ht="15" customHeight="1">
      <c r="B1086" s="104"/>
      <c r="C1086" s="104"/>
      <c r="D1086" s="104"/>
      <c r="E1086" s="104"/>
      <c r="F1086" s="104"/>
      <c r="G1086" s="104"/>
      <c r="H1086" s="104"/>
      <c r="I1086" s="104"/>
      <c r="J1086" s="104"/>
      <c r="K1086" s="104"/>
      <c r="L1086" s="104"/>
      <c r="R1086" s="105"/>
      <c r="S1086" s="105"/>
      <c r="T1086" s="105"/>
      <c r="U1086" s="105"/>
      <c r="V1086" s="105"/>
      <c r="W1086" s="105"/>
      <c r="AD1086" s="106"/>
      <c r="AE1086" s="97"/>
      <c r="AF1086" s="97"/>
      <c r="AG1086" s="97"/>
      <c r="AH1086" s="97"/>
      <c r="AI1086" s="97"/>
      <c r="AJ1086" s="97"/>
      <c r="AK1086" s="97"/>
      <c r="AL1086" s="97"/>
      <c r="AM1086" s="97"/>
      <c r="AN1086" s="97"/>
      <c r="AO1086" s="97"/>
      <c r="AP1086" s="97"/>
      <c r="AQ1086" s="97"/>
    </row>
    <row r="1087" spans="2:43" s="101" customFormat="1" ht="15" customHeight="1">
      <c r="B1087" s="104"/>
      <c r="C1087" s="104"/>
      <c r="D1087" s="104"/>
      <c r="E1087" s="104"/>
      <c r="F1087" s="104"/>
      <c r="G1087" s="104"/>
      <c r="H1087" s="104"/>
      <c r="I1087" s="104"/>
      <c r="J1087" s="104"/>
      <c r="K1087" s="104"/>
      <c r="L1087" s="104"/>
      <c r="R1087" s="105"/>
      <c r="S1087" s="105"/>
      <c r="T1087" s="105"/>
      <c r="U1087" s="105"/>
      <c r="V1087" s="105"/>
      <c r="W1087" s="105"/>
      <c r="AD1087" s="106"/>
      <c r="AE1087" s="97"/>
      <c r="AF1087" s="97"/>
      <c r="AG1087" s="97"/>
      <c r="AH1087" s="97"/>
      <c r="AI1087" s="97"/>
      <c r="AJ1087" s="97"/>
      <c r="AK1087" s="97"/>
      <c r="AL1087" s="97"/>
      <c r="AM1087" s="97"/>
      <c r="AN1087" s="97"/>
      <c r="AO1087" s="97"/>
      <c r="AP1087" s="97"/>
      <c r="AQ1087" s="97"/>
    </row>
    <row r="1088" spans="2:43" s="101" customFormat="1" ht="15" customHeight="1">
      <c r="B1088" s="104"/>
      <c r="C1088" s="104"/>
      <c r="D1088" s="104"/>
      <c r="E1088" s="104"/>
      <c r="F1088" s="104"/>
      <c r="G1088" s="104"/>
      <c r="H1088" s="104"/>
      <c r="I1088" s="104"/>
      <c r="J1088" s="104"/>
      <c r="K1088" s="104"/>
      <c r="L1088" s="104"/>
      <c r="R1088" s="105"/>
      <c r="S1088" s="105"/>
      <c r="T1088" s="105"/>
      <c r="U1088" s="105"/>
      <c r="V1088" s="105"/>
      <c r="W1088" s="105"/>
      <c r="AD1088" s="106"/>
      <c r="AE1088" s="97"/>
      <c r="AF1088" s="97"/>
      <c r="AG1088" s="97"/>
      <c r="AH1088" s="97"/>
      <c r="AI1088" s="97"/>
      <c r="AJ1088" s="97"/>
      <c r="AK1088" s="97"/>
      <c r="AL1088" s="97"/>
      <c r="AM1088" s="97"/>
      <c r="AN1088" s="97"/>
      <c r="AO1088" s="97"/>
      <c r="AP1088" s="97"/>
      <c r="AQ1088" s="97"/>
    </row>
    <row r="1089" spans="2:43" s="101" customFormat="1" ht="15" customHeight="1">
      <c r="B1089" s="104"/>
      <c r="C1089" s="104"/>
      <c r="D1089" s="104"/>
      <c r="E1089" s="104"/>
      <c r="F1089" s="104"/>
      <c r="G1089" s="104"/>
      <c r="H1089" s="104"/>
      <c r="I1089" s="104"/>
      <c r="J1089" s="104"/>
      <c r="K1089" s="104"/>
      <c r="L1089" s="104"/>
      <c r="R1089" s="105"/>
      <c r="S1089" s="105"/>
      <c r="T1089" s="105"/>
      <c r="U1089" s="105"/>
      <c r="V1089" s="105"/>
      <c r="W1089" s="105"/>
      <c r="AD1089" s="106"/>
      <c r="AE1089" s="97"/>
      <c r="AF1089" s="97"/>
      <c r="AG1089" s="97"/>
      <c r="AH1089" s="97"/>
      <c r="AI1089" s="97"/>
      <c r="AJ1089" s="97"/>
      <c r="AK1089" s="97"/>
      <c r="AL1089" s="97"/>
      <c r="AM1089" s="97"/>
      <c r="AN1089" s="97"/>
      <c r="AO1089" s="97"/>
      <c r="AP1089" s="97"/>
      <c r="AQ1089" s="97"/>
    </row>
    <row r="1090" spans="2:43" s="101" customFormat="1" ht="15" customHeight="1">
      <c r="B1090" s="104"/>
      <c r="C1090" s="104"/>
      <c r="D1090" s="104"/>
      <c r="E1090" s="104"/>
      <c r="F1090" s="104"/>
      <c r="G1090" s="104"/>
      <c r="H1090" s="104"/>
      <c r="I1090" s="104"/>
      <c r="J1090" s="104"/>
      <c r="K1090" s="104"/>
      <c r="L1090" s="104"/>
      <c r="R1090" s="105"/>
      <c r="S1090" s="105"/>
      <c r="T1090" s="105"/>
      <c r="U1090" s="105"/>
      <c r="V1090" s="105"/>
      <c r="W1090" s="105"/>
      <c r="AD1090" s="106"/>
      <c r="AE1090" s="97"/>
      <c r="AF1090" s="97"/>
      <c r="AG1090" s="97"/>
      <c r="AH1090" s="97"/>
      <c r="AI1090" s="97"/>
      <c r="AJ1090" s="97"/>
      <c r="AK1090" s="97"/>
      <c r="AL1090" s="97"/>
      <c r="AM1090" s="97"/>
      <c r="AN1090" s="97"/>
      <c r="AO1090" s="97"/>
      <c r="AP1090" s="97"/>
      <c r="AQ1090" s="97"/>
    </row>
    <row r="1091" spans="2:43" s="101" customFormat="1" ht="15" customHeight="1">
      <c r="B1091" s="104"/>
      <c r="C1091" s="104"/>
      <c r="D1091" s="104"/>
      <c r="E1091" s="104"/>
      <c r="F1091" s="104"/>
      <c r="G1091" s="104"/>
      <c r="H1091" s="104"/>
      <c r="I1091" s="104"/>
      <c r="J1091" s="104"/>
      <c r="K1091" s="104"/>
      <c r="L1091" s="104"/>
      <c r="R1091" s="105"/>
      <c r="S1091" s="105"/>
      <c r="T1091" s="105"/>
      <c r="U1091" s="105"/>
      <c r="V1091" s="105"/>
      <c r="W1091" s="105"/>
      <c r="AD1091" s="106"/>
      <c r="AE1091" s="97"/>
      <c r="AF1091" s="97"/>
      <c r="AG1091" s="97"/>
      <c r="AH1091" s="97"/>
      <c r="AI1091" s="97"/>
      <c r="AJ1091" s="97"/>
      <c r="AK1091" s="97"/>
      <c r="AL1091" s="97"/>
      <c r="AM1091" s="97"/>
      <c r="AN1091" s="97"/>
      <c r="AO1091" s="97"/>
      <c r="AP1091" s="97"/>
      <c r="AQ1091" s="97"/>
    </row>
    <row r="1092" spans="2:43" s="101" customFormat="1" ht="15" customHeight="1">
      <c r="B1092" s="104"/>
      <c r="C1092" s="104"/>
      <c r="D1092" s="104"/>
      <c r="E1092" s="104"/>
      <c r="F1092" s="104"/>
      <c r="G1092" s="104"/>
      <c r="H1092" s="104"/>
      <c r="I1092" s="104"/>
      <c r="J1092" s="104"/>
      <c r="K1092" s="104"/>
      <c r="L1092" s="104"/>
      <c r="R1092" s="105"/>
      <c r="S1092" s="105"/>
      <c r="T1092" s="105"/>
      <c r="U1092" s="105"/>
      <c r="V1092" s="105"/>
      <c r="W1092" s="105"/>
      <c r="AD1092" s="106"/>
      <c r="AE1092" s="97"/>
      <c r="AF1092" s="97"/>
      <c r="AG1092" s="97"/>
      <c r="AH1092" s="97"/>
      <c r="AI1092" s="97"/>
      <c r="AJ1092" s="97"/>
      <c r="AK1092" s="97"/>
      <c r="AL1092" s="97"/>
      <c r="AM1092" s="97"/>
      <c r="AN1092" s="97"/>
      <c r="AO1092" s="97"/>
      <c r="AP1092" s="97"/>
      <c r="AQ1092" s="97"/>
    </row>
    <row r="1093" spans="2:43" s="101" customFormat="1" ht="15" customHeight="1">
      <c r="B1093" s="104"/>
      <c r="C1093" s="104"/>
      <c r="D1093" s="104"/>
      <c r="E1093" s="104"/>
      <c r="F1093" s="104"/>
      <c r="G1093" s="104"/>
      <c r="H1093" s="104"/>
      <c r="I1093" s="104"/>
      <c r="J1093" s="104"/>
      <c r="K1093" s="104"/>
      <c r="L1093" s="104"/>
      <c r="R1093" s="105"/>
      <c r="S1093" s="105"/>
      <c r="T1093" s="105"/>
      <c r="U1093" s="105"/>
      <c r="V1093" s="105"/>
      <c r="W1093" s="105"/>
      <c r="AD1093" s="106"/>
      <c r="AE1093" s="97"/>
      <c r="AF1093" s="97"/>
      <c r="AG1093" s="97"/>
      <c r="AH1093" s="97"/>
      <c r="AI1093" s="97"/>
      <c r="AJ1093" s="97"/>
      <c r="AK1093" s="97"/>
      <c r="AL1093" s="97"/>
      <c r="AM1093" s="97"/>
      <c r="AN1093" s="97"/>
      <c r="AO1093" s="97"/>
      <c r="AP1093" s="97"/>
      <c r="AQ1093" s="97"/>
    </row>
    <row r="1094" spans="2:43" s="101" customFormat="1" ht="15" customHeight="1">
      <c r="B1094" s="104"/>
      <c r="C1094" s="104"/>
      <c r="D1094" s="104"/>
      <c r="E1094" s="104"/>
      <c r="F1094" s="104"/>
      <c r="G1094" s="104"/>
      <c r="H1094" s="104"/>
      <c r="I1094" s="104"/>
      <c r="J1094" s="104"/>
      <c r="K1094" s="104"/>
      <c r="L1094" s="104"/>
      <c r="R1094" s="105"/>
      <c r="S1094" s="105"/>
      <c r="T1094" s="105"/>
      <c r="U1094" s="105"/>
      <c r="V1094" s="105"/>
      <c r="W1094" s="105"/>
      <c r="AD1094" s="106"/>
      <c r="AE1094" s="97"/>
      <c r="AF1094" s="97"/>
      <c r="AG1094" s="97"/>
      <c r="AH1094" s="97"/>
      <c r="AI1094" s="97"/>
      <c r="AJ1094" s="97"/>
      <c r="AK1094" s="97"/>
      <c r="AL1094" s="97"/>
      <c r="AM1094" s="97"/>
      <c r="AN1094" s="97"/>
      <c r="AO1094" s="97"/>
      <c r="AP1094" s="97"/>
      <c r="AQ1094" s="97"/>
    </row>
    <row r="1095" spans="2:43" s="101" customFormat="1" ht="15" customHeight="1">
      <c r="B1095" s="104"/>
      <c r="C1095" s="104"/>
      <c r="D1095" s="104"/>
      <c r="E1095" s="104"/>
      <c r="F1095" s="104"/>
      <c r="G1095" s="104"/>
      <c r="H1095" s="104"/>
      <c r="I1095" s="104"/>
      <c r="J1095" s="104"/>
      <c r="K1095" s="104"/>
      <c r="L1095" s="104"/>
      <c r="R1095" s="105"/>
      <c r="S1095" s="105"/>
      <c r="T1095" s="105"/>
      <c r="U1095" s="105"/>
      <c r="V1095" s="105"/>
      <c r="W1095" s="105"/>
      <c r="AD1095" s="106"/>
      <c r="AE1095" s="97"/>
      <c r="AF1095" s="97"/>
      <c r="AG1095" s="97"/>
      <c r="AH1095" s="97"/>
      <c r="AI1095" s="97"/>
      <c r="AJ1095" s="97"/>
      <c r="AK1095" s="97"/>
      <c r="AL1095" s="97"/>
      <c r="AM1095" s="97"/>
      <c r="AN1095" s="97"/>
      <c r="AO1095" s="97"/>
      <c r="AP1095" s="97"/>
      <c r="AQ1095" s="97"/>
    </row>
    <row r="1096" spans="2:43" s="101" customFormat="1" ht="15" customHeight="1">
      <c r="B1096" s="104"/>
      <c r="C1096" s="104"/>
      <c r="D1096" s="104"/>
      <c r="E1096" s="104"/>
      <c r="F1096" s="104"/>
      <c r="G1096" s="104"/>
      <c r="H1096" s="104"/>
      <c r="I1096" s="104"/>
      <c r="J1096" s="104"/>
      <c r="K1096" s="104"/>
      <c r="L1096" s="104"/>
      <c r="R1096" s="105"/>
      <c r="S1096" s="105"/>
      <c r="T1096" s="105"/>
      <c r="U1096" s="105"/>
      <c r="V1096" s="105"/>
      <c r="W1096" s="105"/>
      <c r="AD1096" s="106"/>
      <c r="AE1096" s="97"/>
      <c r="AF1096" s="97"/>
      <c r="AG1096" s="97"/>
      <c r="AH1096" s="97"/>
      <c r="AI1096" s="97"/>
      <c r="AJ1096" s="97"/>
      <c r="AK1096" s="97"/>
      <c r="AL1096" s="97"/>
      <c r="AM1096" s="97"/>
      <c r="AN1096" s="97"/>
      <c r="AO1096" s="97"/>
      <c r="AP1096" s="97"/>
      <c r="AQ1096" s="97"/>
    </row>
    <row r="1097" spans="2:43" s="101" customFormat="1" ht="15" customHeight="1">
      <c r="B1097" s="104"/>
      <c r="C1097" s="104"/>
      <c r="D1097" s="104"/>
      <c r="E1097" s="104"/>
      <c r="F1097" s="104"/>
      <c r="G1097" s="104"/>
      <c r="H1097" s="104"/>
      <c r="I1097" s="104"/>
      <c r="J1097" s="104"/>
      <c r="K1097" s="104"/>
      <c r="L1097" s="104"/>
      <c r="R1097" s="105"/>
      <c r="S1097" s="105"/>
      <c r="T1097" s="105"/>
      <c r="U1097" s="105"/>
      <c r="V1097" s="105"/>
      <c r="W1097" s="105"/>
      <c r="AD1097" s="106"/>
      <c r="AE1097" s="97"/>
      <c r="AF1097" s="97"/>
      <c r="AG1097" s="97"/>
      <c r="AH1097" s="97"/>
      <c r="AI1097" s="97"/>
      <c r="AJ1097" s="97"/>
      <c r="AK1097" s="97"/>
      <c r="AL1097" s="97"/>
      <c r="AM1097" s="97"/>
      <c r="AN1097" s="97"/>
      <c r="AO1097" s="97"/>
      <c r="AP1097" s="97"/>
      <c r="AQ1097" s="97"/>
    </row>
    <row r="1098" spans="2:43" s="101" customFormat="1" ht="15" customHeight="1">
      <c r="B1098" s="104"/>
      <c r="C1098" s="104"/>
      <c r="D1098" s="104"/>
      <c r="E1098" s="104"/>
      <c r="F1098" s="104"/>
      <c r="G1098" s="104"/>
      <c r="H1098" s="104"/>
      <c r="I1098" s="104"/>
      <c r="J1098" s="104"/>
      <c r="K1098" s="104"/>
      <c r="L1098" s="104"/>
      <c r="R1098" s="105"/>
      <c r="S1098" s="105"/>
      <c r="T1098" s="105"/>
      <c r="U1098" s="105"/>
      <c r="V1098" s="105"/>
      <c r="W1098" s="105"/>
      <c r="AD1098" s="106"/>
      <c r="AE1098" s="97"/>
      <c r="AF1098" s="97"/>
      <c r="AG1098" s="97"/>
      <c r="AH1098" s="97"/>
      <c r="AI1098" s="97"/>
      <c r="AJ1098" s="97"/>
      <c r="AK1098" s="97"/>
      <c r="AL1098" s="97"/>
      <c r="AM1098" s="97"/>
      <c r="AN1098" s="97"/>
      <c r="AO1098" s="97"/>
      <c r="AP1098" s="97"/>
      <c r="AQ1098" s="97"/>
    </row>
    <row r="1099" spans="2:43" s="101" customFormat="1" ht="15" customHeight="1">
      <c r="B1099" s="104"/>
      <c r="C1099" s="104"/>
      <c r="D1099" s="104"/>
      <c r="E1099" s="104"/>
      <c r="F1099" s="104"/>
      <c r="G1099" s="104"/>
      <c r="H1099" s="104"/>
      <c r="I1099" s="104"/>
      <c r="J1099" s="104"/>
      <c r="K1099" s="104"/>
      <c r="L1099" s="104"/>
      <c r="R1099" s="105"/>
      <c r="S1099" s="105"/>
      <c r="T1099" s="105"/>
      <c r="U1099" s="105"/>
      <c r="V1099" s="105"/>
      <c r="W1099" s="105"/>
      <c r="AD1099" s="106"/>
      <c r="AE1099" s="97"/>
      <c r="AF1099" s="97"/>
      <c r="AG1099" s="97"/>
      <c r="AH1099" s="97"/>
      <c r="AI1099" s="97"/>
      <c r="AJ1099" s="97"/>
      <c r="AK1099" s="97"/>
      <c r="AL1099" s="97"/>
      <c r="AM1099" s="97"/>
      <c r="AN1099" s="97"/>
      <c r="AO1099" s="97"/>
      <c r="AP1099" s="97"/>
      <c r="AQ1099" s="97"/>
    </row>
    <row r="1100" spans="2:43" s="101" customFormat="1" ht="15" customHeight="1">
      <c r="B1100" s="104"/>
      <c r="C1100" s="104"/>
      <c r="D1100" s="104"/>
      <c r="E1100" s="104"/>
      <c r="F1100" s="104"/>
      <c r="G1100" s="104"/>
      <c r="H1100" s="104"/>
      <c r="I1100" s="104"/>
      <c r="J1100" s="104"/>
      <c r="K1100" s="104"/>
      <c r="L1100" s="104"/>
      <c r="R1100" s="105"/>
      <c r="S1100" s="105"/>
      <c r="T1100" s="105"/>
      <c r="U1100" s="105"/>
      <c r="V1100" s="105"/>
      <c r="W1100" s="105"/>
      <c r="AD1100" s="106"/>
      <c r="AE1100" s="97"/>
      <c r="AF1100" s="97"/>
      <c r="AG1100" s="97"/>
      <c r="AH1100" s="97"/>
      <c r="AI1100" s="97"/>
      <c r="AJ1100" s="97"/>
      <c r="AK1100" s="97"/>
      <c r="AL1100" s="97"/>
      <c r="AM1100" s="97"/>
      <c r="AN1100" s="97"/>
      <c r="AO1100" s="97"/>
      <c r="AP1100" s="97"/>
      <c r="AQ1100" s="97"/>
    </row>
    <row r="1101" spans="2:43" s="101" customFormat="1" ht="15" customHeight="1">
      <c r="B1101" s="104"/>
      <c r="C1101" s="104"/>
      <c r="D1101" s="104"/>
      <c r="E1101" s="104"/>
      <c r="F1101" s="104"/>
      <c r="G1101" s="104"/>
      <c r="H1101" s="104"/>
      <c r="I1101" s="104"/>
      <c r="J1101" s="104"/>
      <c r="K1101" s="104"/>
      <c r="L1101" s="104"/>
      <c r="R1101" s="105"/>
      <c r="S1101" s="105"/>
      <c r="T1101" s="105"/>
      <c r="U1101" s="105"/>
      <c r="V1101" s="105"/>
      <c r="W1101" s="105"/>
      <c r="AD1101" s="106"/>
      <c r="AE1101" s="97"/>
      <c r="AF1101" s="97"/>
      <c r="AG1101" s="97"/>
      <c r="AH1101" s="97"/>
      <c r="AI1101" s="97"/>
      <c r="AJ1101" s="97"/>
      <c r="AK1101" s="97"/>
      <c r="AL1101" s="97"/>
      <c r="AM1101" s="97"/>
      <c r="AN1101" s="97"/>
      <c r="AO1101" s="97"/>
      <c r="AP1101" s="97"/>
      <c r="AQ1101" s="97"/>
    </row>
    <row r="1102" spans="2:43" s="101" customFormat="1" ht="15" customHeight="1">
      <c r="B1102" s="104"/>
      <c r="C1102" s="104"/>
      <c r="D1102" s="104"/>
      <c r="E1102" s="104"/>
      <c r="F1102" s="104"/>
      <c r="G1102" s="104"/>
      <c r="H1102" s="104"/>
      <c r="I1102" s="104"/>
      <c r="J1102" s="104"/>
      <c r="K1102" s="104"/>
      <c r="L1102" s="104"/>
      <c r="R1102" s="105"/>
      <c r="S1102" s="105"/>
      <c r="T1102" s="105"/>
      <c r="U1102" s="105"/>
      <c r="V1102" s="105"/>
      <c r="W1102" s="105"/>
      <c r="AD1102" s="106"/>
      <c r="AE1102" s="97"/>
      <c r="AF1102" s="97"/>
      <c r="AG1102" s="97"/>
      <c r="AH1102" s="97"/>
      <c r="AI1102" s="97"/>
      <c r="AJ1102" s="97"/>
      <c r="AK1102" s="97"/>
      <c r="AL1102" s="97"/>
      <c r="AM1102" s="97"/>
      <c r="AN1102" s="97"/>
      <c r="AO1102" s="97"/>
      <c r="AP1102" s="97"/>
      <c r="AQ1102" s="97"/>
    </row>
    <row r="1103" spans="2:43" s="101" customFormat="1" ht="15" customHeight="1">
      <c r="B1103" s="104"/>
      <c r="C1103" s="104"/>
      <c r="D1103" s="104"/>
      <c r="E1103" s="104"/>
      <c r="F1103" s="104"/>
      <c r="G1103" s="104"/>
      <c r="H1103" s="104"/>
      <c r="I1103" s="104"/>
      <c r="J1103" s="104"/>
      <c r="K1103" s="104"/>
      <c r="L1103" s="104"/>
      <c r="R1103" s="105"/>
      <c r="S1103" s="105"/>
      <c r="T1103" s="105"/>
      <c r="U1103" s="105"/>
      <c r="V1103" s="105"/>
      <c r="W1103" s="105"/>
      <c r="AD1103" s="106"/>
      <c r="AE1103" s="97"/>
      <c r="AF1103" s="97"/>
      <c r="AG1103" s="97"/>
      <c r="AH1103" s="97"/>
      <c r="AI1103" s="97"/>
      <c r="AJ1103" s="97"/>
      <c r="AK1103" s="97"/>
      <c r="AL1103" s="97"/>
      <c r="AM1103" s="97"/>
      <c r="AN1103" s="97"/>
      <c r="AO1103" s="97"/>
      <c r="AP1103" s="97"/>
      <c r="AQ1103" s="97"/>
    </row>
    <row r="1104" spans="2:43" s="101" customFormat="1" ht="15" customHeight="1">
      <c r="B1104" s="104"/>
      <c r="C1104" s="104"/>
      <c r="D1104" s="104"/>
      <c r="E1104" s="104"/>
      <c r="F1104" s="104"/>
      <c r="G1104" s="104"/>
      <c r="H1104" s="104"/>
      <c r="I1104" s="104"/>
      <c r="J1104" s="104"/>
      <c r="K1104" s="104"/>
      <c r="L1104" s="104"/>
      <c r="R1104" s="105"/>
      <c r="S1104" s="105"/>
      <c r="T1104" s="105"/>
      <c r="U1104" s="105"/>
      <c r="V1104" s="105"/>
      <c r="W1104" s="105"/>
      <c r="AD1104" s="106"/>
      <c r="AE1104" s="97"/>
      <c r="AF1104" s="97"/>
      <c r="AG1104" s="97"/>
      <c r="AH1104" s="97"/>
      <c r="AI1104" s="97"/>
      <c r="AJ1104" s="97"/>
      <c r="AK1104" s="97"/>
      <c r="AL1104" s="97"/>
      <c r="AM1104" s="97"/>
      <c r="AN1104" s="97"/>
      <c r="AO1104" s="97"/>
      <c r="AP1104" s="97"/>
      <c r="AQ1104" s="97"/>
    </row>
    <row r="1105" spans="2:43" s="101" customFormat="1" ht="15" customHeight="1">
      <c r="B1105" s="104"/>
      <c r="C1105" s="104"/>
      <c r="D1105" s="104"/>
      <c r="E1105" s="104"/>
      <c r="F1105" s="104"/>
      <c r="G1105" s="104"/>
      <c r="H1105" s="104"/>
      <c r="I1105" s="104"/>
      <c r="J1105" s="104"/>
      <c r="K1105" s="104"/>
      <c r="L1105" s="104"/>
      <c r="R1105" s="105"/>
      <c r="S1105" s="105"/>
      <c r="T1105" s="105"/>
      <c r="U1105" s="105"/>
      <c r="V1105" s="105"/>
      <c r="W1105" s="105"/>
      <c r="AD1105" s="106"/>
      <c r="AE1105" s="97"/>
      <c r="AF1105" s="97"/>
      <c r="AG1105" s="97"/>
      <c r="AH1105" s="97"/>
      <c r="AI1105" s="97"/>
      <c r="AJ1105" s="97"/>
      <c r="AK1105" s="97"/>
      <c r="AL1105" s="97"/>
      <c r="AM1105" s="97"/>
      <c r="AN1105" s="97"/>
      <c r="AO1105" s="97"/>
      <c r="AP1105" s="97"/>
      <c r="AQ1105" s="97"/>
    </row>
    <row r="1106" spans="2:43" s="101" customFormat="1" ht="15" customHeight="1">
      <c r="B1106" s="104"/>
      <c r="C1106" s="104"/>
      <c r="D1106" s="104"/>
      <c r="E1106" s="104"/>
      <c r="F1106" s="104"/>
      <c r="G1106" s="104"/>
      <c r="H1106" s="104"/>
      <c r="I1106" s="104"/>
      <c r="J1106" s="104"/>
      <c r="K1106" s="104"/>
      <c r="L1106" s="104"/>
      <c r="R1106" s="105"/>
      <c r="S1106" s="105"/>
      <c r="T1106" s="105"/>
      <c r="U1106" s="105"/>
      <c r="V1106" s="105"/>
      <c r="W1106" s="105"/>
      <c r="AD1106" s="106"/>
      <c r="AE1106" s="97"/>
      <c r="AF1106" s="97"/>
      <c r="AG1106" s="97"/>
      <c r="AH1106" s="97"/>
      <c r="AI1106" s="97"/>
      <c r="AJ1106" s="97"/>
      <c r="AK1106" s="97"/>
      <c r="AL1106" s="97"/>
      <c r="AM1106" s="97"/>
      <c r="AN1106" s="97"/>
      <c r="AO1106" s="97"/>
      <c r="AP1106" s="97"/>
      <c r="AQ1106" s="97"/>
    </row>
    <row r="1107" spans="2:43" s="101" customFormat="1" ht="15" customHeight="1">
      <c r="B1107" s="104"/>
      <c r="C1107" s="104"/>
      <c r="D1107" s="104"/>
      <c r="E1107" s="104"/>
      <c r="F1107" s="104"/>
      <c r="G1107" s="104"/>
      <c r="H1107" s="104"/>
      <c r="I1107" s="104"/>
      <c r="J1107" s="104"/>
      <c r="K1107" s="104"/>
      <c r="L1107" s="104"/>
      <c r="R1107" s="105"/>
      <c r="S1107" s="105"/>
      <c r="T1107" s="105"/>
      <c r="U1107" s="105"/>
      <c r="V1107" s="105"/>
      <c r="W1107" s="105"/>
      <c r="AD1107" s="106"/>
      <c r="AE1107" s="97"/>
      <c r="AF1107" s="97"/>
      <c r="AG1107" s="97"/>
      <c r="AH1107" s="97"/>
      <c r="AI1107" s="97"/>
      <c r="AJ1107" s="97"/>
      <c r="AK1107" s="97"/>
      <c r="AL1107" s="97"/>
      <c r="AM1107" s="97"/>
      <c r="AN1107" s="97"/>
      <c r="AO1107" s="97"/>
      <c r="AP1107" s="97"/>
      <c r="AQ1107" s="97"/>
    </row>
    <row r="1108" spans="2:43" s="101" customFormat="1" ht="15" customHeight="1">
      <c r="B1108" s="104"/>
      <c r="C1108" s="104"/>
      <c r="D1108" s="104"/>
      <c r="E1108" s="104"/>
      <c r="F1108" s="104"/>
      <c r="G1108" s="104"/>
      <c r="H1108" s="104"/>
      <c r="I1108" s="104"/>
      <c r="J1108" s="104"/>
      <c r="K1108" s="104"/>
      <c r="L1108" s="104"/>
      <c r="R1108" s="105"/>
      <c r="S1108" s="105"/>
      <c r="T1108" s="105"/>
      <c r="U1108" s="105"/>
      <c r="V1108" s="105"/>
      <c r="W1108" s="105"/>
      <c r="AD1108" s="106"/>
      <c r="AE1108" s="97"/>
      <c r="AF1108" s="97"/>
      <c r="AG1108" s="97"/>
      <c r="AH1108" s="97"/>
      <c r="AI1108" s="97"/>
      <c r="AJ1108" s="97"/>
      <c r="AK1108" s="97"/>
      <c r="AL1108" s="97"/>
      <c r="AM1108" s="97"/>
      <c r="AN1108" s="97"/>
      <c r="AO1108" s="97"/>
      <c r="AP1108" s="97"/>
      <c r="AQ1108" s="97"/>
    </row>
    <row r="1109" spans="2:43" s="101" customFormat="1" ht="15" customHeight="1">
      <c r="B1109" s="104"/>
      <c r="C1109" s="104"/>
      <c r="D1109" s="104"/>
      <c r="E1109" s="104"/>
      <c r="F1109" s="104"/>
      <c r="G1109" s="104"/>
      <c r="H1109" s="104"/>
      <c r="I1109" s="104"/>
      <c r="J1109" s="104"/>
      <c r="K1109" s="104"/>
      <c r="L1109" s="104"/>
      <c r="R1109" s="105"/>
      <c r="S1109" s="105"/>
      <c r="T1109" s="105"/>
      <c r="U1109" s="105"/>
      <c r="V1109" s="105"/>
      <c r="W1109" s="105"/>
      <c r="AD1109" s="106"/>
      <c r="AE1109" s="97"/>
      <c r="AF1109" s="97"/>
      <c r="AG1109" s="97"/>
      <c r="AH1109" s="97"/>
      <c r="AI1109" s="97"/>
      <c r="AJ1109" s="97"/>
      <c r="AK1109" s="97"/>
      <c r="AL1109" s="97"/>
      <c r="AM1109" s="97"/>
      <c r="AN1109" s="97"/>
      <c r="AO1109" s="97"/>
      <c r="AP1109" s="97"/>
      <c r="AQ1109" s="97"/>
    </row>
    <row r="1110" spans="2:43" s="101" customFormat="1" ht="15" customHeight="1">
      <c r="B1110" s="104"/>
      <c r="C1110" s="104"/>
      <c r="D1110" s="104"/>
      <c r="E1110" s="104"/>
      <c r="F1110" s="104"/>
      <c r="G1110" s="104"/>
      <c r="H1110" s="104"/>
      <c r="I1110" s="104"/>
      <c r="J1110" s="104"/>
      <c r="K1110" s="104"/>
      <c r="L1110" s="104"/>
      <c r="R1110" s="105"/>
      <c r="S1110" s="105"/>
      <c r="T1110" s="105"/>
      <c r="U1110" s="105"/>
      <c r="V1110" s="105"/>
      <c r="W1110" s="105"/>
      <c r="AD1110" s="106"/>
      <c r="AE1110" s="97"/>
      <c r="AF1110" s="97"/>
      <c r="AG1110" s="97"/>
      <c r="AH1110" s="97"/>
      <c r="AI1110" s="97"/>
      <c r="AJ1110" s="97"/>
      <c r="AK1110" s="97"/>
      <c r="AL1110" s="97"/>
      <c r="AM1110" s="97"/>
      <c r="AN1110" s="97"/>
      <c r="AO1110" s="97"/>
      <c r="AP1110" s="97"/>
      <c r="AQ1110" s="97"/>
    </row>
    <row r="1111" spans="2:43" s="101" customFormat="1" ht="15" customHeight="1">
      <c r="B1111" s="104"/>
      <c r="C1111" s="104"/>
      <c r="D1111" s="104"/>
      <c r="E1111" s="104"/>
      <c r="F1111" s="104"/>
      <c r="G1111" s="104"/>
      <c r="H1111" s="104"/>
      <c r="I1111" s="104"/>
      <c r="J1111" s="104"/>
      <c r="K1111" s="104"/>
      <c r="L1111" s="104"/>
      <c r="R1111" s="105"/>
      <c r="S1111" s="105"/>
      <c r="T1111" s="105"/>
      <c r="U1111" s="105"/>
      <c r="V1111" s="105"/>
      <c r="W1111" s="105"/>
      <c r="AD1111" s="106"/>
      <c r="AE1111" s="97"/>
      <c r="AF1111" s="97"/>
      <c r="AG1111" s="97"/>
      <c r="AH1111" s="97"/>
      <c r="AI1111" s="97"/>
      <c r="AJ1111" s="97"/>
      <c r="AK1111" s="97"/>
      <c r="AL1111" s="97"/>
      <c r="AM1111" s="97"/>
      <c r="AN1111" s="97"/>
      <c r="AO1111" s="97"/>
      <c r="AP1111" s="97"/>
      <c r="AQ1111" s="97"/>
    </row>
    <row r="1112" spans="2:43" s="101" customFormat="1" ht="15" customHeight="1">
      <c r="B1112" s="104"/>
      <c r="C1112" s="104"/>
      <c r="D1112" s="104"/>
      <c r="E1112" s="104"/>
      <c r="F1112" s="104"/>
      <c r="G1112" s="104"/>
      <c r="H1112" s="104"/>
      <c r="I1112" s="104"/>
      <c r="J1112" s="104"/>
      <c r="K1112" s="104"/>
      <c r="L1112" s="104"/>
      <c r="R1112" s="105"/>
      <c r="S1112" s="105"/>
      <c r="T1112" s="105"/>
      <c r="U1112" s="105"/>
      <c r="V1112" s="105"/>
      <c r="W1112" s="105"/>
      <c r="AD1112" s="106"/>
      <c r="AE1112" s="97"/>
      <c r="AF1112" s="97"/>
      <c r="AG1112" s="97"/>
      <c r="AH1112" s="97"/>
      <c r="AI1112" s="97"/>
      <c r="AJ1112" s="97"/>
      <c r="AK1112" s="97"/>
      <c r="AL1112" s="97"/>
      <c r="AM1112" s="97"/>
      <c r="AN1112" s="97"/>
      <c r="AO1112" s="97"/>
      <c r="AP1112" s="97"/>
      <c r="AQ1112" s="97"/>
    </row>
    <row r="1113" spans="2:43" s="101" customFormat="1" ht="15" customHeight="1">
      <c r="B1113" s="104"/>
      <c r="C1113" s="104"/>
      <c r="D1113" s="104"/>
      <c r="E1113" s="104"/>
      <c r="F1113" s="104"/>
      <c r="G1113" s="104"/>
      <c r="H1113" s="104"/>
      <c r="I1113" s="104"/>
      <c r="J1113" s="104"/>
      <c r="K1113" s="104"/>
      <c r="L1113" s="104"/>
      <c r="R1113" s="105"/>
      <c r="S1113" s="105"/>
      <c r="T1113" s="105"/>
      <c r="U1113" s="105"/>
      <c r="V1113" s="105"/>
      <c r="W1113" s="105"/>
      <c r="AD1113" s="106"/>
      <c r="AE1113" s="97"/>
      <c r="AF1113" s="97"/>
      <c r="AG1113" s="97"/>
      <c r="AH1113" s="97"/>
      <c r="AI1113" s="97"/>
      <c r="AJ1113" s="97"/>
      <c r="AK1113" s="97"/>
      <c r="AL1113" s="97"/>
      <c r="AM1113" s="97"/>
      <c r="AN1113" s="97"/>
      <c r="AO1113" s="97"/>
      <c r="AP1113" s="97"/>
      <c r="AQ1113" s="97"/>
    </row>
    <row r="1114" spans="2:43" s="101" customFormat="1" ht="15" customHeight="1">
      <c r="B1114" s="104"/>
      <c r="C1114" s="104"/>
      <c r="D1114" s="104"/>
      <c r="E1114" s="104"/>
      <c r="F1114" s="104"/>
      <c r="G1114" s="104"/>
      <c r="H1114" s="104"/>
      <c r="I1114" s="104"/>
      <c r="J1114" s="104"/>
      <c r="K1114" s="104"/>
      <c r="L1114" s="104"/>
      <c r="R1114" s="105"/>
      <c r="S1114" s="105"/>
      <c r="T1114" s="105"/>
      <c r="U1114" s="105"/>
      <c r="V1114" s="105"/>
      <c r="W1114" s="105"/>
      <c r="AD1114" s="106"/>
      <c r="AE1114" s="97"/>
      <c r="AF1114" s="97"/>
      <c r="AG1114" s="97"/>
      <c r="AH1114" s="97"/>
      <c r="AI1114" s="97"/>
      <c r="AJ1114" s="97"/>
      <c r="AK1114" s="97"/>
      <c r="AL1114" s="97"/>
      <c r="AM1114" s="97"/>
      <c r="AN1114" s="97"/>
      <c r="AO1114" s="97"/>
      <c r="AP1114" s="97"/>
      <c r="AQ1114" s="97"/>
    </row>
    <row r="1115" spans="2:43" s="101" customFormat="1" ht="15" customHeight="1">
      <c r="B1115" s="104"/>
      <c r="C1115" s="104"/>
      <c r="D1115" s="104"/>
      <c r="E1115" s="104"/>
      <c r="F1115" s="104"/>
      <c r="G1115" s="104"/>
      <c r="H1115" s="104"/>
      <c r="I1115" s="104"/>
      <c r="J1115" s="104"/>
      <c r="K1115" s="104"/>
      <c r="L1115" s="104"/>
      <c r="R1115" s="105"/>
      <c r="S1115" s="105"/>
      <c r="T1115" s="105"/>
      <c r="U1115" s="105"/>
      <c r="V1115" s="105"/>
      <c r="W1115" s="105"/>
      <c r="AD1115" s="106"/>
      <c r="AE1115" s="97"/>
      <c r="AF1115" s="97"/>
      <c r="AG1115" s="97"/>
      <c r="AH1115" s="97"/>
      <c r="AI1115" s="97"/>
      <c r="AJ1115" s="97"/>
      <c r="AK1115" s="97"/>
      <c r="AL1115" s="97"/>
      <c r="AM1115" s="97"/>
      <c r="AN1115" s="97"/>
      <c r="AO1115" s="97"/>
      <c r="AP1115" s="97"/>
      <c r="AQ1115" s="97"/>
    </row>
    <row r="1116" spans="2:43" s="101" customFormat="1" ht="15" customHeight="1">
      <c r="B1116" s="104"/>
      <c r="C1116" s="104"/>
      <c r="D1116" s="104"/>
      <c r="E1116" s="104"/>
      <c r="F1116" s="104"/>
      <c r="G1116" s="104"/>
      <c r="H1116" s="104"/>
      <c r="I1116" s="104"/>
      <c r="J1116" s="104"/>
      <c r="K1116" s="104"/>
      <c r="L1116" s="104"/>
      <c r="R1116" s="105"/>
      <c r="S1116" s="105"/>
      <c r="T1116" s="105"/>
      <c r="U1116" s="105"/>
      <c r="V1116" s="105"/>
      <c r="W1116" s="105"/>
      <c r="AD1116" s="106"/>
      <c r="AE1116" s="97"/>
      <c r="AF1116" s="97"/>
      <c r="AG1116" s="97"/>
      <c r="AH1116" s="97"/>
      <c r="AI1116" s="97"/>
      <c r="AJ1116" s="97"/>
      <c r="AK1116" s="97"/>
      <c r="AL1116" s="97"/>
      <c r="AM1116" s="97"/>
      <c r="AN1116" s="97"/>
      <c r="AO1116" s="97"/>
      <c r="AP1116" s="97"/>
      <c r="AQ1116" s="97"/>
    </row>
    <row r="1117" spans="2:43" s="101" customFormat="1" ht="15" customHeight="1">
      <c r="B1117" s="104"/>
      <c r="C1117" s="104"/>
      <c r="D1117" s="104"/>
      <c r="E1117" s="104"/>
      <c r="F1117" s="104"/>
      <c r="G1117" s="104"/>
      <c r="H1117" s="104"/>
      <c r="I1117" s="104"/>
      <c r="J1117" s="104"/>
      <c r="K1117" s="104"/>
      <c r="L1117" s="104"/>
      <c r="R1117" s="105"/>
      <c r="S1117" s="105"/>
      <c r="T1117" s="105"/>
      <c r="U1117" s="105"/>
      <c r="V1117" s="105"/>
      <c r="W1117" s="105"/>
      <c r="AD1117" s="106"/>
      <c r="AE1117" s="97"/>
      <c r="AF1117" s="97"/>
      <c r="AG1117" s="97"/>
      <c r="AH1117" s="97"/>
      <c r="AI1117" s="97"/>
      <c r="AJ1117" s="97"/>
      <c r="AK1117" s="97"/>
      <c r="AL1117" s="97"/>
      <c r="AM1117" s="97"/>
      <c r="AN1117" s="97"/>
      <c r="AO1117" s="97"/>
      <c r="AP1117" s="97"/>
      <c r="AQ1117" s="97"/>
    </row>
    <row r="1118" spans="2:43" s="101" customFormat="1" ht="15" customHeight="1">
      <c r="B1118" s="104"/>
      <c r="C1118" s="104"/>
      <c r="D1118" s="104"/>
      <c r="E1118" s="104"/>
      <c r="F1118" s="104"/>
      <c r="G1118" s="104"/>
      <c r="H1118" s="104"/>
      <c r="I1118" s="104"/>
      <c r="J1118" s="104"/>
      <c r="K1118" s="104"/>
      <c r="L1118" s="104"/>
      <c r="R1118" s="105"/>
      <c r="S1118" s="105"/>
      <c r="T1118" s="105"/>
      <c r="U1118" s="105"/>
      <c r="V1118" s="105"/>
      <c r="W1118" s="105"/>
      <c r="AD1118" s="106"/>
      <c r="AE1118" s="97"/>
      <c r="AF1118" s="97"/>
      <c r="AG1118" s="97"/>
      <c r="AH1118" s="97"/>
      <c r="AI1118" s="97"/>
      <c r="AJ1118" s="97"/>
      <c r="AK1118" s="97"/>
      <c r="AL1118" s="97"/>
      <c r="AM1118" s="97"/>
      <c r="AN1118" s="97"/>
      <c r="AO1118" s="97"/>
      <c r="AP1118" s="97"/>
      <c r="AQ1118" s="97"/>
    </row>
    <row r="1119" spans="2:43" s="101" customFormat="1" ht="15" customHeight="1">
      <c r="B1119" s="104"/>
      <c r="C1119" s="104"/>
      <c r="D1119" s="104"/>
      <c r="E1119" s="104"/>
      <c r="F1119" s="104"/>
      <c r="G1119" s="104"/>
      <c r="H1119" s="104"/>
      <c r="I1119" s="104"/>
      <c r="J1119" s="104"/>
      <c r="K1119" s="104"/>
      <c r="L1119" s="104"/>
      <c r="R1119" s="105"/>
      <c r="S1119" s="105"/>
      <c r="T1119" s="105"/>
      <c r="U1119" s="105"/>
      <c r="V1119" s="105"/>
      <c r="W1119" s="105"/>
      <c r="AD1119" s="106"/>
      <c r="AE1119" s="97"/>
      <c r="AF1119" s="97"/>
      <c r="AG1119" s="97"/>
      <c r="AH1119" s="97"/>
      <c r="AI1119" s="97"/>
      <c r="AJ1119" s="97"/>
      <c r="AK1119" s="97"/>
      <c r="AL1119" s="97"/>
      <c r="AM1119" s="97"/>
      <c r="AN1119" s="97"/>
      <c r="AO1119" s="97"/>
      <c r="AP1119" s="97"/>
      <c r="AQ1119" s="97"/>
    </row>
    <row r="1120" spans="2:43" s="101" customFormat="1" ht="15" customHeight="1">
      <c r="B1120" s="104"/>
      <c r="C1120" s="104"/>
      <c r="D1120" s="104"/>
      <c r="E1120" s="104"/>
      <c r="F1120" s="104"/>
      <c r="G1120" s="104"/>
      <c r="H1120" s="104"/>
      <c r="I1120" s="104"/>
      <c r="J1120" s="104"/>
      <c r="K1120" s="104"/>
      <c r="L1120" s="104"/>
      <c r="R1120" s="105"/>
      <c r="S1120" s="105"/>
      <c r="T1120" s="105"/>
      <c r="U1120" s="105"/>
      <c r="V1120" s="105"/>
      <c r="W1120" s="105"/>
      <c r="AD1120" s="106"/>
      <c r="AE1120" s="97"/>
      <c r="AF1120" s="97"/>
      <c r="AG1120" s="97"/>
      <c r="AH1120" s="97"/>
      <c r="AI1120" s="97"/>
      <c r="AJ1120" s="97"/>
      <c r="AK1120" s="97"/>
      <c r="AL1120" s="97"/>
      <c r="AM1120" s="97"/>
      <c r="AN1120" s="97"/>
      <c r="AO1120" s="97"/>
      <c r="AP1120" s="97"/>
      <c r="AQ1120" s="97"/>
    </row>
    <row r="1121" spans="2:43" s="101" customFormat="1" ht="15" customHeight="1">
      <c r="B1121" s="104"/>
      <c r="C1121" s="104"/>
      <c r="D1121" s="104"/>
      <c r="E1121" s="104"/>
      <c r="F1121" s="104"/>
      <c r="G1121" s="104"/>
      <c r="H1121" s="104"/>
      <c r="I1121" s="104"/>
      <c r="J1121" s="104"/>
      <c r="K1121" s="104"/>
      <c r="L1121" s="104"/>
      <c r="R1121" s="105"/>
      <c r="S1121" s="105"/>
      <c r="T1121" s="105"/>
      <c r="U1121" s="105"/>
      <c r="V1121" s="105"/>
      <c r="W1121" s="105"/>
      <c r="AD1121" s="106"/>
      <c r="AE1121" s="97"/>
      <c r="AF1121" s="97"/>
      <c r="AG1121" s="97"/>
      <c r="AH1121" s="97"/>
      <c r="AI1121" s="97"/>
      <c r="AJ1121" s="97"/>
      <c r="AK1121" s="97"/>
      <c r="AL1121" s="97"/>
      <c r="AM1121" s="97"/>
      <c r="AN1121" s="97"/>
      <c r="AO1121" s="97"/>
      <c r="AP1121" s="97"/>
      <c r="AQ1121" s="97"/>
    </row>
    <row r="1122" spans="2:43" s="101" customFormat="1" ht="15" customHeight="1">
      <c r="B1122" s="104"/>
      <c r="C1122" s="104"/>
      <c r="D1122" s="104"/>
      <c r="E1122" s="104"/>
      <c r="F1122" s="104"/>
      <c r="G1122" s="104"/>
      <c r="H1122" s="104"/>
      <c r="I1122" s="104"/>
      <c r="J1122" s="104"/>
      <c r="K1122" s="104"/>
      <c r="L1122" s="104"/>
      <c r="R1122" s="105"/>
      <c r="S1122" s="105"/>
      <c r="T1122" s="105"/>
      <c r="U1122" s="105"/>
      <c r="V1122" s="105"/>
      <c r="W1122" s="105"/>
      <c r="AD1122" s="106"/>
      <c r="AE1122" s="97"/>
      <c r="AF1122" s="97"/>
      <c r="AG1122" s="97"/>
      <c r="AH1122" s="97"/>
      <c r="AI1122" s="97"/>
      <c r="AJ1122" s="97"/>
      <c r="AK1122" s="97"/>
      <c r="AL1122" s="97"/>
      <c r="AM1122" s="97"/>
      <c r="AN1122" s="97"/>
      <c r="AO1122" s="97"/>
      <c r="AP1122" s="97"/>
      <c r="AQ1122" s="97"/>
    </row>
    <row r="1123" spans="2:43" s="101" customFormat="1" ht="15" customHeight="1">
      <c r="B1123" s="104"/>
      <c r="C1123" s="104"/>
      <c r="D1123" s="104"/>
      <c r="E1123" s="104"/>
      <c r="F1123" s="104"/>
      <c r="G1123" s="104"/>
      <c r="H1123" s="104"/>
      <c r="I1123" s="104"/>
      <c r="J1123" s="104"/>
      <c r="K1123" s="104"/>
      <c r="L1123" s="104"/>
      <c r="R1123" s="105"/>
      <c r="S1123" s="105"/>
      <c r="T1123" s="105"/>
      <c r="U1123" s="105"/>
      <c r="V1123" s="105"/>
      <c r="W1123" s="105"/>
      <c r="AD1123" s="106"/>
      <c r="AE1123" s="97"/>
      <c r="AF1123" s="97"/>
      <c r="AG1123" s="97"/>
      <c r="AH1123" s="97"/>
      <c r="AI1123" s="97"/>
      <c r="AJ1123" s="97"/>
      <c r="AK1123" s="97"/>
      <c r="AL1123" s="97"/>
      <c r="AM1123" s="97"/>
      <c r="AN1123" s="97"/>
      <c r="AO1123" s="97"/>
      <c r="AP1123" s="97"/>
      <c r="AQ1123" s="97"/>
    </row>
    <row r="1124" spans="2:43" s="101" customFormat="1" ht="15" customHeight="1">
      <c r="B1124" s="104"/>
      <c r="C1124" s="104"/>
      <c r="D1124" s="104"/>
      <c r="E1124" s="104"/>
      <c r="F1124" s="104"/>
      <c r="G1124" s="104"/>
      <c r="H1124" s="104"/>
      <c r="I1124" s="104"/>
      <c r="J1124" s="104"/>
      <c r="K1124" s="104"/>
      <c r="L1124" s="104"/>
      <c r="R1124" s="105"/>
      <c r="S1124" s="105"/>
      <c r="T1124" s="105"/>
      <c r="U1124" s="105"/>
      <c r="V1124" s="105"/>
      <c r="W1124" s="105"/>
      <c r="AD1124" s="106"/>
      <c r="AE1124" s="97"/>
      <c r="AF1124" s="97"/>
      <c r="AG1124" s="97"/>
      <c r="AH1124" s="97"/>
      <c r="AI1124" s="97"/>
      <c r="AJ1124" s="97"/>
      <c r="AK1124" s="97"/>
      <c r="AL1124" s="97"/>
      <c r="AM1124" s="97"/>
      <c r="AN1124" s="97"/>
      <c r="AO1124" s="97"/>
      <c r="AP1124" s="97"/>
      <c r="AQ1124" s="97"/>
    </row>
    <row r="1125" spans="2:43" s="101" customFormat="1" ht="15" customHeight="1">
      <c r="B1125" s="104"/>
      <c r="C1125" s="104"/>
      <c r="D1125" s="104"/>
      <c r="E1125" s="104"/>
      <c r="F1125" s="104"/>
      <c r="G1125" s="104"/>
      <c r="H1125" s="104"/>
      <c r="I1125" s="104"/>
      <c r="J1125" s="104"/>
      <c r="K1125" s="104"/>
      <c r="L1125" s="104"/>
      <c r="R1125" s="105"/>
      <c r="S1125" s="105"/>
      <c r="T1125" s="105"/>
      <c r="U1125" s="105"/>
      <c r="V1125" s="105"/>
      <c r="W1125" s="105"/>
      <c r="AD1125" s="106"/>
      <c r="AE1125" s="97"/>
      <c r="AF1125" s="97"/>
      <c r="AG1125" s="97"/>
      <c r="AH1125" s="97"/>
      <c r="AI1125" s="97"/>
      <c r="AJ1125" s="97"/>
      <c r="AK1125" s="97"/>
      <c r="AL1125" s="97"/>
      <c r="AM1125" s="97"/>
      <c r="AN1125" s="97"/>
      <c r="AO1125" s="97"/>
      <c r="AP1125" s="97"/>
      <c r="AQ1125" s="97"/>
    </row>
    <row r="1126" spans="2:43" s="101" customFormat="1" ht="15" customHeight="1">
      <c r="B1126" s="104"/>
      <c r="C1126" s="104"/>
      <c r="D1126" s="104"/>
      <c r="E1126" s="104"/>
      <c r="F1126" s="104"/>
      <c r="G1126" s="104"/>
      <c r="H1126" s="104"/>
      <c r="I1126" s="104"/>
      <c r="J1126" s="104"/>
      <c r="K1126" s="104"/>
      <c r="L1126" s="104"/>
      <c r="R1126" s="105"/>
      <c r="S1126" s="105"/>
      <c r="T1126" s="105"/>
      <c r="U1126" s="105"/>
      <c r="V1126" s="105"/>
      <c r="W1126" s="105"/>
      <c r="AD1126" s="106"/>
      <c r="AE1126" s="97"/>
      <c r="AF1126" s="97"/>
      <c r="AG1126" s="97"/>
      <c r="AH1126" s="97"/>
      <c r="AI1126" s="97"/>
      <c r="AJ1126" s="97"/>
      <c r="AK1126" s="97"/>
      <c r="AL1126" s="97"/>
      <c r="AM1126" s="97"/>
      <c r="AN1126" s="97"/>
      <c r="AO1126" s="97"/>
      <c r="AP1126" s="97"/>
      <c r="AQ1126" s="97"/>
    </row>
    <row r="1127" spans="2:43" s="101" customFormat="1" ht="15" customHeight="1">
      <c r="B1127" s="104"/>
      <c r="C1127" s="104"/>
      <c r="D1127" s="104"/>
      <c r="E1127" s="104"/>
      <c r="F1127" s="104"/>
      <c r="G1127" s="104"/>
      <c r="H1127" s="104"/>
      <c r="I1127" s="104"/>
      <c r="J1127" s="104"/>
      <c r="K1127" s="104"/>
      <c r="L1127" s="104"/>
      <c r="R1127" s="105"/>
      <c r="S1127" s="105"/>
      <c r="T1127" s="105"/>
      <c r="U1127" s="105"/>
      <c r="V1127" s="105"/>
      <c r="W1127" s="105"/>
      <c r="AD1127" s="106"/>
      <c r="AE1127" s="97"/>
      <c r="AF1127" s="97"/>
      <c r="AG1127" s="97"/>
      <c r="AH1127" s="97"/>
      <c r="AI1127" s="97"/>
      <c r="AJ1127" s="97"/>
      <c r="AK1127" s="97"/>
      <c r="AL1127" s="97"/>
      <c r="AM1127" s="97"/>
      <c r="AN1127" s="97"/>
      <c r="AO1127" s="97"/>
      <c r="AP1127" s="97"/>
      <c r="AQ1127" s="97"/>
    </row>
    <row r="1128" spans="2:43" s="101" customFormat="1" ht="15" customHeight="1">
      <c r="B1128" s="104"/>
      <c r="C1128" s="104"/>
      <c r="D1128" s="104"/>
      <c r="E1128" s="104"/>
      <c r="F1128" s="104"/>
      <c r="G1128" s="104"/>
      <c r="H1128" s="104"/>
      <c r="I1128" s="104"/>
      <c r="J1128" s="104"/>
      <c r="K1128" s="104"/>
      <c r="L1128" s="104"/>
      <c r="R1128" s="105"/>
      <c r="S1128" s="105"/>
      <c r="T1128" s="105"/>
      <c r="U1128" s="105"/>
      <c r="V1128" s="105"/>
      <c r="W1128" s="105"/>
      <c r="AD1128" s="106"/>
      <c r="AE1128" s="97"/>
      <c r="AF1128" s="97"/>
      <c r="AG1128" s="97"/>
      <c r="AH1128" s="97"/>
      <c r="AI1128" s="97"/>
      <c r="AJ1128" s="97"/>
      <c r="AK1128" s="97"/>
      <c r="AL1128" s="97"/>
      <c r="AM1128" s="97"/>
      <c r="AN1128" s="97"/>
      <c r="AO1128" s="97"/>
      <c r="AP1128" s="97"/>
      <c r="AQ1128" s="97"/>
    </row>
    <row r="1129" spans="2:43" s="101" customFormat="1" ht="15" customHeight="1">
      <c r="B1129" s="104"/>
      <c r="C1129" s="104"/>
      <c r="D1129" s="104"/>
      <c r="E1129" s="104"/>
      <c r="F1129" s="104"/>
      <c r="G1129" s="104"/>
      <c r="H1129" s="104"/>
      <c r="I1129" s="104"/>
      <c r="J1129" s="104"/>
      <c r="K1129" s="104"/>
      <c r="L1129" s="104"/>
      <c r="R1129" s="105"/>
      <c r="S1129" s="105"/>
      <c r="T1129" s="105"/>
      <c r="U1129" s="105"/>
      <c r="V1129" s="105"/>
      <c r="W1129" s="105"/>
      <c r="AD1129" s="106"/>
      <c r="AE1129" s="97"/>
      <c r="AF1129" s="97"/>
      <c r="AG1129" s="97"/>
      <c r="AH1129" s="97"/>
      <c r="AI1129" s="97"/>
      <c r="AJ1129" s="97"/>
      <c r="AK1129" s="97"/>
      <c r="AL1129" s="97"/>
      <c r="AM1129" s="97"/>
      <c r="AN1129" s="97"/>
      <c r="AO1129" s="97"/>
      <c r="AP1129" s="97"/>
      <c r="AQ1129" s="97"/>
    </row>
    <row r="1130" spans="2:43" s="101" customFormat="1" ht="15" customHeight="1">
      <c r="B1130" s="104"/>
      <c r="C1130" s="104"/>
      <c r="D1130" s="104"/>
      <c r="E1130" s="104"/>
      <c r="F1130" s="104"/>
      <c r="G1130" s="104"/>
      <c r="H1130" s="104"/>
      <c r="I1130" s="104"/>
      <c r="J1130" s="104"/>
      <c r="K1130" s="104"/>
      <c r="L1130" s="104"/>
      <c r="R1130" s="105"/>
      <c r="S1130" s="105"/>
      <c r="T1130" s="105"/>
      <c r="U1130" s="105"/>
      <c r="V1130" s="105"/>
      <c r="W1130" s="105"/>
      <c r="AD1130" s="106"/>
      <c r="AE1130" s="97"/>
      <c r="AF1130" s="97"/>
      <c r="AG1130" s="97"/>
      <c r="AH1130" s="97"/>
      <c r="AI1130" s="97"/>
      <c r="AJ1130" s="97"/>
      <c r="AK1130" s="97"/>
      <c r="AL1130" s="97"/>
      <c r="AM1130" s="97"/>
      <c r="AN1130" s="97"/>
      <c r="AO1130" s="97"/>
      <c r="AP1130" s="97"/>
      <c r="AQ1130" s="97"/>
    </row>
    <row r="1131" spans="2:43" s="101" customFormat="1" ht="15" customHeight="1">
      <c r="B1131" s="104"/>
      <c r="C1131" s="104"/>
      <c r="D1131" s="104"/>
      <c r="E1131" s="104"/>
      <c r="F1131" s="104"/>
      <c r="G1131" s="104"/>
      <c r="H1131" s="104"/>
      <c r="I1131" s="104"/>
      <c r="J1131" s="104"/>
      <c r="K1131" s="104"/>
      <c r="L1131" s="104"/>
      <c r="R1131" s="105"/>
      <c r="S1131" s="105"/>
      <c r="T1131" s="105"/>
      <c r="U1131" s="105"/>
      <c r="V1131" s="105"/>
      <c r="W1131" s="105"/>
      <c r="AD1131" s="106"/>
      <c r="AE1131" s="97"/>
      <c r="AF1131" s="97"/>
      <c r="AG1131" s="97"/>
      <c r="AH1131" s="97"/>
      <c r="AI1131" s="97"/>
      <c r="AJ1131" s="97"/>
      <c r="AK1131" s="97"/>
      <c r="AL1131" s="97"/>
      <c r="AM1131" s="97"/>
      <c r="AN1131" s="97"/>
      <c r="AO1131" s="97"/>
      <c r="AP1131" s="97"/>
      <c r="AQ1131" s="97"/>
    </row>
    <row r="1132" spans="2:43" s="101" customFormat="1" ht="15" customHeight="1">
      <c r="B1132" s="104"/>
      <c r="C1132" s="104"/>
      <c r="D1132" s="104"/>
      <c r="E1132" s="104"/>
      <c r="F1132" s="104"/>
      <c r="G1132" s="104"/>
      <c r="H1132" s="104"/>
      <c r="I1132" s="104"/>
      <c r="J1132" s="104"/>
      <c r="K1132" s="104"/>
      <c r="L1132" s="104"/>
      <c r="R1132" s="105"/>
      <c r="S1132" s="105"/>
      <c r="T1132" s="105"/>
      <c r="U1132" s="105"/>
      <c r="V1132" s="105"/>
      <c r="W1132" s="105"/>
      <c r="AD1132" s="106"/>
      <c r="AE1132" s="97"/>
      <c r="AF1132" s="97"/>
      <c r="AG1132" s="97"/>
      <c r="AH1132" s="97"/>
      <c r="AI1132" s="97"/>
      <c r="AJ1132" s="97"/>
      <c r="AK1132" s="97"/>
      <c r="AL1132" s="97"/>
      <c r="AM1132" s="97"/>
      <c r="AN1132" s="97"/>
      <c r="AO1132" s="97"/>
      <c r="AP1132" s="97"/>
      <c r="AQ1132" s="97"/>
    </row>
    <row r="1133" spans="2:43" s="101" customFormat="1" ht="15" customHeight="1">
      <c r="B1133" s="104"/>
      <c r="C1133" s="104"/>
      <c r="D1133" s="104"/>
      <c r="E1133" s="104"/>
      <c r="F1133" s="104"/>
      <c r="G1133" s="104"/>
      <c r="H1133" s="104"/>
      <c r="I1133" s="104"/>
      <c r="J1133" s="104"/>
      <c r="K1133" s="104"/>
      <c r="L1133" s="104"/>
      <c r="R1133" s="105"/>
      <c r="S1133" s="105"/>
      <c r="T1133" s="105"/>
      <c r="U1133" s="105"/>
      <c r="V1133" s="105"/>
      <c r="W1133" s="105"/>
      <c r="AD1133" s="106"/>
      <c r="AE1133" s="97"/>
      <c r="AF1133" s="97"/>
      <c r="AG1133" s="97"/>
      <c r="AH1133" s="97"/>
      <c r="AI1133" s="97"/>
      <c r="AJ1133" s="97"/>
      <c r="AK1133" s="97"/>
      <c r="AL1133" s="97"/>
      <c r="AM1133" s="97"/>
      <c r="AN1133" s="97"/>
      <c r="AO1133" s="97"/>
      <c r="AP1133" s="97"/>
      <c r="AQ1133" s="97"/>
    </row>
    <row r="1134" spans="2:43" s="101" customFormat="1" ht="15" customHeight="1">
      <c r="B1134" s="104"/>
      <c r="C1134" s="104"/>
      <c r="D1134" s="104"/>
      <c r="E1134" s="104"/>
      <c r="F1134" s="104"/>
      <c r="G1134" s="104"/>
      <c r="H1134" s="104"/>
      <c r="I1134" s="104"/>
      <c r="J1134" s="104"/>
      <c r="K1134" s="104"/>
      <c r="L1134" s="104"/>
      <c r="R1134" s="105"/>
      <c r="S1134" s="105"/>
      <c r="T1134" s="105"/>
      <c r="U1134" s="105"/>
      <c r="V1134" s="105"/>
      <c r="W1134" s="105"/>
      <c r="AD1134" s="106"/>
      <c r="AE1134" s="97"/>
      <c r="AF1134" s="97"/>
      <c r="AG1134" s="97"/>
      <c r="AH1134" s="97"/>
      <c r="AI1134" s="97"/>
      <c r="AJ1134" s="97"/>
      <c r="AK1134" s="97"/>
      <c r="AL1134" s="97"/>
      <c r="AM1134" s="97"/>
      <c r="AN1134" s="97"/>
      <c r="AO1134" s="97"/>
      <c r="AP1134" s="97"/>
      <c r="AQ1134" s="97"/>
    </row>
    <row r="1135" spans="2:43" s="101" customFormat="1" ht="15" customHeight="1">
      <c r="B1135" s="104"/>
      <c r="C1135" s="104"/>
      <c r="D1135" s="104"/>
      <c r="E1135" s="104"/>
      <c r="F1135" s="104"/>
      <c r="G1135" s="104"/>
      <c r="H1135" s="104"/>
      <c r="I1135" s="104"/>
      <c r="J1135" s="104"/>
      <c r="K1135" s="104"/>
      <c r="L1135" s="104"/>
      <c r="R1135" s="105"/>
      <c r="S1135" s="105"/>
      <c r="T1135" s="105"/>
      <c r="U1135" s="105"/>
      <c r="V1135" s="105"/>
      <c r="W1135" s="105"/>
      <c r="AD1135" s="106"/>
      <c r="AE1135" s="97"/>
      <c r="AF1135" s="97"/>
      <c r="AG1135" s="97"/>
      <c r="AH1135" s="97"/>
      <c r="AI1135" s="97"/>
      <c r="AJ1135" s="97"/>
      <c r="AK1135" s="97"/>
      <c r="AL1135" s="97"/>
      <c r="AM1135" s="97"/>
      <c r="AN1135" s="97"/>
      <c r="AO1135" s="97"/>
      <c r="AP1135" s="97"/>
      <c r="AQ1135" s="97"/>
    </row>
    <row r="1136" spans="2:43" s="101" customFormat="1" ht="15" customHeight="1">
      <c r="B1136" s="104"/>
      <c r="C1136" s="104"/>
      <c r="D1136" s="104"/>
      <c r="E1136" s="104"/>
      <c r="F1136" s="104"/>
      <c r="G1136" s="104"/>
      <c r="H1136" s="104"/>
      <c r="I1136" s="104"/>
      <c r="J1136" s="104"/>
      <c r="K1136" s="104"/>
      <c r="L1136" s="104"/>
      <c r="R1136" s="105"/>
      <c r="S1136" s="105"/>
      <c r="T1136" s="105"/>
      <c r="U1136" s="105"/>
      <c r="V1136" s="105"/>
      <c r="W1136" s="105"/>
      <c r="AD1136" s="106"/>
      <c r="AE1136" s="97"/>
      <c r="AF1136" s="97"/>
      <c r="AG1136" s="97"/>
      <c r="AH1136" s="97"/>
      <c r="AI1136" s="97"/>
      <c r="AJ1136" s="97"/>
      <c r="AK1136" s="97"/>
      <c r="AL1136" s="97"/>
      <c r="AM1136" s="97"/>
      <c r="AN1136" s="97"/>
      <c r="AO1136" s="97"/>
      <c r="AP1136" s="97"/>
      <c r="AQ1136" s="97"/>
    </row>
    <row r="1137" spans="2:43" s="101" customFormat="1" ht="15" customHeight="1">
      <c r="B1137" s="104"/>
      <c r="C1137" s="104"/>
      <c r="D1137" s="104"/>
      <c r="E1137" s="104"/>
      <c r="F1137" s="104"/>
      <c r="G1137" s="104"/>
      <c r="H1137" s="104"/>
      <c r="I1137" s="104"/>
      <c r="J1137" s="104"/>
      <c r="K1137" s="104"/>
      <c r="L1137" s="104"/>
      <c r="R1137" s="105"/>
      <c r="S1137" s="105"/>
      <c r="T1137" s="105"/>
      <c r="U1137" s="105"/>
      <c r="V1137" s="105"/>
      <c r="W1137" s="105"/>
      <c r="AD1137" s="106"/>
      <c r="AE1137" s="97"/>
      <c r="AF1137" s="97"/>
      <c r="AG1137" s="97"/>
      <c r="AH1137" s="97"/>
      <c r="AI1137" s="97"/>
      <c r="AJ1137" s="97"/>
      <c r="AK1137" s="97"/>
      <c r="AL1137" s="97"/>
      <c r="AM1137" s="97"/>
      <c r="AN1137" s="97"/>
      <c r="AO1137" s="97"/>
      <c r="AP1137" s="97"/>
      <c r="AQ1137" s="97"/>
    </row>
    <row r="1138" spans="2:43" s="101" customFormat="1" ht="15" customHeight="1">
      <c r="B1138" s="104"/>
      <c r="C1138" s="104"/>
      <c r="D1138" s="104"/>
      <c r="E1138" s="104"/>
      <c r="F1138" s="104"/>
      <c r="G1138" s="104"/>
      <c r="H1138" s="104"/>
      <c r="I1138" s="104"/>
      <c r="J1138" s="104"/>
      <c r="K1138" s="104"/>
      <c r="L1138" s="104"/>
      <c r="R1138" s="105"/>
      <c r="S1138" s="105"/>
      <c r="T1138" s="105"/>
      <c r="U1138" s="105"/>
      <c r="V1138" s="105"/>
      <c r="W1138" s="105"/>
      <c r="AD1138" s="106"/>
      <c r="AE1138" s="97"/>
      <c r="AF1138" s="97"/>
      <c r="AG1138" s="97"/>
      <c r="AH1138" s="97"/>
      <c r="AI1138" s="97"/>
      <c r="AJ1138" s="97"/>
      <c r="AK1138" s="97"/>
      <c r="AL1138" s="97"/>
      <c r="AM1138" s="97"/>
      <c r="AN1138" s="97"/>
      <c r="AO1138" s="97"/>
      <c r="AP1138" s="97"/>
      <c r="AQ1138" s="97"/>
    </row>
    <row r="1139" spans="2:43" s="101" customFormat="1" ht="15" customHeight="1">
      <c r="B1139" s="104"/>
      <c r="C1139" s="104"/>
      <c r="D1139" s="104"/>
      <c r="E1139" s="104"/>
      <c r="F1139" s="104"/>
      <c r="G1139" s="104"/>
      <c r="H1139" s="104"/>
      <c r="I1139" s="104"/>
      <c r="J1139" s="104"/>
      <c r="K1139" s="104"/>
      <c r="L1139" s="104"/>
      <c r="R1139" s="105"/>
      <c r="S1139" s="105"/>
      <c r="T1139" s="105"/>
      <c r="U1139" s="105"/>
      <c r="V1139" s="105"/>
      <c r="W1139" s="105"/>
      <c r="AD1139" s="106"/>
      <c r="AE1139" s="97"/>
      <c r="AF1139" s="97"/>
      <c r="AG1139" s="97"/>
      <c r="AH1139" s="97"/>
      <c r="AI1139" s="97"/>
      <c r="AJ1139" s="97"/>
      <c r="AK1139" s="97"/>
      <c r="AL1139" s="97"/>
      <c r="AM1139" s="97"/>
      <c r="AN1139" s="97"/>
      <c r="AO1139" s="97"/>
      <c r="AP1139" s="97"/>
      <c r="AQ1139" s="97"/>
    </row>
    <row r="1140" spans="2:43" s="101" customFormat="1" ht="15" customHeight="1">
      <c r="B1140" s="104"/>
      <c r="C1140" s="104"/>
      <c r="D1140" s="104"/>
      <c r="E1140" s="104"/>
      <c r="F1140" s="104"/>
      <c r="G1140" s="104"/>
      <c r="H1140" s="104"/>
      <c r="I1140" s="104"/>
      <c r="J1140" s="104"/>
      <c r="K1140" s="104"/>
      <c r="L1140" s="104"/>
      <c r="R1140" s="105"/>
      <c r="S1140" s="105"/>
      <c r="T1140" s="105"/>
      <c r="U1140" s="105"/>
      <c r="V1140" s="105"/>
      <c r="W1140" s="105"/>
      <c r="AD1140" s="106"/>
      <c r="AE1140" s="97"/>
      <c r="AF1140" s="97"/>
      <c r="AG1140" s="97"/>
      <c r="AH1140" s="97"/>
      <c r="AI1140" s="97"/>
      <c r="AJ1140" s="97"/>
      <c r="AK1140" s="97"/>
      <c r="AL1140" s="97"/>
      <c r="AM1140" s="97"/>
      <c r="AN1140" s="97"/>
      <c r="AO1140" s="97"/>
      <c r="AP1140" s="97"/>
      <c r="AQ1140" s="97"/>
    </row>
    <row r="1141" spans="2:43" s="101" customFormat="1" ht="15" customHeight="1">
      <c r="B1141" s="104"/>
      <c r="C1141" s="104"/>
      <c r="D1141" s="104"/>
      <c r="E1141" s="104"/>
      <c r="F1141" s="104"/>
      <c r="G1141" s="104"/>
      <c r="H1141" s="104"/>
      <c r="I1141" s="104"/>
      <c r="J1141" s="104"/>
      <c r="K1141" s="104"/>
      <c r="L1141" s="104"/>
      <c r="R1141" s="105"/>
      <c r="S1141" s="105"/>
      <c r="T1141" s="105"/>
      <c r="U1141" s="105"/>
      <c r="V1141" s="105"/>
      <c r="W1141" s="105"/>
      <c r="AD1141" s="106"/>
      <c r="AE1141" s="97"/>
      <c r="AF1141" s="97"/>
      <c r="AG1141" s="97"/>
      <c r="AH1141" s="97"/>
      <c r="AI1141" s="97"/>
      <c r="AJ1141" s="97"/>
      <c r="AK1141" s="97"/>
      <c r="AL1141" s="97"/>
      <c r="AM1141" s="97"/>
      <c r="AN1141" s="97"/>
      <c r="AO1141" s="97"/>
      <c r="AP1141" s="97"/>
      <c r="AQ1141" s="97"/>
    </row>
    <row r="1142" spans="2:43" s="101" customFormat="1" ht="15" customHeight="1">
      <c r="B1142" s="104"/>
      <c r="C1142" s="104"/>
      <c r="D1142" s="104"/>
      <c r="E1142" s="104"/>
      <c r="F1142" s="104"/>
      <c r="G1142" s="104"/>
      <c r="H1142" s="104"/>
      <c r="I1142" s="104"/>
      <c r="J1142" s="104"/>
      <c r="K1142" s="104"/>
      <c r="L1142" s="104"/>
      <c r="R1142" s="105"/>
      <c r="S1142" s="105"/>
      <c r="T1142" s="105"/>
      <c r="U1142" s="105"/>
      <c r="V1142" s="105"/>
      <c r="W1142" s="105"/>
      <c r="AD1142" s="106"/>
      <c r="AE1142" s="97"/>
      <c r="AF1142" s="97"/>
      <c r="AG1142" s="97"/>
      <c r="AH1142" s="97"/>
      <c r="AI1142" s="97"/>
      <c r="AJ1142" s="97"/>
      <c r="AK1142" s="97"/>
      <c r="AL1142" s="97"/>
      <c r="AM1142" s="97"/>
      <c r="AN1142" s="97"/>
      <c r="AO1142" s="97"/>
      <c r="AP1142" s="97"/>
      <c r="AQ1142" s="97"/>
    </row>
    <row r="1143" spans="2:43" s="101" customFormat="1" ht="15" customHeight="1">
      <c r="B1143" s="104"/>
      <c r="C1143" s="104"/>
      <c r="D1143" s="104"/>
      <c r="E1143" s="104"/>
      <c r="F1143" s="104"/>
      <c r="G1143" s="104"/>
      <c r="H1143" s="104"/>
      <c r="I1143" s="104"/>
      <c r="J1143" s="104"/>
      <c r="K1143" s="104"/>
      <c r="L1143" s="104"/>
      <c r="R1143" s="105"/>
      <c r="S1143" s="105"/>
      <c r="T1143" s="105"/>
      <c r="U1143" s="105"/>
      <c r="V1143" s="105"/>
      <c r="W1143" s="105"/>
      <c r="AD1143" s="106"/>
      <c r="AE1143" s="97"/>
      <c r="AF1143" s="97"/>
      <c r="AG1143" s="97"/>
      <c r="AH1143" s="97"/>
      <c r="AI1143" s="97"/>
      <c r="AJ1143" s="97"/>
      <c r="AK1143" s="97"/>
      <c r="AL1143" s="97"/>
      <c r="AM1143" s="97"/>
      <c r="AN1143" s="97"/>
      <c r="AO1143" s="97"/>
      <c r="AP1143" s="97"/>
      <c r="AQ1143" s="97"/>
    </row>
    <row r="1144" spans="2:43" s="101" customFormat="1" ht="15" customHeight="1">
      <c r="B1144" s="104"/>
      <c r="C1144" s="104"/>
      <c r="D1144" s="104"/>
      <c r="E1144" s="104"/>
      <c r="F1144" s="104"/>
      <c r="G1144" s="104"/>
      <c r="H1144" s="104"/>
      <c r="I1144" s="104"/>
      <c r="J1144" s="104"/>
      <c r="K1144" s="104"/>
      <c r="L1144" s="104"/>
      <c r="R1144" s="105"/>
      <c r="S1144" s="105"/>
      <c r="T1144" s="105"/>
      <c r="U1144" s="105"/>
      <c r="V1144" s="105"/>
      <c r="W1144" s="105"/>
      <c r="AD1144" s="106"/>
      <c r="AE1144" s="97"/>
      <c r="AF1144" s="97"/>
      <c r="AG1144" s="97"/>
      <c r="AH1144" s="97"/>
      <c r="AI1144" s="97"/>
      <c r="AJ1144" s="97"/>
      <c r="AK1144" s="97"/>
      <c r="AL1144" s="97"/>
      <c r="AM1144" s="97"/>
      <c r="AN1144" s="97"/>
      <c r="AO1144" s="97"/>
      <c r="AP1144" s="97"/>
      <c r="AQ1144" s="97"/>
    </row>
    <row r="1145" spans="2:43" s="101" customFormat="1" ht="15" customHeight="1">
      <c r="B1145" s="104"/>
      <c r="C1145" s="104"/>
      <c r="D1145" s="104"/>
      <c r="E1145" s="104"/>
      <c r="F1145" s="104"/>
      <c r="G1145" s="104"/>
      <c r="H1145" s="104"/>
      <c r="I1145" s="104"/>
      <c r="J1145" s="104"/>
      <c r="K1145" s="104"/>
      <c r="L1145" s="104"/>
      <c r="R1145" s="105"/>
      <c r="S1145" s="105"/>
      <c r="T1145" s="105"/>
      <c r="U1145" s="105"/>
      <c r="V1145" s="105"/>
      <c r="W1145" s="105"/>
      <c r="AD1145" s="106"/>
      <c r="AE1145" s="97"/>
      <c r="AF1145" s="97"/>
      <c r="AG1145" s="97"/>
      <c r="AH1145" s="97"/>
      <c r="AI1145" s="97"/>
      <c r="AJ1145" s="97"/>
      <c r="AK1145" s="97"/>
      <c r="AL1145" s="97"/>
      <c r="AM1145" s="97"/>
      <c r="AN1145" s="97"/>
      <c r="AO1145" s="97"/>
      <c r="AP1145" s="97"/>
      <c r="AQ1145" s="97"/>
    </row>
    <row r="1146" spans="2:43" s="101" customFormat="1" ht="15" customHeight="1">
      <c r="B1146" s="104"/>
      <c r="C1146" s="104"/>
      <c r="D1146" s="104"/>
      <c r="E1146" s="104"/>
      <c r="F1146" s="104"/>
      <c r="G1146" s="104"/>
      <c r="H1146" s="104"/>
      <c r="I1146" s="104"/>
      <c r="J1146" s="104"/>
      <c r="K1146" s="104"/>
      <c r="L1146" s="104"/>
      <c r="R1146" s="105"/>
      <c r="S1146" s="105"/>
      <c r="T1146" s="105"/>
      <c r="U1146" s="105"/>
      <c r="V1146" s="105"/>
      <c r="W1146" s="105"/>
      <c r="AD1146" s="106"/>
      <c r="AE1146" s="97"/>
      <c r="AF1146" s="97"/>
      <c r="AG1146" s="97"/>
      <c r="AH1146" s="97"/>
      <c r="AI1146" s="97"/>
      <c r="AJ1146" s="97"/>
      <c r="AK1146" s="97"/>
      <c r="AL1146" s="97"/>
      <c r="AM1146" s="97"/>
      <c r="AN1146" s="97"/>
      <c r="AO1146" s="97"/>
      <c r="AP1146" s="97"/>
      <c r="AQ1146" s="97"/>
    </row>
    <row r="1147" spans="2:43" s="101" customFormat="1" ht="15" customHeight="1">
      <c r="B1147" s="104"/>
      <c r="C1147" s="104"/>
      <c r="D1147" s="104"/>
      <c r="E1147" s="104"/>
      <c r="F1147" s="104"/>
      <c r="G1147" s="104"/>
      <c r="H1147" s="104"/>
      <c r="I1147" s="104"/>
      <c r="J1147" s="104"/>
      <c r="K1147" s="104"/>
      <c r="L1147" s="104"/>
      <c r="R1147" s="105"/>
      <c r="S1147" s="105"/>
      <c r="T1147" s="105"/>
      <c r="U1147" s="105"/>
      <c r="V1147" s="105"/>
      <c r="W1147" s="105"/>
      <c r="AD1147" s="106"/>
      <c r="AE1147" s="97"/>
      <c r="AF1147" s="97"/>
      <c r="AG1147" s="97"/>
      <c r="AH1147" s="97"/>
      <c r="AI1147" s="97"/>
      <c r="AJ1147" s="97"/>
      <c r="AK1147" s="97"/>
      <c r="AL1147" s="97"/>
      <c r="AM1147" s="97"/>
      <c r="AN1147" s="97"/>
      <c r="AO1147" s="97"/>
      <c r="AP1147" s="97"/>
      <c r="AQ1147" s="97"/>
    </row>
    <row r="1148" spans="2:43" s="101" customFormat="1" ht="15" customHeight="1">
      <c r="B1148" s="104"/>
      <c r="C1148" s="104"/>
      <c r="D1148" s="104"/>
      <c r="E1148" s="104"/>
      <c r="F1148" s="104"/>
      <c r="G1148" s="104"/>
      <c r="H1148" s="104"/>
      <c r="I1148" s="104"/>
      <c r="J1148" s="104"/>
      <c r="K1148" s="104"/>
      <c r="L1148" s="104"/>
      <c r="R1148" s="105"/>
      <c r="S1148" s="105"/>
      <c r="T1148" s="105"/>
      <c r="U1148" s="105"/>
      <c r="V1148" s="105"/>
      <c r="W1148" s="105"/>
      <c r="AD1148" s="106"/>
      <c r="AE1148" s="97"/>
      <c r="AF1148" s="97"/>
      <c r="AG1148" s="97"/>
      <c r="AH1148" s="97"/>
      <c r="AI1148" s="97"/>
      <c r="AJ1148" s="97"/>
      <c r="AK1148" s="97"/>
      <c r="AL1148" s="97"/>
      <c r="AM1148" s="97"/>
      <c r="AN1148" s="97"/>
      <c r="AO1148" s="97"/>
      <c r="AP1148" s="97"/>
      <c r="AQ1148" s="97"/>
    </row>
    <row r="1149" spans="2:43" s="101" customFormat="1" ht="15" customHeight="1">
      <c r="B1149" s="104"/>
      <c r="C1149" s="104"/>
      <c r="D1149" s="104"/>
      <c r="E1149" s="104"/>
      <c r="F1149" s="104"/>
      <c r="G1149" s="104"/>
      <c r="H1149" s="104"/>
      <c r="I1149" s="104"/>
      <c r="J1149" s="104"/>
      <c r="K1149" s="104"/>
      <c r="L1149" s="104"/>
      <c r="R1149" s="105"/>
      <c r="S1149" s="105"/>
      <c r="T1149" s="105"/>
      <c r="U1149" s="105"/>
      <c r="V1149" s="105"/>
      <c r="W1149" s="105"/>
      <c r="AD1149" s="106"/>
      <c r="AE1149" s="97"/>
      <c r="AF1149" s="97"/>
      <c r="AG1149" s="97"/>
      <c r="AH1149" s="97"/>
      <c r="AI1149" s="97"/>
      <c r="AJ1149" s="97"/>
      <c r="AK1149" s="97"/>
      <c r="AL1149" s="97"/>
      <c r="AM1149" s="97"/>
      <c r="AN1149" s="97"/>
      <c r="AO1149" s="97"/>
      <c r="AP1149" s="97"/>
      <c r="AQ1149" s="97"/>
    </row>
    <row r="1150" spans="2:43" s="101" customFormat="1" ht="15" customHeight="1">
      <c r="B1150" s="104"/>
      <c r="C1150" s="104"/>
      <c r="D1150" s="104"/>
      <c r="E1150" s="104"/>
      <c r="F1150" s="104"/>
      <c r="G1150" s="104"/>
      <c r="H1150" s="104"/>
      <c r="I1150" s="104"/>
      <c r="J1150" s="104"/>
      <c r="K1150" s="104"/>
      <c r="L1150" s="104"/>
      <c r="R1150" s="105"/>
      <c r="S1150" s="105"/>
      <c r="T1150" s="105"/>
      <c r="U1150" s="105"/>
      <c r="V1150" s="105"/>
      <c r="W1150" s="105"/>
      <c r="AD1150" s="106"/>
      <c r="AE1150" s="97"/>
      <c r="AF1150" s="97"/>
      <c r="AG1150" s="97"/>
      <c r="AH1150" s="97"/>
      <c r="AI1150" s="97"/>
      <c r="AJ1150" s="97"/>
      <c r="AK1150" s="97"/>
      <c r="AL1150" s="97"/>
      <c r="AM1150" s="97"/>
      <c r="AN1150" s="97"/>
      <c r="AO1150" s="97"/>
      <c r="AP1150" s="97"/>
      <c r="AQ1150" s="97"/>
    </row>
    <row r="1151" spans="2:43" s="101" customFormat="1" ht="15" customHeight="1">
      <c r="B1151" s="104"/>
      <c r="C1151" s="104"/>
      <c r="D1151" s="104"/>
      <c r="E1151" s="104"/>
      <c r="F1151" s="104"/>
      <c r="G1151" s="104"/>
      <c r="H1151" s="104"/>
      <c r="I1151" s="104"/>
      <c r="J1151" s="104"/>
      <c r="K1151" s="104"/>
      <c r="L1151" s="104"/>
      <c r="R1151" s="105"/>
      <c r="S1151" s="105"/>
      <c r="T1151" s="105"/>
      <c r="U1151" s="105"/>
      <c r="V1151" s="105"/>
      <c r="W1151" s="105"/>
      <c r="AD1151" s="106"/>
      <c r="AE1151" s="97"/>
      <c r="AF1151" s="97"/>
      <c r="AG1151" s="97"/>
      <c r="AH1151" s="97"/>
      <c r="AI1151" s="97"/>
      <c r="AJ1151" s="97"/>
      <c r="AK1151" s="97"/>
      <c r="AL1151" s="97"/>
      <c r="AM1151" s="97"/>
      <c r="AN1151" s="97"/>
      <c r="AO1151" s="97"/>
      <c r="AP1151" s="97"/>
      <c r="AQ1151" s="97"/>
    </row>
    <row r="1152" spans="2:43" s="101" customFormat="1" ht="15" customHeight="1">
      <c r="B1152" s="104"/>
      <c r="C1152" s="104"/>
      <c r="D1152" s="104"/>
      <c r="E1152" s="104"/>
      <c r="F1152" s="104"/>
      <c r="G1152" s="104"/>
      <c r="H1152" s="104"/>
      <c r="I1152" s="104"/>
      <c r="J1152" s="104"/>
      <c r="K1152" s="104"/>
      <c r="L1152" s="104"/>
      <c r="R1152" s="105"/>
      <c r="S1152" s="105"/>
      <c r="T1152" s="105"/>
      <c r="U1152" s="105"/>
      <c r="V1152" s="105"/>
      <c r="W1152" s="105"/>
      <c r="AD1152" s="106"/>
      <c r="AE1152" s="97"/>
      <c r="AF1152" s="97"/>
      <c r="AG1152" s="97"/>
      <c r="AH1152" s="97"/>
      <c r="AI1152" s="97"/>
      <c r="AJ1152" s="97"/>
      <c r="AK1152" s="97"/>
      <c r="AL1152" s="97"/>
      <c r="AM1152" s="97"/>
      <c r="AN1152" s="97"/>
      <c r="AO1152" s="97"/>
      <c r="AP1152" s="97"/>
      <c r="AQ1152" s="97"/>
    </row>
    <row r="1153" spans="2:43" s="101" customFormat="1" ht="15" customHeight="1">
      <c r="B1153" s="104"/>
      <c r="C1153" s="104"/>
      <c r="D1153" s="104"/>
      <c r="E1153" s="104"/>
      <c r="F1153" s="104"/>
      <c r="G1153" s="104"/>
      <c r="H1153" s="104"/>
      <c r="I1153" s="104"/>
      <c r="J1153" s="104"/>
      <c r="K1153" s="104"/>
      <c r="L1153" s="104"/>
      <c r="R1153" s="105"/>
      <c r="S1153" s="105"/>
      <c r="T1153" s="105"/>
      <c r="U1153" s="105"/>
      <c r="V1153" s="105"/>
      <c r="W1153" s="105"/>
      <c r="AD1153" s="106"/>
      <c r="AE1153" s="97"/>
      <c r="AF1153" s="97"/>
      <c r="AG1153" s="97"/>
      <c r="AH1153" s="97"/>
      <c r="AI1153" s="97"/>
      <c r="AJ1153" s="97"/>
      <c r="AK1153" s="97"/>
      <c r="AL1153" s="97"/>
      <c r="AM1153" s="97"/>
      <c r="AN1153" s="97"/>
      <c r="AO1153" s="97"/>
      <c r="AP1153" s="97"/>
      <c r="AQ1153" s="97"/>
    </row>
    <row r="1154" spans="2:43" s="101" customFormat="1" ht="15" customHeight="1">
      <c r="B1154" s="104"/>
      <c r="C1154" s="104"/>
      <c r="D1154" s="104"/>
      <c r="E1154" s="104"/>
      <c r="F1154" s="104"/>
      <c r="G1154" s="104"/>
      <c r="H1154" s="104"/>
      <c r="I1154" s="104"/>
      <c r="J1154" s="104"/>
      <c r="K1154" s="104"/>
      <c r="L1154" s="104"/>
      <c r="R1154" s="105"/>
      <c r="S1154" s="105"/>
      <c r="T1154" s="105"/>
      <c r="U1154" s="105"/>
      <c r="V1154" s="105"/>
      <c r="W1154" s="105"/>
      <c r="AD1154" s="106"/>
      <c r="AE1154" s="97"/>
      <c r="AF1154" s="97"/>
      <c r="AG1154" s="97"/>
      <c r="AH1154" s="97"/>
      <c r="AI1154" s="97"/>
      <c r="AJ1154" s="97"/>
      <c r="AK1154" s="97"/>
      <c r="AL1154" s="97"/>
      <c r="AM1154" s="97"/>
      <c r="AN1154" s="97"/>
      <c r="AO1154" s="97"/>
      <c r="AP1154" s="97"/>
      <c r="AQ1154" s="97"/>
    </row>
    <row r="1155" spans="2:43" s="101" customFormat="1" ht="15" customHeight="1">
      <c r="B1155" s="104"/>
      <c r="C1155" s="104"/>
      <c r="D1155" s="104"/>
      <c r="E1155" s="104"/>
      <c r="F1155" s="104"/>
      <c r="G1155" s="104"/>
      <c r="H1155" s="104"/>
      <c r="I1155" s="104"/>
      <c r="J1155" s="104"/>
      <c r="K1155" s="104"/>
      <c r="L1155" s="104"/>
      <c r="R1155" s="105"/>
      <c r="S1155" s="105"/>
      <c r="T1155" s="105"/>
      <c r="U1155" s="105"/>
      <c r="V1155" s="105"/>
      <c r="W1155" s="105"/>
      <c r="AD1155" s="106"/>
      <c r="AE1155" s="97"/>
      <c r="AF1155" s="97"/>
      <c r="AG1155" s="97"/>
      <c r="AH1155" s="97"/>
      <c r="AI1155" s="97"/>
      <c r="AJ1155" s="97"/>
      <c r="AK1155" s="97"/>
      <c r="AL1155" s="97"/>
      <c r="AM1155" s="97"/>
      <c r="AN1155" s="97"/>
      <c r="AO1155" s="97"/>
      <c r="AP1155" s="97"/>
      <c r="AQ1155" s="97"/>
    </row>
    <row r="1156" spans="2:43" s="101" customFormat="1" ht="15" customHeight="1">
      <c r="B1156" s="104"/>
      <c r="C1156" s="104"/>
      <c r="D1156" s="104"/>
      <c r="E1156" s="104"/>
      <c r="F1156" s="104"/>
      <c r="G1156" s="104"/>
      <c r="H1156" s="104"/>
      <c r="I1156" s="104"/>
      <c r="J1156" s="104"/>
      <c r="K1156" s="104"/>
      <c r="L1156" s="104"/>
      <c r="R1156" s="105"/>
      <c r="S1156" s="105"/>
      <c r="T1156" s="105"/>
      <c r="U1156" s="105"/>
      <c r="V1156" s="105"/>
      <c r="W1156" s="105"/>
      <c r="AD1156" s="106"/>
      <c r="AE1156" s="97"/>
      <c r="AF1156" s="97"/>
      <c r="AG1156" s="97"/>
      <c r="AH1156" s="97"/>
      <c r="AI1156" s="97"/>
      <c r="AJ1156" s="97"/>
      <c r="AK1156" s="97"/>
      <c r="AL1156" s="97"/>
      <c r="AM1156" s="97"/>
      <c r="AN1156" s="97"/>
      <c r="AO1156" s="97"/>
      <c r="AP1156" s="97"/>
      <c r="AQ1156" s="97"/>
    </row>
    <row r="1157" spans="2:43" s="101" customFormat="1" ht="15" customHeight="1">
      <c r="B1157" s="104"/>
      <c r="C1157" s="104"/>
      <c r="D1157" s="104"/>
      <c r="E1157" s="104"/>
      <c r="F1157" s="104"/>
      <c r="G1157" s="104"/>
      <c r="H1157" s="104"/>
      <c r="I1157" s="104"/>
      <c r="J1157" s="104"/>
      <c r="K1157" s="104"/>
      <c r="L1157" s="104"/>
      <c r="R1157" s="105"/>
      <c r="S1157" s="105"/>
      <c r="T1157" s="105"/>
      <c r="U1157" s="105"/>
      <c r="V1157" s="105"/>
      <c r="W1157" s="105"/>
      <c r="AD1157" s="106"/>
      <c r="AE1157" s="97"/>
      <c r="AF1157" s="97"/>
      <c r="AG1157" s="97"/>
      <c r="AH1157" s="97"/>
      <c r="AI1157" s="97"/>
      <c r="AJ1157" s="97"/>
      <c r="AK1157" s="97"/>
      <c r="AL1157" s="97"/>
      <c r="AM1157" s="97"/>
      <c r="AN1157" s="97"/>
      <c r="AO1157" s="97"/>
      <c r="AP1157" s="97"/>
      <c r="AQ1157" s="97"/>
    </row>
    <row r="1158" spans="2:43" s="101" customFormat="1" ht="15" customHeight="1">
      <c r="B1158" s="104"/>
      <c r="C1158" s="104"/>
      <c r="D1158" s="104"/>
      <c r="E1158" s="104"/>
      <c r="F1158" s="104"/>
      <c r="G1158" s="104"/>
      <c r="H1158" s="104"/>
      <c r="I1158" s="104"/>
      <c r="J1158" s="104"/>
      <c r="K1158" s="104"/>
      <c r="L1158" s="104"/>
      <c r="R1158" s="105"/>
      <c r="S1158" s="105"/>
      <c r="T1158" s="105"/>
      <c r="U1158" s="105"/>
      <c r="V1158" s="105"/>
      <c r="W1158" s="105"/>
      <c r="AD1158" s="106"/>
      <c r="AE1158" s="97"/>
      <c r="AF1158" s="97"/>
      <c r="AG1158" s="97"/>
      <c r="AH1158" s="97"/>
      <c r="AI1158" s="97"/>
      <c r="AJ1158" s="97"/>
      <c r="AK1158" s="97"/>
      <c r="AL1158" s="97"/>
      <c r="AM1158" s="97"/>
      <c r="AN1158" s="97"/>
      <c r="AO1158" s="97"/>
      <c r="AP1158" s="97"/>
      <c r="AQ1158" s="97"/>
    </row>
    <row r="1159" spans="2:43" s="101" customFormat="1" ht="15" customHeight="1">
      <c r="B1159" s="104"/>
      <c r="C1159" s="104"/>
      <c r="D1159" s="104"/>
      <c r="E1159" s="104"/>
      <c r="F1159" s="104"/>
      <c r="G1159" s="104"/>
      <c r="H1159" s="104"/>
      <c r="I1159" s="104"/>
      <c r="J1159" s="104"/>
      <c r="K1159" s="104"/>
      <c r="L1159" s="104"/>
      <c r="R1159" s="105"/>
      <c r="S1159" s="105"/>
      <c r="T1159" s="105"/>
      <c r="U1159" s="105"/>
      <c r="V1159" s="105"/>
      <c r="W1159" s="105"/>
      <c r="AD1159" s="106"/>
      <c r="AE1159" s="97"/>
      <c r="AF1159" s="97"/>
      <c r="AG1159" s="97"/>
      <c r="AH1159" s="97"/>
      <c r="AI1159" s="97"/>
      <c r="AJ1159" s="97"/>
      <c r="AK1159" s="97"/>
      <c r="AL1159" s="97"/>
      <c r="AM1159" s="97"/>
      <c r="AN1159" s="97"/>
      <c r="AO1159" s="97"/>
      <c r="AP1159" s="97"/>
      <c r="AQ1159" s="97"/>
    </row>
    <row r="1160" spans="2:43" s="101" customFormat="1" ht="15" customHeight="1">
      <c r="B1160" s="104"/>
      <c r="C1160" s="104"/>
      <c r="D1160" s="104"/>
      <c r="E1160" s="104"/>
      <c r="F1160" s="104"/>
      <c r="G1160" s="104"/>
      <c r="H1160" s="104"/>
      <c r="I1160" s="104"/>
      <c r="J1160" s="104"/>
      <c r="K1160" s="104"/>
      <c r="L1160" s="104"/>
      <c r="R1160" s="105"/>
      <c r="S1160" s="105"/>
      <c r="T1160" s="105"/>
      <c r="U1160" s="105"/>
      <c r="V1160" s="105"/>
      <c r="W1160" s="105"/>
      <c r="AD1160" s="106"/>
      <c r="AE1160" s="97"/>
      <c r="AF1160" s="97"/>
      <c r="AG1160" s="97"/>
      <c r="AH1160" s="97"/>
      <c r="AI1160" s="97"/>
      <c r="AJ1160" s="97"/>
      <c r="AK1160" s="97"/>
      <c r="AL1160" s="97"/>
      <c r="AM1160" s="97"/>
      <c r="AN1160" s="97"/>
      <c r="AO1160" s="97"/>
      <c r="AP1160" s="97"/>
      <c r="AQ1160" s="97"/>
    </row>
    <row r="1161" spans="2:43" s="101" customFormat="1" ht="15" customHeight="1">
      <c r="B1161" s="104"/>
      <c r="C1161" s="104"/>
      <c r="D1161" s="104"/>
      <c r="E1161" s="104"/>
      <c r="F1161" s="104"/>
      <c r="G1161" s="104"/>
      <c r="H1161" s="104"/>
      <c r="I1161" s="104"/>
      <c r="J1161" s="104"/>
      <c r="K1161" s="104"/>
      <c r="L1161" s="104"/>
      <c r="R1161" s="105"/>
      <c r="S1161" s="105"/>
      <c r="T1161" s="105"/>
      <c r="U1161" s="105"/>
      <c r="V1161" s="105"/>
      <c r="W1161" s="105"/>
      <c r="AD1161" s="106"/>
      <c r="AE1161" s="97"/>
      <c r="AF1161" s="97"/>
      <c r="AG1161" s="97"/>
      <c r="AH1161" s="97"/>
      <c r="AI1161" s="97"/>
      <c r="AJ1161" s="97"/>
      <c r="AK1161" s="97"/>
      <c r="AL1161" s="97"/>
      <c r="AM1161" s="97"/>
      <c r="AN1161" s="97"/>
      <c r="AO1161" s="97"/>
      <c r="AP1161" s="97"/>
      <c r="AQ1161" s="97"/>
    </row>
    <row r="1162" spans="2:43" s="101" customFormat="1" ht="15" customHeight="1">
      <c r="B1162" s="104"/>
      <c r="C1162" s="104"/>
      <c r="D1162" s="104"/>
      <c r="E1162" s="104"/>
      <c r="F1162" s="104"/>
      <c r="G1162" s="104"/>
      <c r="H1162" s="104"/>
      <c r="I1162" s="104"/>
      <c r="J1162" s="104"/>
      <c r="K1162" s="104"/>
      <c r="L1162" s="104"/>
      <c r="R1162" s="105"/>
      <c r="S1162" s="105"/>
      <c r="T1162" s="105"/>
      <c r="U1162" s="105"/>
      <c r="V1162" s="105"/>
      <c r="W1162" s="105"/>
      <c r="AD1162" s="106"/>
      <c r="AE1162" s="97"/>
      <c r="AF1162" s="97"/>
      <c r="AG1162" s="97"/>
      <c r="AH1162" s="97"/>
      <c r="AI1162" s="97"/>
      <c r="AJ1162" s="97"/>
      <c r="AK1162" s="97"/>
      <c r="AL1162" s="97"/>
      <c r="AM1162" s="97"/>
      <c r="AN1162" s="97"/>
      <c r="AO1162" s="97"/>
      <c r="AP1162" s="97"/>
      <c r="AQ1162" s="97"/>
    </row>
    <row r="1163" spans="2:43" s="101" customFormat="1" ht="15" customHeight="1">
      <c r="B1163" s="104"/>
      <c r="C1163" s="104"/>
      <c r="D1163" s="104"/>
      <c r="E1163" s="104"/>
      <c r="F1163" s="104"/>
      <c r="G1163" s="104"/>
      <c r="H1163" s="104"/>
      <c r="I1163" s="104"/>
      <c r="J1163" s="104"/>
      <c r="K1163" s="104"/>
      <c r="L1163" s="104"/>
      <c r="R1163" s="105"/>
      <c r="S1163" s="105"/>
      <c r="T1163" s="105"/>
      <c r="U1163" s="105"/>
      <c r="V1163" s="105"/>
      <c r="W1163" s="105"/>
      <c r="AD1163" s="106"/>
      <c r="AE1163" s="97"/>
      <c r="AF1163" s="97"/>
      <c r="AG1163" s="97"/>
      <c r="AH1163" s="97"/>
      <c r="AI1163" s="97"/>
      <c r="AJ1163" s="97"/>
      <c r="AK1163" s="97"/>
      <c r="AL1163" s="97"/>
      <c r="AM1163" s="97"/>
      <c r="AN1163" s="97"/>
      <c r="AO1163" s="97"/>
      <c r="AP1163" s="97"/>
      <c r="AQ1163" s="97"/>
    </row>
    <row r="1164" spans="2:43" s="101" customFormat="1" ht="15" customHeight="1">
      <c r="B1164" s="104"/>
      <c r="C1164" s="104"/>
      <c r="D1164" s="104"/>
      <c r="E1164" s="104"/>
      <c r="F1164" s="104"/>
      <c r="G1164" s="104"/>
      <c r="H1164" s="104"/>
      <c r="I1164" s="104"/>
      <c r="J1164" s="104"/>
      <c r="K1164" s="104"/>
      <c r="L1164" s="104"/>
      <c r="R1164" s="105"/>
      <c r="S1164" s="105"/>
      <c r="T1164" s="105"/>
      <c r="U1164" s="105"/>
      <c r="V1164" s="105"/>
      <c r="W1164" s="105"/>
      <c r="AD1164" s="106"/>
      <c r="AE1164" s="97"/>
      <c r="AF1164" s="97"/>
      <c r="AG1164" s="97"/>
      <c r="AH1164" s="97"/>
      <c r="AI1164" s="97"/>
      <c r="AJ1164" s="97"/>
      <c r="AK1164" s="97"/>
      <c r="AL1164" s="97"/>
      <c r="AM1164" s="97"/>
      <c r="AN1164" s="97"/>
      <c r="AO1164" s="97"/>
      <c r="AP1164" s="97"/>
      <c r="AQ1164" s="97"/>
    </row>
    <row r="1165" spans="2:43" s="101" customFormat="1" ht="15" customHeight="1">
      <c r="B1165" s="104"/>
      <c r="C1165" s="104"/>
      <c r="D1165" s="104"/>
      <c r="E1165" s="104"/>
      <c r="F1165" s="104"/>
      <c r="G1165" s="104"/>
      <c r="H1165" s="104"/>
      <c r="I1165" s="104"/>
      <c r="J1165" s="104"/>
      <c r="K1165" s="104"/>
      <c r="L1165" s="104"/>
      <c r="R1165" s="105"/>
      <c r="S1165" s="105"/>
      <c r="T1165" s="105"/>
      <c r="U1165" s="105"/>
      <c r="V1165" s="105"/>
      <c r="W1165" s="105"/>
      <c r="AD1165" s="106"/>
      <c r="AE1165" s="97"/>
      <c r="AF1165" s="97"/>
      <c r="AG1165" s="97"/>
      <c r="AH1165" s="97"/>
      <c r="AI1165" s="97"/>
      <c r="AJ1165" s="97"/>
      <c r="AK1165" s="97"/>
      <c r="AL1165" s="97"/>
      <c r="AM1165" s="97"/>
      <c r="AN1165" s="97"/>
      <c r="AO1165" s="97"/>
      <c r="AP1165" s="97"/>
      <c r="AQ1165" s="97"/>
    </row>
    <row r="1166" spans="2:43" s="101" customFormat="1" ht="15" customHeight="1">
      <c r="B1166" s="104"/>
      <c r="C1166" s="104"/>
      <c r="D1166" s="104"/>
      <c r="E1166" s="104"/>
      <c r="F1166" s="104"/>
      <c r="G1166" s="104"/>
      <c r="H1166" s="104"/>
      <c r="I1166" s="104"/>
      <c r="J1166" s="104"/>
      <c r="K1166" s="104"/>
      <c r="L1166" s="104"/>
      <c r="R1166" s="105"/>
      <c r="S1166" s="105"/>
      <c r="T1166" s="105"/>
      <c r="U1166" s="105"/>
      <c r="V1166" s="105"/>
      <c r="W1166" s="105"/>
      <c r="AD1166" s="106"/>
      <c r="AE1166" s="97"/>
      <c r="AF1166" s="97"/>
      <c r="AG1166" s="97"/>
      <c r="AH1166" s="97"/>
      <c r="AI1166" s="97"/>
      <c r="AJ1166" s="97"/>
      <c r="AK1166" s="97"/>
      <c r="AL1166" s="97"/>
      <c r="AM1166" s="97"/>
      <c r="AN1166" s="97"/>
      <c r="AO1166" s="97"/>
      <c r="AP1166" s="97"/>
      <c r="AQ1166" s="97"/>
    </row>
    <row r="1167" spans="2:43" s="101" customFormat="1" ht="15" customHeight="1">
      <c r="B1167" s="104"/>
      <c r="C1167" s="104"/>
      <c r="D1167" s="104"/>
      <c r="E1167" s="104"/>
      <c r="F1167" s="104"/>
      <c r="G1167" s="104"/>
      <c r="H1167" s="104"/>
      <c r="I1167" s="104"/>
      <c r="J1167" s="104"/>
      <c r="K1167" s="104"/>
      <c r="L1167" s="104"/>
      <c r="R1167" s="105"/>
      <c r="S1167" s="105"/>
      <c r="T1167" s="105"/>
      <c r="U1167" s="105"/>
      <c r="V1167" s="105"/>
      <c r="W1167" s="105"/>
      <c r="AD1167" s="106"/>
      <c r="AE1167" s="97"/>
      <c r="AF1167" s="97"/>
      <c r="AG1167" s="97"/>
      <c r="AH1167" s="97"/>
      <c r="AI1167" s="97"/>
      <c r="AJ1167" s="97"/>
      <c r="AK1167" s="97"/>
      <c r="AL1167" s="97"/>
      <c r="AM1167" s="97"/>
      <c r="AN1167" s="97"/>
      <c r="AO1167" s="97"/>
      <c r="AP1167" s="97"/>
      <c r="AQ1167" s="97"/>
    </row>
    <row r="1168" spans="2:43" s="101" customFormat="1" ht="15" customHeight="1">
      <c r="B1168" s="104"/>
      <c r="C1168" s="104"/>
      <c r="D1168" s="104"/>
      <c r="E1168" s="104"/>
      <c r="F1168" s="104"/>
      <c r="G1168" s="104"/>
      <c r="H1168" s="104"/>
      <c r="I1168" s="104"/>
      <c r="J1168" s="104"/>
      <c r="K1168" s="104"/>
      <c r="L1168" s="104"/>
      <c r="R1168" s="105"/>
      <c r="S1168" s="105"/>
      <c r="T1168" s="105"/>
      <c r="U1168" s="105"/>
      <c r="V1168" s="105"/>
      <c r="W1168" s="105"/>
      <c r="AD1168" s="106"/>
      <c r="AE1168" s="97"/>
      <c r="AF1168" s="97"/>
      <c r="AG1168" s="97"/>
      <c r="AH1168" s="97"/>
      <c r="AI1168" s="97"/>
      <c r="AJ1168" s="97"/>
      <c r="AK1168" s="97"/>
      <c r="AL1168" s="97"/>
      <c r="AM1168" s="97"/>
      <c r="AN1168" s="97"/>
      <c r="AO1168" s="97"/>
      <c r="AP1168" s="97"/>
      <c r="AQ1168" s="97"/>
    </row>
    <row r="1169" spans="2:43" s="101" customFormat="1" ht="15" customHeight="1">
      <c r="B1169" s="104"/>
      <c r="C1169" s="104"/>
      <c r="D1169" s="104"/>
      <c r="E1169" s="104"/>
      <c r="F1169" s="104"/>
      <c r="G1169" s="104"/>
      <c r="H1169" s="104"/>
      <c r="I1169" s="104"/>
      <c r="J1169" s="104"/>
      <c r="K1169" s="104"/>
      <c r="L1169" s="104"/>
      <c r="R1169" s="105"/>
      <c r="S1169" s="105"/>
      <c r="T1169" s="105"/>
      <c r="U1169" s="105"/>
      <c r="V1169" s="105"/>
      <c r="W1169" s="105"/>
      <c r="AD1169" s="106"/>
      <c r="AE1169" s="97"/>
      <c r="AF1169" s="97"/>
      <c r="AG1169" s="97"/>
      <c r="AH1169" s="97"/>
      <c r="AI1169" s="97"/>
      <c r="AJ1169" s="97"/>
      <c r="AK1169" s="97"/>
      <c r="AL1169" s="97"/>
      <c r="AM1169" s="97"/>
      <c r="AN1169" s="97"/>
      <c r="AO1169" s="97"/>
      <c r="AP1169" s="97"/>
      <c r="AQ1169" s="97"/>
    </row>
    <row r="1170" spans="2:43" s="101" customFormat="1" ht="15" customHeight="1">
      <c r="B1170" s="104"/>
      <c r="C1170" s="104"/>
      <c r="D1170" s="104"/>
      <c r="E1170" s="104"/>
      <c r="F1170" s="104"/>
      <c r="G1170" s="104"/>
      <c r="H1170" s="104"/>
      <c r="I1170" s="104"/>
      <c r="J1170" s="104"/>
      <c r="K1170" s="104"/>
      <c r="L1170" s="104"/>
      <c r="R1170" s="105"/>
      <c r="S1170" s="105"/>
      <c r="T1170" s="105"/>
      <c r="U1170" s="105"/>
      <c r="V1170" s="105"/>
      <c r="W1170" s="105"/>
      <c r="AD1170" s="106"/>
      <c r="AE1170" s="97"/>
      <c r="AF1170" s="97"/>
      <c r="AG1170" s="97"/>
      <c r="AH1170" s="97"/>
      <c r="AI1170" s="97"/>
      <c r="AJ1170" s="97"/>
      <c r="AK1170" s="97"/>
      <c r="AL1170" s="97"/>
      <c r="AM1170" s="97"/>
      <c r="AN1170" s="97"/>
      <c r="AO1170" s="97"/>
      <c r="AP1170" s="97"/>
      <c r="AQ1170" s="97"/>
    </row>
    <row r="1171" spans="2:43" s="101" customFormat="1" ht="15" customHeight="1">
      <c r="B1171" s="104"/>
      <c r="C1171" s="104"/>
      <c r="D1171" s="104"/>
      <c r="E1171" s="104"/>
      <c r="F1171" s="104"/>
      <c r="G1171" s="104"/>
      <c r="H1171" s="104"/>
      <c r="I1171" s="104"/>
      <c r="J1171" s="104"/>
      <c r="K1171" s="104"/>
      <c r="L1171" s="104"/>
      <c r="R1171" s="105"/>
      <c r="S1171" s="105"/>
      <c r="T1171" s="105"/>
      <c r="U1171" s="105"/>
      <c r="V1171" s="105"/>
      <c r="W1171" s="105"/>
      <c r="AD1171" s="106"/>
      <c r="AE1171" s="97"/>
      <c r="AF1171" s="97"/>
      <c r="AG1171" s="97"/>
      <c r="AH1171" s="97"/>
      <c r="AI1171" s="97"/>
      <c r="AJ1171" s="97"/>
      <c r="AK1171" s="97"/>
      <c r="AL1171" s="97"/>
      <c r="AM1171" s="97"/>
      <c r="AN1171" s="97"/>
      <c r="AO1171" s="97"/>
      <c r="AP1171" s="97"/>
      <c r="AQ1171" s="97"/>
    </row>
    <row r="1172" spans="2:43" s="101" customFormat="1" ht="15" customHeight="1">
      <c r="B1172" s="104"/>
      <c r="C1172" s="104"/>
      <c r="D1172" s="104"/>
      <c r="E1172" s="104"/>
      <c r="F1172" s="104"/>
      <c r="G1172" s="104"/>
      <c r="H1172" s="104"/>
      <c r="I1172" s="104"/>
      <c r="J1172" s="104"/>
      <c r="K1172" s="104"/>
      <c r="L1172" s="104"/>
      <c r="R1172" s="105"/>
      <c r="S1172" s="105"/>
      <c r="T1172" s="105"/>
      <c r="U1172" s="105"/>
      <c r="V1172" s="105"/>
      <c r="W1172" s="105"/>
      <c r="AD1172" s="106"/>
      <c r="AE1172" s="97"/>
      <c r="AF1172" s="97"/>
      <c r="AG1172" s="97"/>
      <c r="AH1172" s="97"/>
      <c r="AI1172" s="97"/>
      <c r="AJ1172" s="97"/>
      <c r="AK1172" s="97"/>
      <c r="AL1172" s="97"/>
      <c r="AM1172" s="97"/>
      <c r="AN1172" s="97"/>
      <c r="AO1172" s="97"/>
      <c r="AP1172" s="97"/>
      <c r="AQ1172" s="97"/>
    </row>
    <row r="1173" spans="2:43" s="101" customFormat="1" ht="15" customHeight="1">
      <c r="B1173" s="104"/>
      <c r="C1173" s="104"/>
      <c r="D1173" s="104"/>
      <c r="E1173" s="104"/>
      <c r="F1173" s="104"/>
      <c r="G1173" s="104"/>
      <c r="H1173" s="104"/>
      <c r="I1173" s="104"/>
      <c r="J1173" s="104"/>
      <c r="K1173" s="104"/>
      <c r="L1173" s="104"/>
      <c r="R1173" s="105"/>
      <c r="S1173" s="105"/>
      <c r="T1173" s="105"/>
      <c r="U1173" s="105"/>
      <c r="V1173" s="105"/>
      <c r="W1173" s="105"/>
      <c r="AD1173" s="106"/>
      <c r="AE1173" s="97"/>
      <c r="AF1173" s="97"/>
      <c r="AG1173" s="97"/>
      <c r="AH1173" s="97"/>
      <c r="AI1173" s="97"/>
      <c r="AJ1173" s="97"/>
      <c r="AK1173" s="97"/>
      <c r="AL1173" s="97"/>
      <c r="AM1173" s="97"/>
      <c r="AN1173" s="97"/>
      <c r="AO1173" s="97"/>
      <c r="AP1173" s="97"/>
      <c r="AQ1173" s="97"/>
    </row>
    <row r="1174" spans="2:43" s="101" customFormat="1" ht="15" customHeight="1">
      <c r="B1174" s="104"/>
      <c r="C1174" s="104"/>
      <c r="D1174" s="104"/>
      <c r="E1174" s="104"/>
      <c r="F1174" s="104"/>
      <c r="G1174" s="104"/>
      <c r="H1174" s="104"/>
      <c r="I1174" s="104"/>
      <c r="J1174" s="104"/>
      <c r="K1174" s="104"/>
      <c r="L1174" s="104"/>
      <c r="R1174" s="105"/>
      <c r="S1174" s="105"/>
      <c r="T1174" s="105"/>
      <c r="U1174" s="105"/>
      <c r="V1174" s="105"/>
      <c r="W1174" s="105"/>
      <c r="AD1174" s="106"/>
      <c r="AE1174" s="97"/>
      <c r="AF1174" s="97"/>
      <c r="AG1174" s="97"/>
      <c r="AH1174" s="97"/>
      <c r="AI1174" s="97"/>
      <c r="AJ1174" s="97"/>
      <c r="AK1174" s="97"/>
      <c r="AL1174" s="97"/>
      <c r="AM1174" s="97"/>
      <c r="AN1174" s="97"/>
      <c r="AO1174" s="97"/>
      <c r="AP1174" s="97"/>
      <c r="AQ1174" s="97"/>
    </row>
    <row r="1175" spans="2:43" s="101" customFormat="1" ht="15" customHeight="1">
      <c r="B1175" s="104"/>
      <c r="C1175" s="104"/>
      <c r="D1175" s="104"/>
      <c r="E1175" s="104"/>
      <c r="F1175" s="104"/>
      <c r="G1175" s="104"/>
      <c r="H1175" s="104"/>
      <c r="I1175" s="104"/>
      <c r="J1175" s="104"/>
      <c r="K1175" s="104"/>
      <c r="L1175" s="104"/>
      <c r="R1175" s="105"/>
      <c r="S1175" s="105"/>
      <c r="T1175" s="105"/>
      <c r="U1175" s="105"/>
      <c r="V1175" s="105"/>
      <c r="W1175" s="105"/>
      <c r="AD1175" s="106"/>
      <c r="AE1175" s="97"/>
      <c r="AF1175" s="97"/>
      <c r="AG1175" s="97"/>
      <c r="AH1175" s="97"/>
      <c r="AI1175" s="97"/>
      <c r="AJ1175" s="97"/>
      <c r="AK1175" s="97"/>
      <c r="AL1175" s="97"/>
      <c r="AM1175" s="97"/>
      <c r="AN1175" s="97"/>
      <c r="AO1175" s="97"/>
      <c r="AP1175" s="97"/>
      <c r="AQ1175" s="97"/>
    </row>
    <row r="1176" spans="2:43" s="101" customFormat="1" ht="15" customHeight="1">
      <c r="B1176" s="104"/>
      <c r="C1176" s="104"/>
      <c r="D1176" s="104"/>
      <c r="E1176" s="104"/>
      <c r="F1176" s="104"/>
      <c r="G1176" s="104"/>
      <c r="H1176" s="104"/>
      <c r="I1176" s="104"/>
      <c r="J1176" s="104"/>
      <c r="K1176" s="104"/>
      <c r="L1176" s="104"/>
      <c r="R1176" s="105"/>
      <c r="S1176" s="105"/>
      <c r="T1176" s="105"/>
      <c r="U1176" s="105"/>
      <c r="V1176" s="105"/>
      <c r="W1176" s="105"/>
      <c r="AD1176" s="106"/>
      <c r="AE1176" s="97"/>
      <c r="AF1176" s="97"/>
      <c r="AG1176" s="97"/>
      <c r="AH1176" s="97"/>
      <c r="AI1176" s="97"/>
      <c r="AJ1176" s="97"/>
      <c r="AK1176" s="97"/>
      <c r="AL1176" s="97"/>
      <c r="AM1176" s="97"/>
      <c r="AN1176" s="97"/>
      <c r="AO1176" s="97"/>
      <c r="AP1176" s="97"/>
      <c r="AQ1176" s="97"/>
    </row>
    <row r="1177" spans="2:43" s="101" customFormat="1" ht="15" customHeight="1">
      <c r="B1177" s="104"/>
      <c r="C1177" s="104"/>
      <c r="D1177" s="104"/>
      <c r="E1177" s="104"/>
      <c r="F1177" s="104"/>
      <c r="G1177" s="104"/>
      <c r="H1177" s="104"/>
      <c r="I1177" s="104"/>
      <c r="J1177" s="104"/>
      <c r="K1177" s="104"/>
      <c r="L1177" s="104"/>
      <c r="R1177" s="105"/>
      <c r="S1177" s="105"/>
      <c r="T1177" s="105"/>
      <c r="U1177" s="105"/>
      <c r="V1177" s="105"/>
      <c r="W1177" s="105"/>
      <c r="AD1177" s="106"/>
      <c r="AE1177" s="97"/>
      <c r="AF1177" s="97"/>
      <c r="AG1177" s="97"/>
      <c r="AH1177" s="97"/>
      <c r="AI1177" s="97"/>
      <c r="AJ1177" s="97"/>
      <c r="AK1177" s="97"/>
      <c r="AL1177" s="97"/>
      <c r="AM1177" s="97"/>
      <c r="AN1177" s="97"/>
      <c r="AO1177" s="97"/>
      <c r="AP1177" s="97"/>
      <c r="AQ1177" s="97"/>
    </row>
    <row r="1178" spans="2:43" s="101" customFormat="1" ht="15" customHeight="1">
      <c r="B1178" s="104"/>
      <c r="C1178" s="104"/>
      <c r="D1178" s="104"/>
      <c r="E1178" s="104"/>
      <c r="F1178" s="104"/>
      <c r="G1178" s="104"/>
      <c r="H1178" s="104"/>
      <c r="I1178" s="104"/>
      <c r="J1178" s="104"/>
      <c r="K1178" s="104"/>
      <c r="L1178" s="104"/>
      <c r="R1178" s="105"/>
      <c r="S1178" s="105"/>
      <c r="T1178" s="105"/>
      <c r="U1178" s="105"/>
      <c r="V1178" s="105"/>
      <c r="W1178" s="105"/>
      <c r="AD1178" s="106"/>
      <c r="AE1178" s="97"/>
      <c r="AF1178" s="97"/>
      <c r="AG1178" s="97"/>
      <c r="AH1178" s="97"/>
      <c r="AI1178" s="97"/>
      <c r="AJ1178" s="97"/>
      <c r="AK1178" s="97"/>
      <c r="AL1178" s="97"/>
      <c r="AM1178" s="97"/>
      <c r="AN1178" s="97"/>
      <c r="AO1178" s="97"/>
      <c r="AP1178" s="97"/>
      <c r="AQ1178" s="97"/>
    </row>
    <row r="1179" spans="2:43" s="101" customFormat="1" ht="15" customHeight="1">
      <c r="B1179" s="104"/>
      <c r="C1179" s="104"/>
      <c r="D1179" s="104"/>
      <c r="E1179" s="104"/>
      <c r="F1179" s="104"/>
      <c r="G1179" s="104"/>
      <c r="H1179" s="104"/>
      <c r="I1179" s="104"/>
      <c r="J1179" s="104"/>
      <c r="K1179" s="104"/>
      <c r="L1179" s="104"/>
      <c r="R1179" s="105"/>
      <c r="S1179" s="105"/>
      <c r="T1179" s="105"/>
      <c r="U1179" s="105"/>
      <c r="V1179" s="105"/>
      <c r="W1179" s="105"/>
      <c r="AD1179" s="106"/>
      <c r="AE1179" s="97"/>
      <c r="AF1179" s="97"/>
      <c r="AG1179" s="97"/>
      <c r="AH1179" s="97"/>
      <c r="AI1179" s="97"/>
      <c r="AJ1179" s="97"/>
      <c r="AK1179" s="97"/>
      <c r="AL1179" s="97"/>
      <c r="AM1179" s="97"/>
      <c r="AN1179" s="97"/>
      <c r="AO1179" s="97"/>
      <c r="AP1179" s="97"/>
      <c r="AQ1179" s="97"/>
    </row>
    <row r="1180" spans="2:43" s="101" customFormat="1" ht="15" customHeight="1">
      <c r="B1180" s="104"/>
      <c r="C1180" s="104"/>
      <c r="D1180" s="104"/>
      <c r="E1180" s="104"/>
      <c r="F1180" s="104"/>
      <c r="G1180" s="104"/>
      <c r="H1180" s="104"/>
      <c r="I1180" s="104"/>
      <c r="J1180" s="104"/>
      <c r="K1180" s="104"/>
      <c r="L1180" s="104"/>
      <c r="R1180" s="105"/>
      <c r="S1180" s="105"/>
      <c r="T1180" s="105"/>
      <c r="U1180" s="105"/>
      <c r="V1180" s="105"/>
      <c r="W1180" s="105"/>
      <c r="AD1180" s="106"/>
      <c r="AE1180" s="97"/>
      <c r="AF1180" s="97"/>
      <c r="AG1180" s="97"/>
      <c r="AH1180" s="97"/>
      <c r="AI1180" s="97"/>
      <c r="AJ1180" s="97"/>
      <c r="AK1180" s="97"/>
      <c r="AL1180" s="97"/>
      <c r="AM1180" s="97"/>
      <c r="AN1180" s="97"/>
      <c r="AO1180" s="97"/>
      <c r="AP1180" s="97"/>
      <c r="AQ1180" s="97"/>
    </row>
    <row r="1181" spans="2:43" s="101" customFormat="1" ht="15" customHeight="1">
      <c r="B1181" s="104"/>
      <c r="C1181" s="104"/>
      <c r="D1181" s="104"/>
      <c r="E1181" s="104"/>
      <c r="F1181" s="104"/>
      <c r="G1181" s="104"/>
      <c r="H1181" s="104"/>
      <c r="I1181" s="104"/>
      <c r="J1181" s="104"/>
      <c r="K1181" s="104"/>
      <c r="L1181" s="104"/>
      <c r="R1181" s="105"/>
      <c r="S1181" s="105"/>
      <c r="T1181" s="105"/>
      <c r="U1181" s="105"/>
      <c r="V1181" s="105"/>
      <c r="W1181" s="105"/>
      <c r="AD1181" s="106"/>
      <c r="AE1181" s="97"/>
      <c r="AF1181" s="97"/>
      <c r="AG1181" s="97"/>
      <c r="AH1181" s="97"/>
      <c r="AI1181" s="97"/>
      <c r="AJ1181" s="97"/>
      <c r="AK1181" s="97"/>
      <c r="AL1181" s="97"/>
      <c r="AM1181" s="97"/>
      <c r="AN1181" s="97"/>
      <c r="AO1181" s="97"/>
      <c r="AP1181" s="97"/>
      <c r="AQ1181" s="97"/>
    </row>
    <row r="1182" spans="2:43" s="101" customFormat="1" ht="15" customHeight="1">
      <c r="B1182" s="104"/>
      <c r="C1182" s="104"/>
      <c r="D1182" s="104"/>
      <c r="E1182" s="104"/>
      <c r="F1182" s="104"/>
      <c r="G1182" s="104"/>
      <c r="H1182" s="104"/>
      <c r="I1182" s="104"/>
      <c r="J1182" s="104"/>
      <c r="K1182" s="104"/>
      <c r="L1182" s="104"/>
      <c r="R1182" s="105"/>
      <c r="S1182" s="105"/>
      <c r="T1182" s="105"/>
      <c r="U1182" s="105"/>
      <c r="V1182" s="105"/>
      <c r="W1182" s="105"/>
      <c r="AD1182" s="106"/>
      <c r="AE1182" s="97"/>
      <c r="AF1182" s="97"/>
      <c r="AG1182" s="97"/>
      <c r="AH1182" s="97"/>
      <c r="AI1182" s="97"/>
      <c r="AJ1182" s="97"/>
      <c r="AK1182" s="97"/>
      <c r="AL1182" s="97"/>
      <c r="AM1182" s="97"/>
      <c r="AN1182" s="97"/>
      <c r="AO1182" s="97"/>
      <c r="AP1182" s="97"/>
      <c r="AQ1182" s="97"/>
    </row>
    <row r="1183" spans="2:43" s="101" customFormat="1" ht="15" customHeight="1">
      <c r="B1183" s="104"/>
      <c r="C1183" s="104"/>
      <c r="D1183" s="104"/>
      <c r="E1183" s="104"/>
      <c r="F1183" s="104"/>
      <c r="G1183" s="104"/>
      <c r="H1183" s="104"/>
      <c r="I1183" s="104"/>
      <c r="J1183" s="104"/>
      <c r="K1183" s="104"/>
      <c r="L1183" s="104"/>
      <c r="R1183" s="105"/>
      <c r="S1183" s="105"/>
      <c r="T1183" s="105"/>
      <c r="U1183" s="105"/>
      <c r="V1183" s="105"/>
      <c r="W1183" s="105"/>
      <c r="AD1183" s="106"/>
      <c r="AE1183" s="97"/>
      <c r="AF1183" s="97"/>
      <c r="AG1183" s="97"/>
      <c r="AH1183" s="97"/>
      <c r="AI1183" s="97"/>
      <c r="AJ1183" s="97"/>
      <c r="AK1183" s="97"/>
      <c r="AL1183" s="97"/>
      <c r="AM1183" s="97"/>
      <c r="AN1183" s="97"/>
      <c r="AO1183" s="97"/>
      <c r="AP1183" s="97"/>
      <c r="AQ1183" s="97"/>
    </row>
    <row r="1184" spans="2:43" s="101" customFormat="1" ht="15" customHeight="1">
      <c r="B1184" s="104"/>
      <c r="C1184" s="104"/>
      <c r="D1184" s="104"/>
      <c r="E1184" s="104"/>
      <c r="F1184" s="104"/>
      <c r="G1184" s="104"/>
      <c r="H1184" s="104"/>
      <c r="I1184" s="104"/>
      <c r="J1184" s="104"/>
      <c r="K1184" s="104"/>
      <c r="L1184" s="104"/>
      <c r="R1184" s="105"/>
      <c r="S1184" s="105"/>
      <c r="T1184" s="105"/>
      <c r="U1184" s="105"/>
      <c r="V1184" s="105"/>
      <c r="W1184" s="105"/>
      <c r="AD1184" s="106"/>
      <c r="AE1184" s="97"/>
      <c r="AF1184" s="97"/>
      <c r="AG1184" s="97"/>
      <c r="AH1184" s="97"/>
      <c r="AI1184" s="97"/>
      <c r="AJ1184" s="97"/>
      <c r="AK1184" s="97"/>
      <c r="AL1184" s="97"/>
      <c r="AM1184" s="97"/>
      <c r="AN1184" s="97"/>
      <c r="AO1184" s="97"/>
      <c r="AP1184" s="97"/>
      <c r="AQ1184" s="97"/>
    </row>
    <row r="1185" spans="2:43" s="101" customFormat="1" ht="15" customHeight="1">
      <c r="B1185" s="104"/>
      <c r="C1185" s="104"/>
      <c r="D1185" s="104"/>
      <c r="E1185" s="104"/>
      <c r="F1185" s="104"/>
      <c r="G1185" s="104"/>
      <c r="H1185" s="104"/>
      <c r="I1185" s="104"/>
      <c r="J1185" s="104"/>
      <c r="K1185" s="104"/>
      <c r="L1185" s="104"/>
      <c r="R1185" s="105"/>
      <c r="S1185" s="105"/>
      <c r="T1185" s="105"/>
      <c r="U1185" s="105"/>
      <c r="V1185" s="105"/>
      <c r="W1185" s="105"/>
      <c r="AD1185" s="106"/>
      <c r="AE1185" s="97"/>
      <c r="AF1185" s="97"/>
      <c r="AG1185" s="97"/>
      <c r="AH1185" s="97"/>
      <c r="AI1185" s="97"/>
      <c r="AJ1185" s="97"/>
      <c r="AK1185" s="97"/>
      <c r="AL1185" s="97"/>
      <c r="AM1185" s="97"/>
      <c r="AN1185" s="97"/>
      <c r="AO1185" s="97"/>
      <c r="AP1185" s="97"/>
      <c r="AQ1185" s="97"/>
    </row>
    <row r="1186" spans="2:43" s="101" customFormat="1" ht="15" customHeight="1">
      <c r="B1186" s="104"/>
      <c r="C1186" s="104"/>
      <c r="D1186" s="104"/>
      <c r="E1186" s="104"/>
      <c r="F1186" s="104"/>
      <c r="G1186" s="104"/>
      <c r="H1186" s="104"/>
      <c r="I1186" s="104"/>
      <c r="J1186" s="104"/>
      <c r="K1186" s="104"/>
      <c r="L1186" s="104"/>
      <c r="R1186" s="105"/>
      <c r="S1186" s="105"/>
      <c r="T1186" s="105"/>
      <c r="U1186" s="105"/>
      <c r="V1186" s="105"/>
      <c r="W1186" s="105"/>
      <c r="AD1186" s="106"/>
      <c r="AE1186" s="97"/>
      <c r="AF1186" s="97"/>
      <c r="AG1186" s="97"/>
      <c r="AH1186" s="97"/>
      <c r="AI1186" s="97"/>
      <c r="AJ1186" s="97"/>
      <c r="AK1186" s="97"/>
      <c r="AL1186" s="97"/>
      <c r="AM1186" s="97"/>
      <c r="AN1186" s="97"/>
      <c r="AO1186" s="97"/>
      <c r="AP1186" s="97"/>
      <c r="AQ1186" s="97"/>
    </row>
    <row r="1187" spans="2:43" s="101" customFormat="1" ht="15" customHeight="1">
      <c r="B1187" s="104"/>
      <c r="C1187" s="104"/>
      <c r="D1187" s="104"/>
      <c r="E1187" s="104"/>
      <c r="F1187" s="104"/>
      <c r="G1187" s="104"/>
      <c r="H1187" s="104"/>
      <c r="I1187" s="104"/>
      <c r="J1187" s="104"/>
      <c r="K1187" s="104"/>
      <c r="L1187" s="104"/>
      <c r="R1187" s="105"/>
      <c r="S1187" s="105"/>
      <c r="T1187" s="105"/>
      <c r="U1187" s="105"/>
      <c r="V1187" s="105"/>
      <c r="W1187" s="105"/>
      <c r="AD1187" s="106"/>
      <c r="AE1187" s="97"/>
      <c r="AF1187" s="97"/>
      <c r="AG1187" s="97"/>
      <c r="AH1187" s="97"/>
      <c r="AI1187" s="97"/>
      <c r="AJ1187" s="97"/>
      <c r="AK1187" s="97"/>
      <c r="AL1187" s="97"/>
      <c r="AM1187" s="97"/>
      <c r="AN1187" s="97"/>
      <c r="AO1187" s="97"/>
      <c r="AP1187" s="97"/>
      <c r="AQ1187" s="97"/>
    </row>
    <row r="1188" spans="2:43" s="101" customFormat="1" ht="15" customHeight="1">
      <c r="B1188" s="104"/>
      <c r="C1188" s="104"/>
      <c r="D1188" s="104"/>
      <c r="E1188" s="104"/>
      <c r="F1188" s="104"/>
      <c r="G1188" s="104"/>
      <c r="H1188" s="104"/>
      <c r="I1188" s="104"/>
      <c r="J1188" s="104"/>
      <c r="K1188" s="104"/>
      <c r="L1188" s="104"/>
      <c r="R1188" s="105"/>
      <c r="S1188" s="105"/>
      <c r="T1188" s="105"/>
      <c r="U1188" s="105"/>
      <c r="V1188" s="105"/>
      <c r="W1188" s="105"/>
      <c r="AD1188" s="106"/>
      <c r="AE1188" s="97"/>
      <c r="AF1188" s="97"/>
      <c r="AG1188" s="97"/>
      <c r="AH1188" s="97"/>
      <c r="AI1188" s="97"/>
      <c r="AJ1188" s="97"/>
      <c r="AK1188" s="97"/>
      <c r="AL1188" s="97"/>
      <c r="AM1188" s="97"/>
      <c r="AN1188" s="97"/>
      <c r="AO1188" s="97"/>
      <c r="AP1188" s="97"/>
      <c r="AQ1188" s="97"/>
    </row>
    <row r="1189" spans="2:43" s="101" customFormat="1" ht="15" customHeight="1">
      <c r="B1189" s="104"/>
      <c r="C1189" s="104"/>
      <c r="D1189" s="104"/>
      <c r="E1189" s="104"/>
      <c r="F1189" s="104"/>
      <c r="G1189" s="104"/>
      <c r="H1189" s="104"/>
      <c r="I1189" s="104"/>
      <c r="J1189" s="104"/>
      <c r="K1189" s="104"/>
      <c r="L1189" s="104"/>
      <c r="R1189" s="105"/>
      <c r="S1189" s="105"/>
      <c r="T1189" s="105"/>
      <c r="U1189" s="105"/>
      <c r="V1189" s="105"/>
      <c r="W1189" s="105"/>
      <c r="AD1189" s="106"/>
      <c r="AE1189" s="97"/>
      <c r="AF1189" s="97"/>
      <c r="AG1189" s="97"/>
      <c r="AH1189" s="97"/>
      <c r="AI1189" s="97"/>
      <c r="AJ1189" s="97"/>
      <c r="AK1189" s="97"/>
      <c r="AL1189" s="97"/>
      <c r="AM1189" s="97"/>
      <c r="AN1189" s="97"/>
      <c r="AO1189" s="97"/>
      <c r="AP1189" s="97"/>
      <c r="AQ1189" s="97"/>
    </row>
    <row r="1190" spans="2:43" s="101" customFormat="1" ht="15" customHeight="1">
      <c r="B1190" s="104"/>
      <c r="C1190" s="104"/>
      <c r="D1190" s="104"/>
      <c r="E1190" s="104"/>
      <c r="F1190" s="104"/>
      <c r="G1190" s="104"/>
      <c r="H1190" s="104"/>
      <c r="I1190" s="104"/>
      <c r="J1190" s="104"/>
      <c r="K1190" s="104"/>
      <c r="L1190" s="104"/>
      <c r="R1190" s="105"/>
      <c r="S1190" s="105"/>
      <c r="T1190" s="105"/>
      <c r="U1190" s="105"/>
      <c r="V1190" s="105"/>
      <c r="W1190" s="105"/>
      <c r="AD1190" s="106"/>
      <c r="AE1190" s="97"/>
      <c r="AF1190" s="97"/>
      <c r="AG1190" s="97"/>
      <c r="AH1190" s="97"/>
      <c r="AI1190" s="97"/>
      <c r="AJ1190" s="97"/>
      <c r="AK1190" s="97"/>
      <c r="AL1190" s="97"/>
      <c r="AM1190" s="97"/>
      <c r="AN1190" s="97"/>
      <c r="AO1190" s="97"/>
      <c r="AP1190" s="97"/>
      <c r="AQ1190" s="97"/>
    </row>
    <row r="1191" spans="2:43" s="101" customFormat="1" ht="15" customHeight="1">
      <c r="B1191" s="104"/>
      <c r="C1191" s="104"/>
      <c r="D1191" s="104"/>
      <c r="E1191" s="104"/>
      <c r="F1191" s="104"/>
      <c r="G1191" s="104"/>
      <c r="H1191" s="104"/>
      <c r="I1191" s="104"/>
      <c r="J1191" s="104"/>
      <c r="K1191" s="104"/>
      <c r="L1191" s="104"/>
      <c r="R1191" s="105"/>
      <c r="S1191" s="105"/>
      <c r="T1191" s="105"/>
      <c r="U1191" s="105"/>
      <c r="V1191" s="105"/>
      <c r="W1191" s="105"/>
      <c r="AD1191" s="106"/>
      <c r="AE1191" s="97"/>
      <c r="AF1191" s="97"/>
      <c r="AG1191" s="97"/>
      <c r="AH1191" s="97"/>
      <c r="AI1191" s="97"/>
      <c r="AJ1191" s="97"/>
      <c r="AK1191" s="97"/>
      <c r="AL1191" s="97"/>
      <c r="AM1191" s="97"/>
      <c r="AN1191" s="97"/>
      <c r="AO1191" s="97"/>
      <c r="AP1191" s="97"/>
      <c r="AQ1191" s="97"/>
    </row>
    <row r="1192" spans="2:43" s="101" customFormat="1" ht="15" customHeight="1">
      <c r="B1192" s="104"/>
      <c r="C1192" s="104"/>
      <c r="D1192" s="104"/>
      <c r="E1192" s="104"/>
      <c r="F1192" s="104"/>
      <c r="G1192" s="104"/>
      <c r="H1192" s="104"/>
      <c r="I1192" s="104"/>
      <c r="J1192" s="104"/>
      <c r="K1192" s="104"/>
      <c r="L1192" s="104"/>
      <c r="R1192" s="105"/>
      <c r="S1192" s="105"/>
      <c r="T1192" s="105"/>
      <c r="U1192" s="105"/>
      <c r="V1192" s="105"/>
      <c r="W1192" s="105"/>
      <c r="AD1192" s="106"/>
      <c r="AE1192" s="97"/>
      <c r="AF1192" s="97"/>
      <c r="AG1192" s="97"/>
      <c r="AH1192" s="97"/>
      <c r="AI1192" s="97"/>
      <c r="AJ1192" s="97"/>
      <c r="AK1192" s="97"/>
      <c r="AL1192" s="97"/>
      <c r="AM1192" s="97"/>
      <c r="AN1192" s="97"/>
      <c r="AO1192" s="97"/>
      <c r="AP1192" s="97"/>
      <c r="AQ1192" s="97"/>
    </row>
    <row r="1193" spans="2:43" s="101" customFormat="1" ht="15" customHeight="1">
      <c r="B1193" s="104"/>
      <c r="C1193" s="104"/>
      <c r="D1193" s="104"/>
      <c r="E1193" s="104"/>
      <c r="F1193" s="104"/>
      <c r="G1193" s="104"/>
      <c r="H1193" s="104"/>
      <c r="I1193" s="104"/>
      <c r="J1193" s="104"/>
      <c r="K1193" s="104"/>
      <c r="L1193" s="104"/>
      <c r="R1193" s="105"/>
      <c r="S1193" s="105"/>
      <c r="T1193" s="105"/>
      <c r="U1193" s="105"/>
      <c r="V1193" s="105"/>
      <c r="W1193" s="105"/>
      <c r="AD1193" s="106"/>
      <c r="AE1193" s="97"/>
      <c r="AF1193" s="97"/>
      <c r="AG1193" s="97"/>
      <c r="AH1193" s="97"/>
      <c r="AI1193" s="97"/>
      <c r="AJ1193" s="97"/>
      <c r="AK1193" s="97"/>
      <c r="AL1193" s="97"/>
      <c r="AM1193" s="97"/>
      <c r="AN1193" s="97"/>
      <c r="AO1193" s="97"/>
      <c r="AP1193" s="97"/>
      <c r="AQ1193" s="97"/>
    </row>
    <row r="1194" spans="2:43" s="101" customFormat="1" ht="15" customHeight="1">
      <c r="B1194" s="104"/>
      <c r="C1194" s="104"/>
      <c r="D1194" s="104"/>
      <c r="E1194" s="104"/>
      <c r="F1194" s="104"/>
      <c r="G1194" s="104"/>
      <c r="H1194" s="104"/>
      <c r="I1194" s="104"/>
      <c r="J1194" s="104"/>
      <c r="K1194" s="104"/>
      <c r="L1194" s="104"/>
      <c r="R1194" s="105"/>
      <c r="S1194" s="105"/>
      <c r="T1194" s="105"/>
      <c r="U1194" s="105"/>
      <c r="V1194" s="105"/>
      <c r="W1194" s="105"/>
      <c r="AD1194" s="106"/>
      <c r="AE1194" s="97"/>
      <c r="AF1194" s="97"/>
      <c r="AG1194" s="97"/>
      <c r="AH1194" s="97"/>
      <c r="AI1194" s="97"/>
      <c r="AJ1194" s="97"/>
      <c r="AK1194" s="97"/>
      <c r="AL1194" s="97"/>
      <c r="AM1194" s="97"/>
      <c r="AN1194" s="97"/>
      <c r="AO1194" s="97"/>
      <c r="AP1194" s="97"/>
      <c r="AQ1194" s="97"/>
    </row>
    <row r="1195" spans="2:43" s="101" customFormat="1" ht="15" customHeight="1">
      <c r="B1195" s="104"/>
      <c r="C1195" s="104"/>
      <c r="D1195" s="104"/>
      <c r="E1195" s="104"/>
      <c r="F1195" s="104"/>
      <c r="G1195" s="104"/>
      <c r="H1195" s="104"/>
      <c r="I1195" s="104"/>
      <c r="J1195" s="104"/>
      <c r="K1195" s="104"/>
      <c r="L1195" s="104"/>
      <c r="R1195" s="105"/>
      <c r="S1195" s="105"/>
      <c r="T1195" s="105"/>
      <c r="U1195" s="105"/>
      <c r="V1195" s="105"/>
      <c r="W1195" s="105"/>
      <c r="AD1195" s="106"/>
      <c r="AE1195" s="97"/>
      <c r="AF1195" s="97"/>
      <c r="AG1195" s="97"/>
      <c r="AH1195" s="97"/>
      <c r="AI1195" s="97"/>
      <c r="AJ1195" s="97"/>
      <c r="AK1195" s="97"/>
      <c r="AL1195" s="97"/>
      <c r="AM1195" s="97"/>
      <c r="AN1195" s="97"/>
      <c r="AO1195" s="97"/>
      <c r="AP1195" s="97"/>
      <c r="AQ1195" s="97"/>
    </row>
    <row r="1196" spans="2:43" s="101" customFormat="1" ht="15" customHeight="1">
      <c r="B1196" s="104"/>
      <c r="C1196" s="104"/>
      <c r="D1196" s="104"/>
      <c r="E1196" s="104"/>
      <c r="F1196" s="104"/>
      <c r="G1196" s="104"/>
      <c r="H1196" s="104"/>
      <c r="I1196" s="104"/>
      <c r="J1196" s="104"/>
      <c r="K1196" s="104"/>
      <c r="L1196" s="104"/>
      <c r="R1196" s="105"/>
      <c r="S1196" s="105"/>
      <c r="T1196" s="105"/>
      <c r="U1196" s="105"/>
      <c r="V1196" s="105"/>
      <c r="W1196" s="105"/>
      <c r="AD1196" s="106"/>
      <c r="AE1196" s="97"/>
      <c r="AF1196" s="97"/>
      <c r="AG1196" s="97"/>
      <c r="AH1196" s="97"/>
      <c r="AI1196" s="97"/>
      <c r="AJ1196" s="97"/>
      <c r="AK1196" s="97"/>
      <c r="AL1196" s="97"/>
      <c r="AM1196" s="97"/>
      <c r="AN1196" s="97"/>
      <c r="AO1196" s="97"/>
      <c r="AP1196" s="97"/>
      <c r="AQ1196" s="97"/>
    </row>
    <row r="1197" spans="2:43" s="101" customFormat="1" ht="15" customHeight="1">
      <c r="B1197" s="104"/>
      <c r="C1197" s="104"/>
      <c r="D1197" s="104"/>
      <c r="E1197" s="104"/>
      <c r="F1197" s="104"/>
      <c r="G1197" s="104"/>
      <c r="H1197" s="104"/>
      <c r="I1197" s="104"/>
      <c r="J1197" s="104"/>
      <c r="K1197" s="104"/>
      <c r="L1197" s="104"/>
      <c r="R1197" s="105"/>
      <c r="S1197" s="105"/>
      <c r="T1197" s="105"/>
      <c r="U1197" s="105"/>
      <c r="V1197" s="105"/>
      <c r="W1197" s="105"/>
      <c r="AD1197" s="106"/>
      <c r="AE1197" s="97"/>
      <c r="AF1197" s="97"/>
      <c r="AG1197" s="97"/>
      <c r="AH1197" s="97"/>
      <c r="AI1197" s="97"/>
      <c r="AJ1197" s="97"/>
      <c r="AK1197" s="97"/>
      <c r="AL1197" s="97"/>
      <c r="AM1197" s="97"/>
      <c r="AN1197" s="97"/>
      <c r="AO1197" s="97"/>
      <c r="AP1197" s="97"/>
      <c r="AQ1197" s="97"/>
    </row>
    <row r="1198" spans="2:43" s="101" customFormat="1" ht="15" customHeight="1">
      <c r="B1198" s="104"/>
      <c r="C1198" s="104"/>
      <c r="D1198" s="104"/>
      <c r="E1198" s="104"/>
      <c r="F1198" s="104"/>
      <c r="G1198" s="104"/>
      <c r="H1198" s="104"/>
      <c r="I1198" s="104"/>
      <c r="J1198" s="104"/>
      <c r="K1198" s="104"/>
      <c r="L1198" s="104"/>
      <c r="R1198" s="105"/>
      <c r="S1198" s="105"/>
      <c r="T1198" s="105"/>
      <c r="U1198" s="105"/>
      <c r="V1198" s="105"/>
      <c r="W1198" s="105"/>
      <c r="AD1198" s="106"/>
      <c r="AE1198" s="97"/>
      <c r="AF1198" s="97"/>
      <c r="AG1198" s="97"/>
      <c r="AH1198" s="97"/>
      <c r="AI1198" s="97"/>
      <c r="AJ1198" s="97"/>
      <c r="AK1198" s="97"/>
      <c r="AL1198" s="97"/>
      <c r="AM1198" s="97"/>
      <c r="AN1198" s="97"/>
      <c r="AO1198" s="97"/>
      <c r="AP1198" s="97"/>
      <c r="AQ1198" s="97"/>
    </row>
    <row r="1199" spans="2:43" s="101" customFormat="1" ht="15" customHeight="1">
      <c r="B1199" s="104"/>
      <c r="C1199" s="104"/>
      <c r="D1199" s="104"/>
      <c r="E1199" s="104"/>
      <c r="F1199" s="104"/>
      <c r="G1199" s="104"/>
      <c r="H1199" s="104"/>
      <c r="I1199" s="104"/>
      <c r="J1199" s="104"/>
      <c r="K1199" s="104"/>
      <c r="L1199" s="104"/>
      <c r="R1199" s="105"/>
      <c r="S1199" s="105"/>
      <c r="T1199" s="105"/>
      <c r="U1199" s="105"/>
      <c r="V1199" s="105"/>
      <c r="W1199" s="105"/>
      <c r="AD1199" s="106"/>
      <c r="AE1199" s="97"/>
      <c r="AF1199" s="97"/>
      <c r="AG1199" s="97"/>
      <c r="AH1199" s="97"/>
      <c r="AI1199" s="97"/>
      <c r="AJ1199" s="97"/>
      <c r="AK1199" s="97"/>
      <c r="AL1199" s="97"/>
      <c r="AM1199" s="97"/>
      <c r="AN1199" s="97"/>
      <c r="AO1199" s="97"/>
      <c r="AP1199" s="97"/>
      <c r="AQ1199" s="97"/>
    </row>
    <row r="1200" spans="2:43" s="101" customFormat="1" ht="15" customHeight="1">
      <c r="B1200" s="104"/>
      <c r="C1200" s="104"/>
      <c r="D1200" s="104"/>
      <c r="E1200" s="104"/>
      <c r="F1200" s="104"/>
      <c r="G1200" s="104"/>
      <c r="H1200" s="104"/>
      <c r="I1200" s="104"/>
      <c r="J1200" s="104"/>
      <c r="K1200" s="104"/>
      <c r="L1200" s="104"/>
      <c r="R1200" s="105"/>
      <c r="S1200" s="105"/>
      <c r="T1200" s="105"/>
      <c r="U1200" s="105"/>
      <c r="V1200" s="105"/>
      <c r="W1200" s="105"/>
      <c r="AD1200" s="106"/>
      <c r="AE1200" s="97"/>
      <c r="AF1200" s="97"/>
      <c r="AG1200" s="97"/>
      <c r="AH1200" s="97"/>
      <c r="AI1200" s="97"/>
      <c r="AJ1200" s="97"/>
      <c r="AK1200" s="97"/>
      <c r="AL1200" s="97"/>
      <c r="AM1200" s="97"/>
      <c r="AN1200" s="97"/>
      <c r="AO1200" s="97"/>
      <c r="AP1200" s="97"/>
      <c r="AQ1200" s="97"/>
    </row>
    <row r="1201" spans="2:43" s="101" customFormat="1" ht="15" customHeight="1">
      <c r="B1201" s="104"/>
      <c r="C1201" s="104"/>
      <c r="D1201" s="104"/>
      <c r="E1201" s="104"/>
      <c r="F1201" s="104"/>
      <c r="G1201" s="104"/>
      <c r="H1201" s="104"/>
      <c r="I1201" s="104"/>
      <c r="J1201" s="104"/>
      <c r="K1201" s="104"/>
      <c r="L1201" s="104"/>
      <c r="R1201" s="105"/>
      <c r="S1201" s="105"/>
      <c r="T1201" s="105"/>
      <c r="U1201" s="105"/>
      <c r="V1201" s="105"/>
      <c r="W1201" s="105"/>
      <c r="AD1201" s="106"/>
      <c r="AE1201" s="97"/>
      <c r="AF1201" s="97"/>
      <c r="AG1201" s="97"/>
      <c r="AH1201" s="97"/>
      <c r="AI1201" s="97"/>
      <c r="AJ1201" s="97"/>
      <c r="AK1201" s="97"/>
      <c r="AL1201" s="97"/>
      <c r="AM1201" s="97"/>
      <c r="AN1201" s="97"/>
      <c r="AO1201" s="97"/>
      <c r="AP1201" s="97"/>
      <c r="AQ1201" s="97"/>
    </row>
    <row r="1202" spans="2:43" s="101" customFormat="1" ht="15" customHeight="1">
      <c r="B1202" s="104"/>
      <c r="C1202" s="104"/>
      <c r="D1202" s="104"/>
      <c r="E1202" s="104"/>
      <c r="F1202" s="104"/>
      <c r="G1202" s="104"/>
      <c r="H1202" s="104"/>
      <c r="I1202" s="104"/>
      <c r="J1202" s="104"/>
      <c r="K1202" s="104"/>
      <c r="L1202" s="104"/>
      <c r="R1202" s="105"/>
      <c r="S1202" s="105"/>
      <c r="T1202" s="105"/>
      <c r="U1202" s="105"/>
      <c r="V1202" s="105"/>
      <c r="W1202" s="105"/>
      <c r="AD1202" s="106"/>
      <c r="AE1202" s="97"/>
      <c r="AF1202" s="97"/>
      <c r="AG1202" s="97"/>
      <c r="AH1202" s="97"/>
      <c r="AI1202" s="97"/>
      <c r="AJ1202" s="97"/>
      <c r="AK1202" s="97"/>
      <c r="AL1202" s="97"/>
      <c r="AM1202" s="97"/>
      <c r="AN1202" s="97"/>
      <c r="AO1202" s="97"/>
      <c r="AP1202" s="97"/>
      <c r="AQ1202" s="97"/>
    </row>
    <row r="1203" spans="2:43" s="101" customFormat="1" ht="15" customHeight="1">
      <c r="B1203" s="104"/>
      <c r="C1203" s="104"/>
      <c r="D1203" s="104"/>
      <c r="E1203" s="104"/>
      <c r="F1203" s="104"/>
      <c r="G1203" s="104"/>
      <c r="H1203" s="104"/>
      <c r="I1203" s="104"/>
      <c r="J1203" s="104"/>
      <c r="K1203" s="104"/>
      <c r="L1203" s="104"/>
      <c r="R1203" s="105"/>
      <c r="S1203" s="105"/>
      <c r="T1203" s="105"/>
      <c r="U1203" s="105"/>
      <c r="V1203" s="105"/>
      <c r="W1203" s="105"/>
      <c r="AD1203" s="106"/>
      <c r="AE1203" s="97"/>
      <c r="AF1203" s="97"/>
      <c r="AG1203" s="97"/>
      <c r="AH1203" s="97"/>
      <c r="AI1203" s="97"/>
      <c r="AJ1203" s="97"/>
      <c r="AK1203" s="97"/>
      <c r="AL1203" s="97"/>
      <c r="AM1203" s="97"/>
      <c r="AN1203" s="97"/>
      <c r="AO1203" s="97"/>
      <c r="AP1203" s="97"/>
      <c r="AQ1203" s="97"/>
    </row>
    <row r="1204" spans="2:43" s="101" customFormat="1" ht="15" customHeight="1">
      <c r="B1204" s="104"/>
      <c r="C1204" s="104"/>
      <c r="D1204" s="104"/>
      <c r="E1204" s="104"/>
      <c r="F1204" s="104"/>
      <c r="G1204" s="104"/>
      <c r="H1204" s="104"/>
      <c r="I1204" s="104"/>
      <c r="J1204" s="104"/>
      <c r="K1204" s="104"/>
      <c r="L1204" s="104"/>
      <c r="R1204" s="105"/>
      <c r="S1204" s="105"/>
      <c r="T1204" s="105"/>
      <c r="U1204" s="105"/>
      <c r="V1204" s="105"/>
      <c r="W1204" s="105"/>
      <c r="AD1204" s="106"/>
      <c r="AE1204" s="97"/>
      <c r="AF1204" s="97"/>
      <c r="AG1204" s="97"/>
      <c r="AH1204" s="97"/>
      <c r="AI1204" s="97"/>
      <c r="AJ1204" s="97"/>
      <c r="AK1204" s="97"/>
      <c r="AL1204" s="97"/>
      <c r="AM1204" s="97"/>
      <c r="AN1204" s="97"/>
      <c r="AO1204" s="97"/>
      <c r="AP1204" s="97"/>
      <c r="AQ1204" s="97"/>
    </row>
    <row r="1205" spans="2:43" s="101" customFormat="1" ht="15" customHeight="1">
      <c r="B1205" s="104"/>
      <c r="C1205" s="104"/>
      <c r="D1205" s="104"/>
      <c r="E1205" s="104"/>
      <c r="F1205" s="104"/>
      <c r="G1205" s="104"/>
      <c r="H1205" s="104"/>
      <c r="I1205" s="104"/>
      <c r="J1205" s="104"/>
      <c r="K1205" s="104"/>
      <c r="L1205" s="104"/>
      <c r="R1205" s="105"/>
      <c r="S1205" s="105"/>
      <c r="T1205" s="105"/>
      <c r="U1205" s="105"/>
      <c r="V1205" s="105"/>
      <c r="W1205" s="105"/>
      <c r="AD1205" s="106"/>
      <c r="AE1205" s="97"/>
      <c r="AF1205" s="97"/>
      <c r="AG1205" s="97"/>
      <c r="AH1205" s="97"/>
      <c r="AI1205" s="97"/>
      <c r="AJ1205" s="97"/>
      <c r="AK1205" s="97"/>
      <c r="AL1205" s="97"/>
      <c r="AM1205" s="97"/>
      <c r="AN1205" s="97"/>
      <c r="AO1205" s="97"/>
      <c r="AP1205" s="97"/>
      <c r="AQ1205" s="97"/>
    </row>
    <row r="1206" spans="2:43" s="101" customFormat="1" ht="15" customHeight="1">
      <c r="B1206" s="104"/>
      <c r="C1206" s="104"/>
      <c r="D1206" s="104"/>
      <c r="E1206" s="104"/>
      <c r="F1206" s="104"/>
      <c r="G1206" s="104"/>
      <c r="H1206" s="104"/>
      <c r="I1206" s="104"/>
      <c r="J1206" s="104"/>
      <c r="K1206" s="104"/>
      <c r="L1206" s="104"/>
      <c r="R1206" s="105"/>
      <c r="S1206" s="105"/>
      <c r="T1206" s="105"/>
      <c r="U1206" s="105"/>
      <c r="V1206" s="105"/>
      <c r="W1206" s="105"/>
      <c r="AD1206" s="106"/>
      <c r="AE1206" s="97"/>
      <c r="AF1206" s="97"/>
      <c r="AG1206" s="97"/>
      <c r="AH1206" s="97"/>
      <c r="AI1206" s="97"/>
      <c r="AJ1206" s="97"/>
      <c r="AK1206" s="97"/>
      <c r="AL1206" s="97"/>
      <c r="AM1206" s="97"/>
      <c r="AN1206" s="97"/>
      <c r="AO1206" s="97"/>
      <c r="AP1206" s="97"/>
      <c r="AQ1206" s="97"/>
    </row>
    <row r="1207" spans="2:43" s="101" customFormat="1" ht="15" customHeight="1">
      <c r="B1207" s="104"/>
      <c r="C1207" s="104"/>
      <c r="D1207" s="104"/>
      <c r="E1207" s="104"/>
      <c r="F1207" s="104"/>
      <c r="G1207" s="104"/>
      <c r="H1207" s="104"/>
      <c r="I1207" s="104"/>
      <c r="J1207" s="104"/>
      <c r="K1207" s="104"/>
      <c r="L1207" s="104"/>
      <c r="R1207" s="105"/>
      <c r="S1207" s="105"/>
      <c r="T1207" s="105"/>
      <c r="U1207" s="105"/>
      <c r="V1207" s="105"/>
      <c r="W1207" s="105"/>
      <c r="AD1207" s="106"/>
      <c r="AE1207" s="97"/>
      <c r="AF1207" s="97"/>
      <c r="AG1207" s="97"/>
      <c r="AH1207" s="97"/>
      <c r="AI1207" s="97"/>
      <c r="AJ1207" s="97"/>
      <c r="AK1207" s="97"/>
      <c r="AL1207" s="97"/>
      <c r="AM1207" s="97"/>
      <c r="AN1207" s="97"/>
      <c r="AO1207" s="97"/>
      <c r="AP1207" s="97"/>
      <c r="AQ1207" s="97"/>
    </row>
    <row r="1208" spans="2:43" s="101" customFormat="1" ht="15" customHeight="1">
      <c r="B1208" s="104"/>
      <c r="C1208" s="104"/>
      <c r="D1208" s="104"/>
      <c r="E1208" s="104"/>
      <c r="F1208" s="104"/>
      <c r="G1208" s="104"/>
      <c r="H1208" s="104"/>
      <c r="I1208" s="104"/>
      <c r="J1208" s="104"/>
      <c r="K1208" s="104"/>
      <c r="L1208" s="104"/>
      <c r="R1208" s="105"/>
      <c r="S1208" s="105"/>
      <c r="T1208" s="105"/>
      <c r="U1208" s="105"/>
      <c r="V1208" s="105"/>
      <c r="W1208" s="105"/>
      <c r="AD1208" s="106"/>
      <c r="AE1208" s="97"/>
      <c r="AF1208" s="97"/>
      <c r="AG1208" s="97"/>
      <c r="AH1208" s="97"/>
      <c r="AI1208" s="97"/>
      <c r="AJ1208" s="97"/>
      <c r="AK1208" s="97"/>
      <c r="AL1208" s="97"/>
      <c r="AM1208" s="97"/>
      <c r="AN1208" s="97"/>
      <c r="AO1208" s="97"/>
      <c r="AP1208" s="97"/>
      <c r="AQ1208" s="97"/>
    </row>
    <row r="1209" spans="2:43" s="101" customFormat="1" ht="15" customHeight="1">
      <c r="B1209" s="104"/>
      <c r="C1209" s="104"/>
      <c r="D1209" s="104"/>
      <c r="E1209" s="104"/>
      <c r="F1209" s="104"/>
      <c r="G1209" s="104"/>
      <c r="H1209" s="104"/>
      <c r="I1209" s="104"/>
      <c r="J1209" s="104"/>
      <c r="K1209" s="104"/>
      <c r="L1209" s="104"/>
      <c r="R1209" s="105"/>
      <c r="S1209" s="105"/>
      <c r="T1209" s="105"/>
      <c r="U1209" s="105"/>
      <c r="V1209" s="105"/>
      <c r="W1209" s="105"/>
      <c r="AD1209" s="106"/>
      <c r="AE1209" s="97"/>
      <c r="AF1209" s="97"/>
      <c r="AG1209" s="97"/>
      <c r="AH1209" s="97"/>
      <c r="AI1209" s="97"/>
      <c r="AJ1209" s="97"/>
      <c r="AK1209" s="97"/>
      <c r="AL1209" s="97"/>
      <c r="AM1209" s="97"/>
      <c r="AN1209" s="97"/>
      <c r="AO1209" s="97"/>
      <c r="AP1209" s="97"/>
      <c r="AQ1209" s="97"/>
    </row>
    <row r="1210" spans="2:43" s="101" customFormat="1" ht="15" customHeight="1">
      <c r="B1210" s="104"/>
      <c r="C1210" s="104"/>
      <c r="D1210" s="104"/>
      <c r="E1210" s="104"/>
      <c r="F1210" s="104"/>
      <c r="G1210" s="104"/>
      <c r="H1210" s="104"/>
      <c r="I1210" s="104"/>
      <c r="J1210" s="104"/>
      <c r="K1210" s="104"/>
      <c r="L1210" s="104"/>
      <c r="R1210" s="105"/>
      <c r="S1210" s="105"/>
      <c r="T1210" s="105"/>
      <c r="U1210" s="105"/>
      <c r="V1210" s="105"/>
      <c r="W1210" s="105"/>
      <c r="AD1210" s="106"/>
      <c r="AE1210" s="97"/>
      <c r="AF1210" s="97"/>
      <c r="AG1210" s="97"/>
      <c r="AH1210" s="97"/>
      <c r="AI1210" s="97"/>
      <c r="AJ1210" s="97"/>
      <c r="AK1210" s="97"/>
      <c r="AL1210" s="97"/>
      <c r="AM1210" s="97"/>
      <c r="AN1210" s="97"/>
      <c r="AO1210" s="97"/>
      <c r="AP1210" s="97"/>
      <c r="AQ1210" s="97"/>
    </row>
    <row r="1211" spans="2:43" s="101" customFormat="1" ht="15" customHeight="1">
      <c r="B1211" s="104"/>
      <c r="C1211" s="104"/>
      <c r="D1211" s="104"/>
      <c r="E1211" s="104"/>
      <c r="F1211" s="104"/>
      <c r="G1211" s="104"/>
      <c r="H1211" s="104"/>
      <c r="I1211" s="104"/>
      <c r="J1211" s="104"/>
      <c r="K1211" s="104"/>
      <c r="L1211" s="104"/>
      <c r="R1211" s="105"/>
      <c r="S1211" s="105"/>
      <c r="T1211" s="105"/>
      <c r="U1211" s="105"/>
      <c r="V1211" s="105"/>
      <c r="W1211" s="105"/>
      <c r="AD1211" s="106"/>
      <c r="AE1211" s="97"/>
      <c r="AF1211" s="97"/>
      <c r="AG1211" s="97"/>
      <c r="AH1211" s="97"/>
      <c r="AI1211" s="97"/>
      <c r="AJ1211" s="97"/>
      <c r="AK1211" s="97"/>
      <c r="AL1211" s="97"/>
      <c r="AM1211" s="97"/>
      <c r="AN1211" s="97"/>
      <c r="AO1211" s="97"/>
      <c r="AP1211" s="97"/>
      <c r="AQ1211" s="97"/>
    </row>
    <row r="1212" spans="2:43" s="101" customFormat="1" ht="15" customHeight="1">
      <c r="B1212" s="104"/>
      <c r="C1212" s="104"/>
      <c r="D1212" s="104"/>
      <c r="E1212" s="104"/>
      <c r="F1212" s="104"/>
      <c r="G1212" s="104"/>
      <c r="H1212" s="104"/>
      <c r="I1212" s="104"/>
      <c r="J1212" s="104"/>
      <c r="K1212" s="104"/>
      <c r="L1212" s="104"/>
      <c r="R1212" s="105"/>
      <c r="S1212" s="105"/>
      <c r="T1212" s="105"/>
      <c r="U1212" s="105"/>
      <c r="V1212" s="105"/>
      <c r="W1212" s="105"/>
      <c r="AD1212" s="106"/>
      <c r="AE1212" s="97"/>
      <c r="AF1212" s="97"/>
      <c r="AG1212" s="97"/>
      <c r="AH1212" s="97"/>
      <c r="AI1212" s="97"/>
      <c r="AJ1212" s="97"/>
      <c r="AK1212" s="97"/>
      <c r="AL1212" s="97"/>
      <c r="AM1212" s="97"/>
      <c r="AN1212" s="97"/>
      <c r="AO1212" s="97"/>
      <c r="AP1212" s="97"/>
      <c r="AQ1212" s="97"/>
    </row>
    <row r="1213" spans="2:43" s="101" customFormat="1" ht="15" customHeight="1">
      <c r="B1213" s="104"/>
      <c r="C1213" s="104"/>
      <c r="D1213" s="104"/>
      <c r="E1213" s="104"/>
      <c r="F1213" s="104"/>
      <c r="G1213" s="104"/>
      <c r="H1213" s="104"/>
      <c r="I1213" s="104"/>
      <c r="J1213" s="104"/>
      <c r="K1213" s="104"/>
      <c r="L1213" s="104"/>
      <c r="R1213" s="105"/>
      <c r="S1213" s="105"/>
      <c r="T1213" s="105"/>
      <c r="U1213" s="105"/>
      <c r="V1213" s="105"/>
      <c r="W1213" s="105"/>
      <c r="AD1213" s="106"/>
      <c r="AE1213" s="97"/>
      <c r="AF1213" s="97"/>
      <c r="AG1213" s="97"/>
      <c r="AH1213" s="97"/>
      <c r="AI1213" s="97"/>
      <c r="AJ1213" s="97"/>
      <c r="AK1213" s="97"/>
      <c r="AL1213" s="97"/>
      <c r="AM1213" s="97"/>
      <c r="AN1213" s="97"/>
      <c r="AO1213" s="97"/>
      <c r="AP1213" s="97"/>
      <c r="AQ1213" s="97"/>
    </row>
    <row r="1214" spans="2:43" s="101" customFormat="1" ht="15" customHeight="1">
      <c r="B1214" s="104"/>
      <c r="C1214" s="104"/>
      <c r="D1214" s="104"/>
      <c r="E1214" s="104"/>
      <c r="F1214" s="104"/>
      <c r="G1214" s="104"/>
      <c r="H1214" s="104"/>
      <c r="I1214" s="104"/>
      <c r="J1214" s="104"/>
      <c r="K1214" s="104"/>
      <c r="L1214" s="104"/>
      <c r="R1214" s="105"/>
      <c r="S1214" s="105"/>
      <c r="T1214" s="105"/>
      <c r="U1214" s="105"/>
      <c r="V1214" s="105"/>
      <c r="W1214" s="105"/>
      <c r="AD1214" s="106"/>
      <c r="AE1214" s="97"/>
      <c r="AF1214" s="97"/>
      <c r="AG1214" s="97"/>
      <c r="AH1214" s="97"/>
      <c r="AI1214" s="97"/>
      <c r="AJ1214" s="97"/>
      <c r="AK1214" s="97"/>
      <c r="AL1214" s="97"/>
      <c r="AM1214" s="97"/>
      <c r="AN1214" s="97"/>
      <c r="AO1214" s="97"/>
      <c r="AP1214" s="97"/>
      <c r="AQ1214" s="97"/>
    </row>
    <row r="1215" spans="2:43" s="101" customFormat="1" ht="15" customHeight="1">
      <c r="B1215" s="104"/>
      <c r="C1215" s="104"/>
      <c r="D1215" s="104"/>
      <c r="E1215" s="104"/>
      <c r="F1215" s="104"/>
      <c r="G1215" s="104"/>
      <c r="H1215" s="104"/>
      <c r="I1215" s="104"/>
      <c r="J1215" s="104"/>
      <c r="K1215" s="104"/>
      <c r="L1215" s="104"/>
      <c r="R1215" s="105"/>
      <c r="S1215" s="105"/>
      <c r="T1215" s="105"/>
      <c r="U1215" s="105"/>
      <c r="V1215" s="105"/>
      <c r="W1215" s="105"/>
      <c r="AD1215" s="106"/>
      <c r="AE1215" s="97"/>
      <c r="AF1215" s="97"/>
      <c r="AG1215" s="97"/>
      <c r="AH1215" s="97"/>
      <c r="AI1215" s="97"/>
      <c r="AJ1215" s="97"/>
      <c r="AK1215" s="97"/>
      <c r="AL1215" s="97"/>
      <c r="AM1215" s="97"/>
      <c r="AN1215" s="97"/>
      <c r="AO1215" s="97"/>
      <c r="AP1215" s="97"/>
      <c r="AQ1215" s="97"/>
    </row>
    <row r="1216" spans="2:43" s="101" customFormat="1" ht="15" customHeight="1">
      <c r="B1216" s="104"/>
      <c r="C1216" s="104"/>
      <c r="D1216" s="104"/>
      <c r="E1216" s="104"/>
      <c r="F1216" s="104"/>
      <c r="G1216" s="104"/>
      <c r="H1216" s="104"/>
      <c r="I1216" s="104"/>
      <c r="J1216" s="104"/>
      <c r="K1216" s="104"/>
      <c r="L1216" s="104"/>
      <c r="R1216" s="105"/>
      <c r="S1216" s="105"/>
      <c r="T1216" s="105"/>
      <c r="U1216" s="105"/>
      <c r="V1216" s="105"/>
      <c r="W1216" s="105"/>
      <c r="AD1216" s="106"/>
      <c r="AE1216" s="97"/>
      <c r="AF1216" s="97"/>
      <c r="AG1216" s="97"/>
      <c r="AH1216" s="97"/>
      <c r="AI1216" s="97"/>
      <c r="AJ1216" s="97"/>
      <c r="AK1216" s="97"/>
      <c r="AL1216" s="97"/>
      <c r="AM1216" s="97"/>
      <c r="AN1216" s="97"/>
      <c r="AO1216" s="97"/>
      <c r="AP1216" s="97"/>
      <c r="AQ1216" s="97"/>
    </row>
    <row r="1217" spans="2:43" s="101" customFormat="1" ht="15" customHeight="1">
      <c r="B1217" s="104"/>
      <c r="C1217" s="104"/>
      <c r="D1217" s="104"/>
      <c r="E1217" s="104"/>
      <c r="F1217" s="104"/>
      <c r="G1217" s="104"/>
      <c r="H1217" s="104"/>
      <c r="I1217" s="104"/>
      <c r="J1217" s="104"/>
      <c r="K1217" s="104"/>
      <c r="L1217" s="104"/>
      <c r="R1217" s="105"/>
      <c r="S1217" s="105"/>
      <c r="T1217" s="105"/>
      <c r="U1217" s="105"/>
      <c r="V1217" s="105"/>
      <c r="W1217" s="105"/>
      <c r="AD1217" s="106"/>
      <c r="AE1217" s="97"/>
      <c r="AF1217" s="97"/>
      <c r="AG1217" s="97"/>
      <c r="AH1217" s="97"/>
      <c r="AI1217" s="97"/>
      <c r="AJ1217" s="97"/>
      <c r="AK1217" s="97"/>
      <c r="AL1217" s="97"/>
      <c r="AM1217" s="97"/>
      <c r="AN1217" s="97"/>
      <c r="AO1217" s="97"/>
      <c r="AP1217" s="97"/>
      <c r="AQ1217" s="97"/>
    </row>
    <row r="1218" spans="2:43" s="101" customFormat="1" ht="15" customHeight="1">
      <c r="B1218" s="104"/>
      <c r="C1218" s="104"/>
      <c r="D1218" s="104"/>
      <c r="E1218" s="104"/>
      <c r="F1218" s="104"/>
      <c r="G1218" s="104"/>
      <c r="H1218" s="104"/>
      <c r="I1218" s="104"/>
      <c r="J1218" s="104"/>
      <c r="K1218" s="104"/>
      <c r="L1218" s="104"/>
      <c r="R1218" s="105"/>
      <c r="S1218" s="105"/>
      <c r="T1218" s="105"/>
      <c r="U1218" s="105"/>
      <c r="V1218" s="105"/>
      <c r="W1218" s="105"/>
      <c r="AD1218" s="106"/>
      <c r="AE1218" s="97"/>
      <c r="AF1218" s="97"/>
      <c r="AG1218" s="97"/>
      <c r="AH1218" s="97"/>
      <c r="AI1218" s="97"/>
      <c r="AJ1218" s="97"/>
      <c r="AK1218" s="97"/>
      <c r="AL1218" s="97"/>
      <c r="AM1218" s="97"/>
      <c r="AN1218" s="97"/>
      <c r="AO1218" s="97"/>
      <c r="AP1218" s="97"/>
      <c r="AQ1218" s="97"/>
    </row>
    <row r="1219" spans="2:43" s="101" customFormat="1" ht="15" customHeight="1">
      <c r="B1219" s="104"/>
      <c r="C1219" s="104"/>
      <c r="D1219" s="104"/>
      <c r="E1219" s="104"/>
      <c r="F1219" s="104"/>
      <c r="G1219" s="104"/>
      <c r="H1219" s="104"/>
      <c r="I1219" s="104"/>
      <c r="J1219" s="104"/>
      <c r="K1219" s="104"/>
      <c r="L1219" s="104"/>
      <c r="R1219" s="105"/>
      <c r="S1219" s="105"/>
      <c r="T1219" s="105"/>
      <c r="U1219" s="105"/>
      <c r="V1219" s="105"/>
      <c r="W1219" s="105"/>
      <c r="AD1219" s="106"/>
      <c r="AE1219" s="97"/>
      <c r="AF1219" s="97"/>
      <c r="AG1219" s="97"/>
      <c r="AH1219" s="97"/>
      <c r="AI1219" s="97"/>
      <c r="AJ1219" s="97"/>
      <c r="AK1219" s="97"/>
      <c r="AL1219" s="97"/>
      <c r="AM1219" s="97"/>
      <c r="AN1219" s="97"/>
      <c r="AO1219" s="97"/>
      <c r="AP1219" s="97"/>
      <c r="AQ1219" s="97"/>
    </row>
    <row r="1220" spans="2:43" s="101" customFormat="1" ht="15" customHeight="1">
      <c r="B1220" s="104"/>
      <c r="C1220" s="104"/>
      <c r="D1220" s="104"/>
      <c r="E1220" s="104"/>
      <c r="F1220" s="104"/>
      <c r="G1220" s="104"/>
      <c r="H1220" s="104"/>
      <c r="I1220" s="104"/>
      <c r="J1220" s="104"/>
      <c r="K1220" s="104"/>
      <c r="L1220" s="104"/>
      <c r="R1220" s="105"/>
      <c r="S1220" s="105"/>
      <c r="T1220" s="105"/>
      <c r="U1220" s="105"/>
      <c r="V1220" s="105"/>
      <c r="W1220" s="105"/>
      <c r="AD1220" s="106"/>
      <c r="AE1220" s="97"/>
      <c r="AF1220" s="97"/>
      <c r="AG1220" s="97"/>
      <c r="AH1220" s="97"/>
      <c r="AI1220" s="97"/>
      <c r="AJ1220" s="97"/>
      <c r="AK1220" s="97"/>
      <c r="AL1220" s="97"/>
      <c r="AM1220" s="97"/>
      <c r="AN1220" s="97"/>
      <c r="AO1220" s="97"/>
      <c r="AP1220" s="97"/>
      <c r="AQ1220" s="97"/>
    </row>
    <row r="1221" spans="2:43" s="101" customFormat="1" ht="15" customHeight="1">
      <c r="B1221" s="104"/>
      <c r="C1221" s="104"/>
      <c r="D1221" s="104"/>
      <c r="E1221" s="104"/>
      <c r="F1221" s="104"/>
      <c r="G1221" s="104"/>
      <c r="H1221" s="104"/>
      <c r="I1221" s="104"/>
      <c r="J1221" s="104"/>
      <c r="K1221" s="104"/>
      <c r="L1221" s="104"/>
      <c r="R1221" s="105"/>
      <c r="S1221" s="105"/>
      <c r="T1221" s="105"/>
      <c r="U1221" s="105"/>
      <c r="V1221" s="105"/>
      <c r="W1221" s="105"/>
      <c r="AD1221" s="106"/>
      <c r="AE1221" s="97"/>
      <c r="AF1221" s="97"/>
      <c r="AG1221" s="97"/>
      <c r="AH1221" s="97"/>
      <c r="AI1221" s="97"/>
      <c r="AJ1221" s="97"/>
      <c r="AK1221" s="97"/>
      <c r="AL1221" s="97"/>
      <c r="AM1221" s="97"/>
      <c r="AN1221" s="97"/>
      <c r="AO1221" s="97"/>
      <c r="AP1221" s="97"/>
      <c r="AQ1221" s="97"/>
    </row>
    <row r="1222" spans="2:43" s="101" customFormat="1" ht="15" customHeight="1">
      <c r="B1222" s="104"/>
      <c r="C1222" s="104"/>
      <c r="D1222" s="104"/>
      <c r="E1222" s="104"/>
      <c r="F1222" s="104"/>
      <c r="G1222" s="104"/>
      <c r="H1222" s="104"/>
      <c r="I1222" s="104"/>
      <c r="J1222" s="104"/>
      <c r="K1222" s="104"/>
      <c r="L1222" s="104"/>
      <c r="R1222" s="105"/>
      <c r="S1222" s="105"/>
      <c r="T1222" s="105"/>
      <c r="U1222" s="105"/>
      <c r="V1222" s="105"/>
      <c r="W1222" s="105"/>
      <c r="AD1222" s="106"/>
      <c r="AE1222" s="97"/>
      <c r="AF1222" s="97"/>
      <c r="AG1222" s="97"/>
      <c r="AH1222" s="97"/>
      <c r="AI1222" s="97"/>
      <c r="AJ1222" s="97"/>
      <c r="AK1222" s="97"/>
      <c r="AL1222" s="97"/>
      <c r="AM1222" s="97"/>
      <c r="AN1222" s="97"/>
      <c r="AO1222" s="97"/>
      <c r="AP1222" s="97"/>
      <c r="AQ1222" s="97"/>
    </row>
    <row r="1223" spans="2:43" s="101" customFormat="1" ht="15" customHeight="1">
      <c r="B1223" s="104"/>
      <c r="C1223" s="104"/>
      <c r="D1223" s="104"/>
      <c r="E1223" s="104"/>
      <c r="F1223" s="104"/>
      <c r="G1223" s="104"/>
      <c r="H1223" s="104"/>
      <c r="I1223" s="104"/>
      <c r="J1223" s="104"/>
      <c r="K1223" s="104"/>
      <c r="L1223" s="104"/>
      <c r="R1223" s="105"/>
      <c r="S1223" s="105"/>
      <c r="T1223" s="105"/>
      <c r="U1223" s="105"/>
      <c r="V1223" s="105"/>
      <c r="W1223" s="105"/>
      <c r="AD1223" s="106"/>
      <c r="AE1223" s="97"/>
      <c r="AF1223" s="97"/>
      <c r="AG1223" s="97"/>
      <c r="AH1223" s="97"/>
      <c r="AI1223" s="97"/>
      <c r="AJ1223" s="97"/>
      <c r="AK1223" s="97"/>
      <c r="AL1223" s="97"/>
      <c r="AM1223" s="97"/>
      <c r="AN1223" s="97"/>
      <c r="AO1223" s="97"/>
      <c r="AP1223" s="97"/>
      <c r="AQ1223" s="97"/>
    </row>
    <row r="1224" spans="2:43" s="101" customFormat="1" ht="15" customHeight="1">
      <c r="B1224" s="104"/>
      <c r="C1224" s="104"/>
      <c r="D1224" s="104"/>
      <c r="E1224" s="104"/>
      <c r="F1224" s="104"/>
      <c r="G1224" s="104"/>
      <c r="H1224" s="104"/>
      <c r="I1224" s="104"/>
      <c r="J1224" s="104"/>
      <c r="K1224" s="104"/>
      <c r="L1224" s="104"/>
      <c r="R1224" s="105"/>
      <c r="S1224" s="105"/>
      <c r="T1224" s="105"/>
      <c r="U1224" s="105"/>
      <c r="V1224" s="105"/>
      <c r="W1224" s="105"/>
      <c r="AD1224" s="106"/>
      <c r="AE1224" s="97"/>
      <c r="AF1224" s="97"/>
      <c r="AG1224" s="97"/>
      <c r="AH1224" s="97"/>
      <c r="AI1224" s="97"/>
      <c r="AJ1224" s="97"/>
      <c r="AK1224" s="97"/>
      <c r="AL1224" s="97"/>
      <c r="AM1224" s="97"/>
      <c r="AN1224" s="97"/>
      <c r="AO1224" s="97"/>
      <c r="AP1224" s="97"/>
      <c r="AQ1224" s="97"/>
    </row>
    <row r="1225" spans="2:43" s="101" customFormat="1" ht="15" customHeight="1">
      <c r="B1225" s="104"/>
      <c r="C1225" s="104"/>
      <c r="D1225" s="104"/>
      <c r="E1225" s="104"/>
      <c r="F1225" s="104"/>
      <c r="G1225" s="104"/>
      <c r="H1225" s="104"/>
      <c r="I1225" s="104"/>
      <c r="J1225" s="104"/>
      <c r="K1225" s="104"/>
      <c r="L1225" s="104"/>
      <c r="R1225" s="105"/>
      <c r="S1225" s="105"/>
      <c r="T1225" s="105"/>
      <c r="U1225" s="105"/>
      <c r="V1225" s="105"/>
      <c r="W1225" s="105"/>
      <c r="AD1225" s="106"/>
      <c r="AE1225" s="97"/>
      <c r="AF1225" s="97"/>
      <c r="AG1225" s="97"/>
      <c r="AH1225" s="97"/>
      <c r="AI1225" s="97"/>
      <c r="AJ1225" s="97"/>
      <c r="AK1225" s="97"/>
      <c r="AL1225" s="97"/>
      <c r="AM1225" s="97"/>
      <c r="AN1225" s="97"/>
      <c r="AO1225" s="97"/>
      <c r="AP1225" s="97"/>
      <c r="AQ1225" s="97"/>
    </row>
    <row r="1226" spans="2:43" s="101" customFormat="1" ht="15" customHeight="1">
      <c r="B1226" s="104"/>
      <c r="C1226" s="104"/>
      <c r="D1226" s="104"/>
      <c r="E1226" s="104"/>
      <c r="F1226" s="104"/>
      <c r="G1226" s="104"/>
      <c r="H1226" s="104"/>
      <c r="I1226" s="104"/>
      <c r="J1226" s="104"/>
      <c r="K1226" s="104"/>
      <c r="L1226" s="104"/>
      <c r="R1226" s="105"/>
      <c r="S1226" s="105"/>
      <c r="T1226" s="105"/>
      <c r="U1226" s="105"/>
      <c r="V1226" s="105"/>
      <c r="W1226" s="105"/>
      <c r="AD1226" s="106"/>
      <c r="AE1226" s="97"/>
      <c r="AF1226" s="97"/>
      <c r="AG1226" s="97"/>
      <c r="AH1226" s="97"/>
      <c r="AI1226" s="97"/>
      <c r="AJ1226" s="97"/>
      <c r="AK1226" s="97"/>
      <c r="AL1226" s="97"/>
      <c r="AM1226" s="97"/>
      <c r="AN1226" s="97"/>
      <c r="AO1226" s="97"/>
      <c r="AP1226" s="97"/>
      <c r="AQ1226" s="97"/>
    </row>
    <row r="1227" spans="2:43" s="101" customFormat="1" ht="15" customHeight="1">
      <c r="B1227" s="104"/>
      <c r="C1227" s="104"/>
      <c r="D1227" s="104"/>
      <c r="E1227" s="104"/>
      <c r="F1227" s="104"/>
      <c r="G1227" s="104"/>
      <c r="H1227" s="104"/>
      <c r="I1227" s="104"/>
      <c r="J1227" s="104"/>
      <c r="K1227" s="104"/>
      <c r="L1227" s="104"/>
      <c r="R1227" s="105"/>
      <c r="S1227" s="105"/>
      <c r="T1227" s="105"/>
      <c r="U1227" s="105"/>
      <c r="V1227" s="105"/>
      <c r="W1227" s="105"/>
      <c r="AD1227" s="106"/>
      <c r="AE1227" s="97"/>
      <c r="AF1227" s="97"/>
      <c r="AG1227" s="97"/>
      <c r="AH1227" s="97"/>
      <c r="AI1227" s="97"/>
      <c r="AJ1227" s="97"/>
      <c r="AK1227" s="97"/>
      <c r="AL1227" s="97"/>
      <c r="AM1227" s="97"/>
      <c r="AN1227" s="97"/>
      <c r="AO1227" s="97"/>
      <c r="AP1227" s="97"/>
      <c r="AQ1227" s="97"/>
    </row>
    <row r="1228" spans="2:43" s="101" customFormat="1" ht="15" customHeight="1">
      <c r="B1228" s="104"/>
      <c r="C1228" s="104"/>
      <c r="D1228" s="104"/>
      <c r="E1228" s="104"/>
      <c r="F1228" s="104"/>
      <c r="G1228" s="104"/>
      <c r="H1228" s="104"/>
      <c r="I1228" s="104"/>
      <c r="J1228" s="104"/>
      <c r="K1228" s="104"/>
      <c r="L1228" s="104"/>
      <c r="R1228" s="105"/>
      <c r="S1228" s="105"/>
      <c r="T1228" s="105"/>
      <c r="U1228" s="105"/>
      <c r="V1228" s="105"/>
      <c r="W1228" s="105"/>
      <c r="AD1228" s="106"/>
      <c r="AE1228" s="97"/>
      <c r="AF1228" s="97"/>
      <c r="AG1228" s="97"/>
      <c r="AH1228" s="97"/>
      <c r="AI1228" s="97"/>
      <c r="AJ1228" s="97"/>
      <c r="AK1228" s="97"/>
      <c r="AL1228" s="97"/>
      <c r="AM1228" s="97"/>
      <c r="AN1228" s="97"/>
      <c r="AO1228" s="97"/>
      <c r="AP1228" s="97"/>
      <c r="AQ1228" s="97"/>
    </row>
    <row r="1229" spans="2:43" s="101" customFormat="1" ht="15" customHeight="1">
      <c r="B1229" s="104"/>
      <c r="C1229" s="104"/>
      <c r="D1229" s="104"/>
      <c r="E1229" s="104"/>
      <c r="F1229" s="104"/>
      <c r="G1229" s="104"/>
      <c r="H1229" s="104"/>
      <c r="I1229" s="104"/>
      <c r="J1229" s="104"/>
      <c r="K1229" s="104"/>
      <c r="L1229" s="104"/>
      <c r="R1229" s="105"/>
      <c r="S1229" s="105"/>
      <c r="T1229" s="105"/>
      <c r="U1229" s="105"/>
      <c r="V1229" s="105"/>
      <c r="W1229" s="105"/>
      <c r="AD1229" s="106"/>
      <c r="AE1229" s="97"/>
      <c r="AF1229" s="97"/>
      <c r="AG1229" s="97"/>
      <c r="AH1229" s="97"/>
      <c r="AI1229" s="97"/>
      <c r="AJ1229" s="97"/>
      <c r="AK1229" s="97"/>
      <c r="AL1229" s="97"/>
      <c r="AM1229" s="97"/>
      <c r="AN1229" s="97"/>
      <c r="AO1229" s="97"/>
      <c r="AP1229" s="97"/>
      <c r="AQ1229" s="97"/>
    </row>
    <row r="1230" spans="2:43" s="101" customFormat="1" ht="15" customHeight="1">
      <c r="B1230" s="104"/>
      <c r="C1230" s="104"/>
      <c r="D1230" s="104"/>
      <c r="E1230" s="104"/>
      <c r="F1230" s="104"/>
      <c r="G1230" s="104"/>
      <c r="H1230" s="104"/>
      <c r="I1230" s="104"/>
      <c r="J1230" s="104"/>
      <c r="K1230" s="104"/>
      <c r="L1230" s="104"/>
      <c r="R1230" s="105"/>
      <c r="S1230" s="105"/>
      <c r="T1230" s="105"/>
      <c r="U1230" s="105"/>
      <c r="V1230" s="105"/>
      <c r="W1230" s="105"/>
      <c r="AD1230" s="106"/>
      <c r="AE1230" s="97"/>
      <c r="AF1230" s="97"/>
      <c r="AG1230" s="97"/>
      <c r="AH1230" s="97"/>
      <c r="AI1230" s="97"/>
      <c r="AJ1230" s="97"/>
      <c r="AK1230" s="97"/>
      <c r="AL1230" s="97"/>
      <c r="AM1230" s="97"/>
      <c r="AN1230" s="97"/>
      <c r="AO1230" s="97"/>
      <c r="AP1230" s="97"/>
      <c r="AQ1230" s="97"/>
    </row>
    <row r="1231" spans="2:43" s="101" customFormat="1" ht="15" customHeight="1">
      <c r="B1231" s="104"/>
      <c r="C1231" s="104"/>
      <c r="D1231" s="104"/>
      <c r="E1231" s="104"/>
      <c r="F1231" s="104"/>
      <c r="G1231" s="104"/>
      <c r="H1231" s="104"/>
      <c r="I1231" s="104"/>
      <c r="J1231" s="104"/>
      <c r="K1231" s="104"/>
      <c r="L1231" s="104"/>
      <c r="R1231" s="105"/>
      <c r="S1231" s="105"/>
      <c r="T1231" s="105"/>
      <c r="U1231" s="105"/>
      <c r="V1231" s="105"/>
      <c r="W1231" s="105"/>
      <c r="AD1231" s="106"/>
      <c r="AE1231" s="97"/>
      <c r="AF1231" s="97"/>
      <c r="AG1231" s="97"/>
      <c r="AH1231" s="97"/>
      <c r="AI1231" s="97"/>
      <c r="AJ1231" s="97"/>
      <c r="AK1231" s="97"/>
      <c r="AL1231" s="97"/>
      <c r="AM1231" s="97"/>
      <c r="AN1231" s="97"/>
      <c r="AO1231" s="97"/>
      <c r="AP1231" s="97"/>
      <c r="AQ1231" s="97"/>
    </row>
    <row r="1232" spans="2:43" s="101" customFormat="1" ht="15" customHeight="1">
      <c r="B1232" s="104"/>
      <c r="C1232" s="104"/>
      <c r="D1232" s="104"/>
      <c r="E1232" s="104"/>
      <c r="F1232" s="104"/>
      <c r="G1232" s="104"/>
      <c r="H1232" s="104"/>
      <c r="I1232" s="104"/>
      <c r="J1232" s="104"/>
      <c r="K1232" s="104"/>
      <c r="L1232" s="104"/>
      <c r="R1232" s="105"/>
      <c r="S1232" s="105"/>
      <c r="T1232" s="105"/>
      <c r="U1232" s="105"/>
      <c r="V1232" s="105"/>
      <c r="W1232" s="105"/>
      <c r="AD1232" s="106"/>
      <c r="AE1232" s="97"/>
      <c r="AF1232" s="97"/>
      <c r="AG1232" s="97"/>
      <c r="AH1232" s="97"/>
      <c r="AI1232" s="97"/>
      <c r="AJ1232" s="97"/>
      <c r="AK1232" s="97"/>
      <c r="AL1232" s="97"/>
      <c r="AM1232" s="97"/>
      <c r="AN1232" s="97"/>
      <c r="AO1232" s="97"/>
      <c r="AP1232" s="97"/>
      <c r="AQ1232" s="97"/>
    </row>
    <row r="1233" spans="2:43" s="101" customFormat="1" ht="15" customHeight="1">
      <c r="B1233" s="104"/>
      <c r="C1233" s="104"/>
      <c r="D1233" s="104"/>
      <c r="E1233" s="104"/>
      <c r="F1233" s="104"/>
      <c r="G1233" s="104"/>
      <c r="H1233" s="104"/>
      <c r="I1233" s="104"/>
      <c r="J1233" s="104"/>
      <c r="K1233" s="104"/>
      <c r="L1233" s="104"/>
      <c r="R1233" s="105"/>
      <c r="S1233" s="105"/>
      <c r="T1233" s="105"/>
      <c r="U1233" s="105"/>
      <c r="V1233" s="105"/>
      <c r="W1233" s="105"/>
      <c r="AD1233" s="106"/>
      <c r="AE1233" s="97"/>
      <c r="AF1233" s="97"/>
      <c r="AG1233" s="97"/>
      <c r="AH1233" s="97"/>
      <c r="AI1233" s="97"/>
      <c r="AJ1233" s="97"/>
      <c r="AK1233" s="97"/>
      <c r="AL1233" s="97"/>
      <c r="AM1233" s="97"/>
      <c r="AN1233" s="97"/>
      <c r="AO1233" s="97"/>
      <c r="AP1233" s="97"/>
      <c r="AQ1233" s="97"/>
    </row>
    <row r="1234" spans="2:43" s="101" customFormat="1" ht="15" customHeight="1">
      <c r="B1234" s="104"/>
      <c r="C1234" s="104"/>
      <c r="D1234" s="104"/>
      <c r="E1234" s="104"/>
      <c r="F1234" s="104"/>
      <c r="G1234" s="104"/>
      <c r="H1234" s="104"/>
      <c r="I1234" s="104"/>
      <c r="J1234" s="104"/>
      <c r="K1234" s="104"/>
      <c r="L1234" s="104"/>
      <c r="R1234" s="105"/>
      <c r="S1234" s="105"/>
      <c r="T1234" s="105"/>
      <c r="U1234" s="105"/>
      <c r="V1234" s="105"/>
      <c r="W1234" s="105"/>
      <c r="AD1234" s="106"/>
      <c r="AE1234" s="97"/>
      <c r="AF1234" s="97"/>
      <c r="AG1234" s="97"/>
      <c r="AH1234" s="97"/>
      <c r="AI1234" s="97"/>
      <c r="AJ1234" s="97"/>
      <c r="AK1234" s="97"/>
      <c r="AL1234" s="97"/>
      <c r="AM1234" s="97"/>
      <c r="AN1234" s="97"/>
      <c r="AO1234" s="97"/>
      <c r="AP1234" s="97"/>
      <c r="AQ1234" s="97"/>
    </row>
    <row r="1235" spans="2:43" s="101" customFormat="1" ht="15" customHeight="1">
      <c r="B1235" s="104"/>
      <c r="C1235" s="104"/>
      <c r="D1235" s="104"/>
      <c r="E1235" s="104"/>
      <c r="F1235" s="104"/>
      <c r="G1235" s="104"/>
      <c r="H1235" s="104"/>
      <c r="I1235" s="104"/>
      <c r="J1235" s="104"/>
      <c r="K1235" s="104"/>
      <c r="L1235" s="104"/>
      <c r="R1235" s="105"/>
      <c r="S1235" s="105"/>
      <c r="T1235" s="105"/>
      <c r="U1235" s="105"/>
      <c r="V1235" s="105"/>
      <c r="W1235" s="105"/>
      <c r="AD1235" s="106"/>
      <c r="AE1235" s="97"/>
      <c r="AF1235" s="97"/>
      <c r="AG1235" s="97"/>
      <c r="AH1235" s="97"/>
      <c r="AI1235" s="97"/>
      <c r="AJ1235" s="97"/>
      <c r="AK1235" s="97"/>
      <c r="AL1235" s="97"/>
      <c r="AM1235" s="97"/>
      <c r="AN1235" s="97"/>
      <c r="AO1235" s="97"/>
      <c r="AP1235" s="97"/>
      <c r="AQ1235" s="97"/>
    </row>
    <row r="1236" spans="2:43" s="101" customFormat="1" ht="15" customHeight="1">
      <c r="B1236" s="104"/>
      <c r="C1236" s="104"/>
      <c r="D1236" s="104"/>
      <c r="E1236" s="104"/>
      <c r="F1236" s="104"/>
      <c r="G1236" s="104"/>
      <c r="H1236" s="104"/>
      <c r="I1236" s="104"/>
      <c r="J1236" s="104"/>
      <c r="K1236" s="104"/>
      <c r="L1236" s="104"/>
      <c r="R1236" s="105"/>
      <c r="S1236" s="105"/>
      <c r="T1236" s="105"/>
      <c r="U1236" s="105"/>
      <c r="V1236" s="105"/>
      <c r="W1236" s="105"/>
      <c r="AD1236" s="106"/>
      <c r="AE1236" s="97"/>
      <c r="AF1236" s="97"/>
      <c r="AG1236" s="97"/>
      <c r="AH1236" s="97"/>
      <c r="AI1236" s="97"/>
      <c r="AJ1236" s="97"/>
      <c r="AK1236" s="97"/>
      <c r="AL1236" s="97"/>
      <c r="AM1236" s="97"/>
      <c r="AN1236" s="97"/>
      <c r="AO1236" s="97"/>
      <c r="AP1236" s="97"/>
      <c r="AQ1236" s="97"/>
    </row>
    <row r="1237" spans="2:43" s="101" customFormat="1" ht="15" customHeight="1">
      <c r="B1237" s="104"/>
      <c r="C1237" s="104"/>
      <c r="D1237" s="104"/>
      <c r="E1237" s="104"/>
      <c r="F1237" s="104"/>
      <c r="G1237" s="104"/>
      <c r="H1237" s="104"/>
      <c r="I1237" s="104"/>
      <c r="J1237" s="104"/>
      <c r="K1237" s="104"/>
      <c r="L1237" s="104"/>
      <c r="R1237" s="105"/>
      <c r="S1237" s="105"/>
      <c r="T1237" s="105"/>
      <c r="U1237" s="105"/>
      <c r="V1237" s="105"/>
      <c r="W1237" s="105"/>
      <c r="AD1237" s="106"/>
      <c r="AE1237" s="97"/>
      <c r="AF1237" s="97"/>
      <c r="AG1237" s="97"/>
      <c r="AH1237" s="97"/>
      <c r="AI1237" s="97"/>
      <c r="AJ1237" s="97"/>
      <c r="AK1237" s="97"/>
      <c r="AL1237" s="97"/>
      <c r="AM1237" s="97"/>
      <c r="AN1237" s="97"/>
      <c r="AO1237" s="97"/>
      <c r="AP1237" s="97"/>
      <c r="AQ1237" s="97"/>
    </row>
    <row r="1238" spans="2:43" s="101" customFormat="1" ht="15" customHeight="1">
      <c r="B1238" s="104"/>
      <c r="C1238" s="104"/>
      <c r="D1238" s="104"/>
      <c r="E1238" s="104"/>
      <c r="F1238" s="104"/>
      <c r="G1238" s="104"/>
      <c r="H1238" s="104"/>
      <c r="I1238" s="104"/>
      <c r="J1238" s="104"/>
      <c r="K1238" s="104"/>
      <c r="L1238" s="104"/>
      <c r="R1238" s="105"/>
      <c r="S1238" s="105"/>
      <c r="T1238" s="105"/>
      <c r="U1238" s="105"/>
      <c r="V1238" s="105"/>
      <c r="W1238" s="105"/>
      <c r="AD1238" s="106"/>
      <c r="AE1238" s="97"/>
      <c r="AF1238" s="97"/>
      <c r="AG1238" s="97"/>
      <c r="AH1238" s="97"/>
      <c r="AI1238" s="97"/>
      <c r="AJ1238" s="97"/>
      <c r="AK1238" s="97"/>
      <c r="AL1238" s="97"/>
      <c r="AM1238" s="97"/>
      <c r="AN1238" s="97"/>
      <c r="AO1238" s="97"/>
      <c r="AP1238" s="97"/>
      <c r="AQ1238" s="97"/>
    </row>
    <row r="1239" spans="2:43" s="101" customFormat="1" ht="15" customHeight="1">
      <c r="B1239" s="104"/>
      <c r="C1239" s="104"/>
      <c r="D1239" s="104"/>
      <c r="E1239" s="104"/>
      <c r="F1239" s="104"/>
      <c r="G1239" s="104"/>
      <c r="H1239" s="104"/>
      <c r="I1239" s="104"/>
      <c r="J1239" s="104"/>
      <c r="K1239" s="104"/>
      <c r="L1239" s="104"/>
      <c r="R1239" s="105"/>
      <c r="S1239" s="105"/>
      <c r="T1239" s="105"/>
      <c r="U1239" s="105"/>
      <c r="V1239" s="105"/>
      <c r="W1239" s="105"/>
      <c r="AD1239" s="106"/>
      <c r="AE1239" s="97"/>
      <c r="AF1239" s="97"/>
      <c r="AG1239" s="97"/>
      <c r="AH1239" s="97"/>
      <c r="AI1239" s="97"/>
      <c r="AJ1239" s="97"/>
      <c r="AK1239" s="97"/>
      <c r="AL1239" s="97"/>
      <c r="AM1239" s="97"/>
      <c r="AN1239" s="97"/>
      <c r="AO1239" s="97"/>
      <c r="AP1239" s="97"/>
      <c r="AQ1239" s="97"/>
    </row>
    <row r="1240" spans="2:43" s="101" customFormat="1" ht="15" customHeight="1">
      <c r="B1240" s="104"/>
      <c r="C1240" s="104"/>
      <c r="D1240" s="104"/>
      <c r="E1240" s="104"/>
      <c r="F1240" s="104"/>
      <c r="G1240" s="104"/>
      <c r="H1240" s="104"/>
      <c r="I1240" s="104"/>
      <c r="J1240" s="104"/>
      <c r="K1240" s="104"/>
      <c r="L1240" s="104"/>
      <c r="R1240" s="105"/>
      <c r="S1240" s="105"/>
      <c r="T1240" s="105"/>
      <c r="U1240" s="105"/>
      <c r="V1240" s="105"/>
      <c r="W1240" s="105"/>
      <c r="AD1240" s="106"/>
      <c r="AE1240" s="97"/>
      <c r="AF1240" s="97"/>
      <c r="AG1240" s="97"/>
      <c r="AH1240" s="97"/>
      <c r="AI1240" s="97"/>
      <c r="AJ1240" s="97"/>
      <c r="AK1240" s="97"/>
      <c r="AL1240" s="97"/>
      <c r="AM1240" s="97"/>
      <c r="AN1240" s="97"/>
      <c r="AO1240" s="97"/>
      <c r="AP1240" s="97"/>
      <c r="AQ1240" s="97"/>
    </row>
    <row r="1241" spans="2:43" s="101" customFormat="1" ht="15" customHeight="1">
      <c r="B1241" s="104"/>
      <c r="C1241" s="104"/>
      <c r="D1241" s="104"/>
      <c r="E1241" s="104"/>
      <c r="F1241" s="104"/>
      <c r="G1241" s="104"/>
      <c r="H1241" s="104"/>
      <c r="I1241" s="104"/>
      <c r="J1241" s="104"/>
      <c r="K1241" s="104"/>
      <c r="L1241" s="104"/>
      <c r="R1241" s="105"/>
      <c r="S1241" s="105"/>
      <c r="T1241" s="105"/>
      <c r="U1241" s="105"/>
      <c r="V1241" s="105"/>
      <c r="W1241" s="105"/>
      <c r="AD1241" s="106"/>
      <c r="AE1241" s="97"/>
      <c r="AF1241" s="97"/>
      <c r="AG1241" s="97"/>
      <c r="AH1241" s="97"/>
      <c r="AI1241" s="97"/>
      <c r="AJ1241" s="97"/>
      <c r="AK1241" s="97"/>
      <c r="AL1241" s="97"/>
      <c r="AM1241" s="97"/>
      <c r="AN1241" s="97"/>
      <c r="AO1241" s="97"/>
      <c r="AP1241" s="97"/>
      <c r="AQ1241" s="97"/>
    </row>
    <row r="1242" spans="2:43" s="101" customFormat="1" ht="15" customHeight="1">
      <c r="B1242" s="104"/>
      <c r="C1242" s="104"/>
      <c r="D1242" s="104"/>
      <c r="E1242" s="104"/>
      <c r="F1242" s="104"/>
      <c r="G1242" s="104"/>
      <c r="H1242" s="104"/>
      <c r="I1242" s="104"/>
      <c r="J1242" s="104"/>
      <c r="K1242" s="104"/>
      <c r="L1242" s="104"/>
      <c r="R1242" s="105"/>
      <c r="S1242" s="105"/>
      <c r="T1242" s="105"/>
      <c r="U1242" s="105"/>
      <c r="V1242" s="105"/>
      <c r="W1242" s="105"/>
      <c r="AD1242" s="106"/>
      <c r="AE1242" s="97"/>
      <c r="AF1242" s="97"/>
      <c r="AG1242" s="97"/>
      <c r="AH1242" s="97"/>
      <c r="AI1242" s="97"/>
      <c r="AJ1242" s="97"/>
      <c r="AK1242" s="97"/>
      <c r="AL1242" s="97"/>
      <c r="AM1242" s="97"/>
      <c r="AN1242" s="97"/>
      <c r="AO1242" s="97"/>
      <c r="AP1242" s="97"/>
      <c r="AQ1242" s="97"/>
    </row>
    <row r="1243" spans="2:43" s="101" customFormat="1" ht="15" customHeight="1">
      <c r="B1243" s="104"/>
      <c r="C1243" s="104"/>
      <c r="D1243" s="104"/>
      <c r="E1243" s="104"/>
      <c r="F1243" s="104"/>
      <c r="G1243" s="104"/>
      <c r="H1243" s="104"/>
      <c r="I1243" s="104"/>
      <c r="J1243" s="104"/>
      <c r="K1243" s="104"/>
      <c r="L1243" s="104"/>
      <c r="R1243" s="105"/>
      <c r="S1243" s="105"/>
      <c r="T1243" s="105"/>
      <c r="U1243" s="105"/>
      <c r="V1243" s="105"/>
      <c r="W1243" s="105"/>
      <c r="AD1243" s="106"/>
      <c r="AE1243" s="97"/>
      <c r="AF1243" s="97"/>
      <c r="AG1243" s="97"/>
      <c r="AH1243" s="97"/>
      <c r="AI1243" s="97"/>
      <c r="AJ1243" s="97"/>
      <c r="AK1243" s="97"/>
      <c r="AL1243" s="97"/>
      <c r="AM1243" s="97"/>
      <c r="AN1243" s="97"/>
      <c r="AO1243" s="97"/>
      <c r="AP1243" s="97"/>
      <c r="AQ1243" s="97"/>
    </row>
    <row r="1244" spans="2:43" s="101" customFormat="1" ht="15" customHeight="1">
      <c r="B1244" s="104"/>
      <c r="C1244" s="104"/>
      <c r="D1244" s="104"/>
      <c r="E1244" s="104"/>
      <c r="F1244" s="104"/>
      <c r="G1244" s="104"/>
      <c r="H1244" s="104"/>
      <c r="I1244" s="104"/>
      <c r="J1244" s="104"/>
      <c r="K1244" s="104"/>
      <c r="L1244" s="104"/>
      <c r="R1244" s="105"/>
      <c r="S1244" s="105"/>
      <c r="T1244" s="105"/>
      <c r="U1244" s="105"/>
      <c r="V1244" s="105"/>
      <c r="W1244" s="105"/>
      <c r="AD1244" s="106"/>
      <c r="AE1244" s="97"/>
      <c r="AF1244" s="97"/>
      <c r="AG1244" s="97"/>
      <c r="AH1244" s="97"/>
      <c r="AI1244" s="97"/>
      <c r="AJ1244" s="97"/>
      <c r="AK1244" s="97"/>
      <c r="AL1244" s="97"/>
      <c r="AM1244" s="97"/>
      <c r="AN1244" s="97"/>
      <c r="AO1244" s="97"/>
      <c r="AP1244" s="97"/>
      <c r="AQ1244" s="97"/>
    </row>
    <row r="1245" spans="2:43" s="101" customFormat="1" ht="15" customHeight="1">
      <c r="B1245" s="104"/>
      <c r="C1245" s="104"/>
      <c r="D1245" s="104"/>
      <c r="E1245" s="104"/>
      <c r="F1245" s="104"/>
      <c r="G1245" s="104"/>
      <c r="H1245" s="104"/>
      <c r="I1245" s="104"/>
      <c r="J1245" s="104"/>
      <c r="K1245" s="104"/>
      <c r="L1245" s="104"/>
      <c r="R1245" s="105"/>
      <c r="S1245" s="105"/>
      <c r="T1245" s="105"/>
      <c r="U1245" s="105"/>
      <c r="V1245" s="105"/>
      <c r="W1245" s="105"/>
      <c r="AD1245" s="106"/>
      <c r="AE1245" s="97"/>
      <c r="AF1245" s="97"/>
      <c r="AG1245" s="97"/>
      <c r="AH1245" s="97"/>
      <c r="AI1245" s="97"/>
      <c r="AJ1245" s="97"/>
      <c r="AK1245" s="97"/>
      <c r="AL1245" s="97"/>
      <c r="AM1245" s="97"/>
      <c r="AN1245" s="97"/>
      <c r="AO1245" s="97"/>
      <c r="AP1245" s="97"/>
      <c r="AQ1245" s="97"/>
    </row>
    <row r="1246" spans="2:43" s="101" customFormat="1" ht="15" customHeight="1">
      <c r="B1246" s="104"/>
      <c r="C1246" s="104"/>
      <c r="D1246" s="104"/>
      <c r="E1246" s="104"/>
      <c r="F1246" s="104"/>
      <c r="G1246" s="104"/>
      <c r="H1246" s="104"/>
      <c r="I1246" s="104"/>
      <c r="J1246" s="104"/>
      <c r="K1246" s="104"/>
      <c r="L1246" s="104"/>
      <c r="R1246" s="105"/>
      <c r="S1246" s="105"/>
      <c r="T1246" s="105"/>
      <c r="U1246" s="105"/>
      <c r="V1246" s="105"/>
      <c r="W1246" s="105"/>
      <c r="AD1246" s="106"/>
      <c r="AE1246" s="97"/>
      <c r="AF1246" s="97"/>
      <c r="AG1246" s="97"/>
      <c r="AH1246" s="97"/>
      <c r="AI1246" s="97"/>
      <c r="AJ1246" s="97"/>
      <c r="AK1246" s="97"/>
      <c r="AL1246" s="97"/>
      <c r="AM1246" s="97"/>
      <c r="AN1246" s="97"/>
      <c r="AO1246" s="97"/>
      <c r="AP1246" s="97"/>
      <c r="AQ1246" s="97"/>
    </row>
    <row r="1247" spans="2:43" s="101" customFormat="1" ht="15" customHeight="1">
      <c r="B1247" s="104"/>
      <c r="C1247" s="104"/>
      <c r="D1247" s="104"/>
      <c r="E1247" s="104"/>
      <c r="F1247" s="104"/>
      <c r="G1247" s="104"/>
      <c r="H1247" s="104"/>
      <c r="I1247" s="104"/>
      <c r="J1247" s="104"/>
      <c r="K1247" s="104"/>
      <c r="L1247" s="104"/>
      <c r="R1247" s="105"/>
      <c r="S1247" s="105"/>
      <c r="T1247" s="105"/>
      <c r="U1247" s="105"/>
      <c r="V1247" s="105"/>
      <c r="W1247" s="105"/>
      <c r="AD1247" s="106"/>
      <c r="AE1247" s="97"/>
      <c r="AF1247" s="97"/>
      <c r="AG1247" s="97"/>
      <c r="AH1247" s="97"/>
      <c r="AI1247" s="97"/>
      <c r="AJ1247" s="97"/>
      <c r="AK1247" s="97"/>
      <c r="AL1247" s="97"/>
      <c r="AM1247" s="97"/>
      <c r="AN1247" s="97"/>
      <c r="AO1247" s="97"/>
      <c r="AP1247" s="97"/>
      <c r="AQ1247" s="97"/>
    </row>
    <row r="1248" spans="2:43" s="101" customFormat="1" ht="15" customHeight="1">
      <c r="B1248" s="104"/>
      <c r="C1248" s="104"/>
      <c r="D1248" s="104"/>
      <c r="E1248" s="104"/>
      <c r="F1248" s="104"/>
      <c r="G1248" s="104"/>
      <c r="H1248" s="104"/>
      <c r="I1248" s="104"/>
      <c r="J1248" s="104"/>
      <c r="K1248" s="104"/>
      <c r="L1248" s="104"/>
      <c r="R1248" s="105"/>
      <c r="S1248" s="105"/>
      <c r="T1248" s="105"/>
      <c r="U1248" s="105"/>
      <c r="V1248" s="105"/>
      <c r="W1248" s="105"/>
      <c r="AD1248" s="106"/>
      <c r="AE1248" s="97"/>
      <c r="AF1248" s="97"/>
      <c r="AG1248" s="97"/>
      <c r="AH1248" s="97"/>
      <c r="AI1248" s="97"/>
      <c r="AJ1248" s="97"/>
      <c r="AK1248" s="97"/>
      <c r="AL1248" s="97"/>
      <c r="AM1248" s="97"/>
      <c r="AN1248" s="97"/>
      <c r="AO1248" s="97"/>
      <c r="AP1248" s="97"/>
      <c r="AQ1248" s="97"/>
    </row>
    <row r="1249" spans="2:43" s="101" customFormat="1" ht="15" customHeight="1">
      <c r="B1249" s="104"/>
      <c r="C1249" s="104"/>
      <c r="D1249" s="104"/>
      <c r="E1249" s="104"/>
      <c r="F1249" s="104"/>
      <c r="G1249" s="104"/>
      <c r="H1249" s="104"/>
      <c r="I1249" s="104"/>
      <c r="J1249" s="104"/>
      <c r="K1249" s="104"/>
      <c r="L1249" s="104"/>
      <c r="R1249" s="105"/>
      <c r="S1249" s="105"/>
      <c r="T1249" s="105"/>
      <c r="U1249" s="105"/>
      <c r="V1249" s="105"/>
      <c r="W1249" s="105"/>
      <c r="AD1249" s="106"/>
      <c r="AE1249" s="97"/>
      <c r="AF1249" s="97"/>
      <c r="AG1249" s="97"/>
      <c r="AH1249" s="97"/>
      <c r="AI1249" s="97"/>
      <c r="AJ1249" s="97"/>
      <c r="AK1249" s="97"/>
      <c r="AL1249" s="97"/>
      <c r="AM1249" s="97"/>
      <c r="AN1249" s="97"/>
      <c r="AO1249" s="97"/>
      <c r="AP1249" s="97"/>
      <c r="AQ1249" s="97"/>
    </row>
    <row r="1250" spans="2:43" s="101" customFormat="1" ht="15" customHeight="1">
      <c r="B1250" s="104"/>
      <c r="C1250" s="104"/>
      <c r="D1250" s="104"/>
      <c r="E1250" s="104"/>
      <c r="F1250" s="104"/>
      <c r="G1250" s="104"/>
      <c r="H1250" s="104"/>
      <c r="I1250" s="104"/>
      <c r="J1250" s="104"/>
      <c r="K1250" s="104"/>
      <c r="L1250" s="104"/>
      <c r="R1250" s="105"/>
      <c r="S1250" s="105"/>
      <c r="T1250" s="105"/>
      <c r="U1250" s="105"/>
      <c r="V1250" s="105"/>
      <c r="W1250" s="105"/>
      <c r="AD1250" s="106"/>
      <c r="AE1250" s="97"/>
      <c r="AF1250" s="97"/>
      <c r="AG1250" s="97"/>
      <c r="AH1250" s="97"/>
      <c r="AI1250" s="97"/>
      <c r="AJ1250" s="97"/>
      <c r="AK1250" s="97"/>
      <c r="AL1250" s="97"/>
      <c r="AM1250" s="97"/>
      <c r="AN1250" s="97"/>
      <c r="AO1250" s="97"/>
      <c r="AP1250" s="97"/>
      <c r="AQ1250" s="97"/>
    </row>
    <row r="1251" spans="2:43" s="101" customFormat="1" ht="15" customHeight="1">
      <c r="B1251" s="104"/>
      <c r="C1251" s="104"/>
      <c r="D1251" s="104"/>
      <c r="E1251" s="104"/>
      <c r="F1251" s="104"/>
      <c r="G1251" s="104"/>
      <c r="H1251" s="104"/>
      <c r="I1251" s="104"/>
      <c r="J1251" s="104"/>
      <c r="K1251" s="104"/>
      <c r="L1251" s="104"/>
      <c r="R1251" s="105"/>
      <c r="S1251" s="105"/>
      <c r="T1251" s="105"/>
      <c r="U1251" s="105"/>
      <c r="V1251" s="105"/>
      <c r="W1251" s="105"/>
      <c r="AD1251" s="106"/>
      <c r="AE1251" s="97"/>
      <c r="AF1251" s="97"/>
      <c r="AG1251" s="97"/>
      <c r="AH1251" s="97"/>
      <c r="AI1251" s="97"/>
      <c r="AJ1251" s="97"/>
      <c r="AK1251" s="97"/>
      <c r="AL1251" s="97"/>
      <c r="AM1251" s="97"/>
      <c r="AN1251" s="97"/>
      <c r="AO1251" s="97"/>
      <c r="AP1251" s="97"/>
      <c r="AQ1251" s="97"/>
    </row>
    <row r="1252" spans="2:43" s="101" customFormat="1" ht="15" customHeight="1">
      <c r="B1252" s="104"/>
      <c r="C1252" s="104"/>
      <c r="D1252" s="104"/>
      <c r="E1252" s="104"/>
      <c r="F1252" s="104"/>
      <c r="G1252" s="104"/>
      <c r="H1252" s="104"/>
      <c r="I1252" s="104"/>
      <c r="J1252" s="104"/>
      <c r="K1252" s="104"/>
      <c r="L1252" s="104"/>
      <c r="R1252" s="105"/>
      <c r="S1252" s="105"/>
      <c r="T1252" s="105"/>
      <c r="U1252" s="105"/>
      <c r="V1252" s="105"/>
      <c r="W1252" s="105"/>
      <c r="AD1252" s="106"/>
      <c r="AE1252" s="97"/>
      <c r="AF1252" s="97"/>
      <c r="AG1252" s="97"/>
      <c r="AH1252" s="97"/>
      <c r="AI1252" s="97"/>
      <c r="AJ1252" s="97"/>
      <c r="AK1252" s="97"/>
      <c r="AL1252" s="97"/>
      <c r="AM1252" s="97"/>
      <c r="AN1252" s="97"/>
      <c r="AO1252" s="97"/>
      <c r="AP1252" s="97"/>
      <c r="AQ1252" s="97"/>
    </row>
    <row r="1253" spans="2:43" s="101" customFormat="1" ht="15" customHeight="1">
      <c r="B1253" s="104"/>
      <c r="C1253" s="104"/>
      <c r="D1253" s="104"/>
      <c r="E1253" s="104"/>
      <c r="F1253" s="104"/>
      <c r="G1253" s="104"/>
      <c r="H1253" s="104"/>
      <c r="I1253" s="104"/>
      <c r="J1253" s="104"/>
      <c r="K1253" s="104"/>
      <c r="L1253" s="104"/>
      <c r="R1253" s="105"/>
      <c r="S1253" s="105"/>
      <c r="T1253" s="105"/>
      <c r="U1253" s="105"/>
      <c r="V1253" s="105"/>
      <c r="W1253" s="105"/>
      <c r="AD1253" s="106"/>
      <c r="AE1253" s="97"/>
      <c r="AF1253" s="97"/>
      <c r="AG1253" s="97"/>
      <c r="AH1253" s="97"/>
      <c r="AI1253" s="97"/>
      <c r="AJ1253" s="97"/>
      <c r="AK1253" s="97"/>
      <c r="AL1253" s="97"/>
      <c r="AM1253" s="97"/>
      <c r="AN1253" s="97"/>
      <c r="AO1253" s="97"/>
      <c r="AP1253" s="97"/>
      <c r="AQ1253" s="97"/>
    </row>
    <row r="1254" spans="2:43" s="101" customFormat="1" ht="15" customHeight="1">
      <c r="B1254" s="104"/>
      <c r="C1254" s="104"/>
      <c r="D1254" s="104"/>
      <c r="E1254" s="104"/>
      <c r="F1254" s="104"/>
      <c r="G1254" s="104"/>
      <c r="H1254" s="104"/>
      <c r="I1254" s="104"/>
      <c r="J1254" s="104"/>
      <c r="K1254" s="104"/>
      <c r="L1254" s="104"/>
      <c r="R1254" s="105"/>
      <c r="S1254" s="105"/>
      <c r="T1254" s="105"/>
      <c r="U1254" s="105"/>
      <c r="V1254" s="105"/>
      <c r="W1254" s="105"/>
      <c r="AD1254" s="106"/>
      <c r="AE1254" s="97"/>
      <c r="AF1254" s="97"/>
      <c r="AG1254" s="97"/>
      <c r="AH1254" s="97"/>
      <c r="AI1254" s="97"/>
      <c r="AJ1254" s="97"/>
      <c r="AK1254" s="97"/>
      <c r="AL1254" s="97"/>
      <c r="AM1254" s="97"/>
      <c r="AN1254" s="97"/>
      <c r="AO1254" s="97"/>
      <c r="AP1254" s="97"/>
      <c r="AQ1254" s="97"/>
    </row>
    <row r="1255" spans="2:43" s="101" customFormat="1" ht="15" customHeight="1">
      <c r="B1255" s="104"/>
      <c r="C1255" s="104"/>
      <c r="D1255" s="104"/>
      <c r="E1255" s="104"/>
      <c r="F1255" s="104"/>
      <c r="G1255" s="104"/>
      <c r="H1255" s="104"/>
      <c r="I1255" s="104"/>
      <c r="J1255" s="104"/>
      <c r="K1255" s="104"/>
      <c r="L1255" s="104"/>
      <c r="R1255" s="105"/>
      <c r="S1255" s="105"/>
      <c r="T1255" s="105"/>
      <c r="U1255" s="105"/>
      <c r="V1255" s="105"/>
      <c r="W1255" s="105"/>
      <c r="AD1255" s="106"/>
      <c r="AE1255" s="97"/>
      <c r="AF1255" s="97"/>
      <c r="AG1255" s="97"/>
      <c r="AH1255" s="97"/>
      <c r="AI1255" s="97"/>
      <c r="AJ1255" s="97"/>
      <c r="AK1255" s="97"/>
      <c r="AL1255" s="97"/>
      <c r="AM1255" s="97"/>
      <c r="AN1255" s="97"/>
      <c r="AO1255" s="97"/>
      <c r="AP1255" s="97"/>
      <c r="AQ1255" s="97"/>
    </row>
    <row r="1256" spans="2:43" s="101" customFormat="1" ht="15" customHeight="1">
      <c r="B1256" s="104"/>
      <c r="C1256" s="104"/>
      <c r="D1256" s="104"/>
      <c r="E1256" s="104"/>
      <c r="F1256" s="104"/>
      <c r="G1256" s="104"/>
      <c r="H1256" s="104"/>
      <c r="I1256" s="104"/>
      <c r="J1256" s="104"/>
      <c r="K1256" s="104"/>
      <c r="L1256" s="104"/>
      <c r="R1256" s="105"/>
      <c r="S1256" s="105"/>
      <c r="T1256" s="105"/>
      <c r="U1256" s="105"/>
      <c r="V1256" s="105"/>
      <c r="W1256" s="105"/>
      <c r="AD1256" s="106"/>
      <c r="AE1256" s="97"/>
      <c r="AF1256" s="97"/>
      <c r="AG1256" s="97"/>
      <c r="AH1256" s="97"/>
      <c r="AI1256" s="97"/>
      <c r="AJ1256" s="97"/>
      <c r="AK1256" s="97"/>
      <c r="AL1256" s="97"/>
      <c r="AM1256" s="97"/>
      <c r="AN1256" s="97"/>
      <c r="AO1256" s="97"/>
      <c r="AP1256" s="97"/>
      <c r="AQ1256" s="97"/>
    </row>
    <row r="1257" spans="2:43" s="101" customFormat="1" ht="15" customHeight="1">
      <c r="B1257" s="104"/>
      <c r="C1257" s="104"/>
      <c r="D1257" s="104"/>
      <c r="E1257" s="104"/>
      <c r="F1257" s="104"/>
      <c r="G1257" s="104"/>
      <c r="H1257" s="104"/>
      <c r="I1257" s="104"/>
      <c r="J1257" s="104"/>
      <c r="K1257" s="104"/>
      <c r="L1257" s="104"/>
      <c r="R1257" s="105"/>
      <c r="S1257" s="105"/>
      <c r="T1257" s="105"/>
      <c r="U1257" s="105"/>
      <c r="V1257" s="105"/>
      <c r="W1257" s="105"/>
      <c r="AD1257" s="106"/>
      <c r="AE1257" s="97"/>
      <c r="AF1257" s="97"/>
      <c r="AG1257" s="97"/>
      <c r="AH1257" s="97"/>
      <c r="AI1257" s="97"/>
      <c r="AJ1257" s="97"/>
      <c r="AK1257" s="97"/>
      <c r="AL1257" s="97"/>
      <c r="AM1257" s="97"/>
      <c r="AN1257" s="97"/>
      <c r="AO1257" s="97"/>
      <c r="AP1257" s="97"/>
      <c r="AQ1257" s="97"/>
    </row>
    <row r="1258" spans="2:43" s="101" customFormat="1" ht="15" customHeight="1">
      <c r="B1258" s="104"/>
      <c r="C1258" s="104"/>
      <c r="D1258" s="104"/>
      <c r="E1258" s="104"/>
      <c r="F1258" s="104"/>
      <c r="G1258" s="104"/>
      <c r="H1258" s="104"/>
      <c r="I1258" s="104"/>
      <c r="J1258" s="104"/>
      <c r="K1258" s="104"/>
      <c r="L1258" s="104"/>
      <c r="R1258" s="105"/>
      <c r="S1258" s="105"/>
      <c r="T1258" s="105"/>
      <c r="U1258" s="105"/>
      <c r="V1258" s="105"/>
      <c r="W1258" s="105"/>
      <c r="AD1258" s="106"/>
      <c r="AE1258" s="97"/>
      <c r="AF1258" s="97"/>
      <c r="AG1258" s="97"/>
      <c r="AH1258" s="97"/>
      <c r="AI1258" s="97"/>
      <c r="AJ1258" s="97"/>
      <c r="AK1258" s="97"/>
      <c r="AL1258" s="97"/>
      <c r="AM1258" s="97"/>
      <c r="AN1258" s="97"/>
      <c r="AO1258" s="97"/>
      <c r="AP1258" s="97"/>
      <c r="AQ1258" s="97"/>
    </row>
    <row r="1259" spans="2:43" s="101" customFormat="1" ht="15" customHeight="1">
      <c r="B1259" s="104"/>
      <c r="C1259" s="104"/>
      <c r="D1259" s="104"/>
      <c r="E1259" s="104"/>
      <c r="F1259" s="104"/>
      <c r="G1259" s="104"/>
      <c r="H1259" s="104"/>
      <c r="I1259" s="104"/>
      <c r="J1259" s="104"/>
      <c r="K1259" s="104"/>
      <c r="L1259" s="104"/>
      <c r="R1259" s="105"/>
      <c r="S1259" s="105"/>
      <c r="T1259" s="105"/>
      <c r="U1259" s="105"/>
      <c r="V1259" s="105"/>
      <c r="W1259" s="105"/>
      <c r="AD1259" s="106"/>
      <c r="AE1259" s="97"/>
      <c r="AF1259" s="97"/>
      <c r="AG1259" s="97"/>
      <c r="AH1259" s="97"/>
      <c r="AI1259" s="97"/>
      <c r="AJ1259" s="97"/>
      <c r="AK1259" s="97"/>
      <c r="AL1259" s="97"/>
      <c r="AM1259" s="97"/>
      <c r="AN1259" s="97"/>
      <c r="AO1259" s="97"/>
      <c r="AP1259" s="97"/>
      <c r="AQ1259" s="97"/>
    </row>
    <row r="1260" spans="2:43" s="101" customFormat="1" ht="15" customHeight="1">
      <c r="B1260" s="104"/>
      <c r="C1260" s="104"/>
      <c r="D1260" s="104"/>
      <c r="E1260" s="104"/>
      <c r="F1260" s="104"/>
      <c r="G1260" s="104"/>
      <c r="H1260" s="104"/>
      <c r="I1260" s="104"/>
      <c r="J1260" s="104"/>
      <c r="K1260" s="104"/>
      <c r="L1260" s="104"/>
      <c r="R1260" s="105"/>
      <c r="S1260" s="105"/>
      <c r="T1260" s="105"/>
      <c r="U1260" s="105"/>
      <c r="V1260" s="105"/>
      <c r="W1260" s="105"/>
      <c r="AD1260" s="106"/>
      <c r="AE1260" s="97"/>
      <c r="AF1260" s="97"/>
      <c r="AG1260" s="97"/>
      <c r="AH1260" s="97"/>
      <c r="AI1260" s="97"/>
      <c r="AJ1260" s="97"/>
      <c r="AK1260" s="97"/>
      <c r="AL1260" s="97"/>
      <c r="AM1260" s="97"/>
      <c r="AN1260" s="97"/>
      <c r="AO1260" s="97"/>
      <c r="AP1260" s="97"/>
      <c r="AQ1260" s="97"/>
    </row>
    <row r="1261" spans="2:43" s="101" customFormat="1" ht="15" customHeight="1">
      <c r="B1261" s="104"/>
      <c r="C1261" s="104"/>
      <c r="D1261" s="104"/>
      <c r="E1261" s="104"/>
      <c r="F1261" s="104"/>
      <c r="G1261" s="104"/>
      <c r="H1261" s="104"/>
      <c r="I1261" s="104"/>
      <c r="J1261" s="104"/>
      <c r="K1261" s="104"/>
      <c r="L1261" s="104"/>
      <c r="R1261" s="105"/>
      <c r="S1261" s="105"/>
      <c r="T1261" s="105"/>
      <c r="U1261" s="105"/>
      <c r="V1261" s="105"/>
      <c r="W1261" s="105"/>
      <c r="AD1261" s="106"/>
      <c r="AE1261" s="97"/>
      <c r="AF1261" s="97"/>
      <c r="AG1261" s="97"/>
      <c r="AH1261" s="97"/>
      <c r="AI1261" s="97"/>
      <c r="AJ1261" s="97"/>
      <c r="AK1261" s="97"/>
      <c r="AL1261" s="97"/>
      <c r="AM1261" s="97"/>
      <c r="AN1261" s="97"/>
      <c r="AO1261" s="97"/>
      <c r="AP1261" s="97"/>
      <c r="AQ1261" s="97"/>
    </row>
    <row r="1262" spans="2:43" s="101" customFormat="1" ht="15" customHeight="1">
      <c r="B1262" s="104"/>
      <c r="C1262" s="104"/>
      <c r="D1262" s="104"/>
      <c r="E1262" s="104"/>
      <c r="F1262" s="104"/>
      <c r="G1262" s="104"/>
      <c r="H1262" s="104"/>
      <c r="I1262" s="104"/>
      <c r="J1262" s="104"/>
      <c r="K1262" s="104"/>
      <c r="L1262" s="104"/>
      <c r="R1262" s="105"/>
      <c r="S1262" s="105"/>
      <c r="T1262" s="105"/>
      <c r="U1262" s="105"/>
      <c r="V1262" s="105"/>
      <c r="W1262" s="105"/>
      <c r="AD1262" s="106"/>
      <c r="AE1262" s="97"/>
      <c r="AF1262" s="97"/>
      <c r="AG1262" s="97"/>
      <c r="AH1262" s="97"/>
      <c r="AI1262" s="97"/>
      <c r="AJ1262" s="97"/>
      <c r="AK1262" s="97"/>
      <c r="AL1262" s="97"/>
      <c r="AM1262" s="97"/>
      <c r="AN1262" s="97"/>
      <c r="AO1262" s="97"/>
      <c r="AP1262" s="97"/>
      <c r="AQ1262" s="97"/>
    </row>
    <row r="1263" spans="2:43" s="101" customFormat="1" ht="15" customHeight="1">
      <c r="B1263" s="104"/>
      <c r="C1263" s="104"/>
      <c r="D1263" s="104"/>
      <c r="E1263" s="104"/>
      <c r="F1263" s="104"/>
      <c r="G1263" s="104"/>
      <c r="H1263" s="104"/>
      <c r="I1263" s="104"/>
      <c r="J1263" s="104"/>
      <c r="K1263" s="104"/>
      <c r="L1263" s="104"/>
      <c r="R1263" s="105"/>
      <c r="S1263" s="105"/>
      <c r="T1263" s="105"/>
      <c r="U1263" s="105"/>
      <c r="V1263" s="105"/>
      <c r="W1263" s="105"/>
      <c r="AD1263" s="106"/>
      <c r="AE1263" s="97"/>
      <c r="AF1263" s="97"/>
      <c r="AG1263" s="97"/>
      <c r="AH1263" s="97"/>
      <c r="AI1263" s="97"/>
      <c r="AJ1263" s="97"/>
      <c r="AK1263" s="97"/>
      <c r="AL1263" s="97"/>
      <c r="AM1263" s="97"/>
      <c r="AN1263" s="97"/>
      <c r="AO1263" s="97"/>
      <c r="AP1263" s="97"/>
      <c r="AQ1263" s="97"/>
    </row>
    <row r="1264" spans="2:43" s="101" customFormat="1" ht="15" customHeight="1">
      <c r="B1264" s="104"/>
      <c r="C1264" s="104"/>
      <c r="D1264" s="104"/>
      <c r="E1264" s="104"/>
      <c r="F1264" s="104"/>
      <c r="G1264" s="104"/>
      <c r="H1264" s="104"/>
      <c r="I1264" s="104"/>
      <c r="J1264" s="104"/>
      <c r="K1264" s="104"/>
      <c r="L1264" s="104"/>
      <c r="R1264" s="105"/>
      <c r="S1264" s="105"/>
      <c r="T1264" s="105"/>
      <c r="U1264" s="105"/>
      <c r="V1264" s="105"/>
      <c r="W1264" s="105"/>
      <c r="AD1264" s="106"/>
      <c r="AE1264" s="97"/>
      <c r="AF1264" s="97"/>
      <c r="AG1264" s="97"/>
      <c r="AH1264" s="97"/>
      <c r="AI1264" s="97"/>
      <c r="AJ1264" s="97"/>
      <c r="AK1264" s="97"/>
      <c r="AL1264" s="97"/>
      <c r="AM1264" s="97"/>
      <c r="AN1264" s="97"/>
      <c r="AO1264" s="97"/>
      <c r="AP1264" s="97"/>
      <c r="AQ1264" s="97"/>
    </row>
    <row r="1265" spans="2:43" s="101" customFormat="1" ht="15" customHeight="1">
      <c r="B1265" s="104"/>
      <c r="C1265" s="104"/>
      <c r="D1265" s="104"/>
      <c r="E1265" s="104"/>
      <c r="F1265" s="104"/>
      <c r="G1265" s="104"/>
      <c r="H1265" s="104"/>
      <c r="I1265" s="104"/>
      <c r="J1265" s="104"/>
      <c r="K1265" s="104"/>
      <c r="L1265" s="104"/>
      <c r="R1265" s="105"/>
      <c r="S1265" s="105"/>
      <c r="T1265" s="105"/>
      <c r="U1265" s="105"/>
      <c r="V1265" s="105"/>
      <c r="W1265" s="105"/>
      <c r="AD1265" s="106"/>
      <c r="AE1265" s="97"/>
      <c r="AF1265" s="97"/>
      <c r="AG1265" s="97"/>
      <c r="AH1265" s="97"/>
      <c r="AI1265" s="97"/>
      <c r="AJ1265" s="97"/>
      <c r="AK1265" s="97"/>
      <c r="AL1265" s="97"/>
      <c r="AM1265" s="97"/>
      <c r="AN1265" s="97"/>
      <c r="AO1265" s="97"/>
      <c r="AP1265" s="97"/>
      <c r="AQ1265" s="97"/>
    </row>
    <row r="1266" spans="2:43" s="101" customFormat="1" ht="15" customHeight="1">
      <c r="B1266" s="104"/>
      <c r="C1266" s="104"/>
      <c r="D1266" s="104"/>
      <c r="E1266" s="104"/>
      <c r="F1266" s="104"/>
      <c r="G1266" s="104"/>
      <c r="H1266" s="104"/>
      <c r="I1266" s="104"/>
      <c r="J1266" s="104"/>
      <c r="K1266" s="104"/>
      <c r="L1266" s="104"/>
      <c r="R1266" s="105"/>
      <c r="S1266" s="105"/>
      <c r="T1266" s="105"/>
      <c r="U1266" s="105"/>
      <c r="V1266" s="105"/>
      <c r="W1266" s="105"/>
      <c r="AD1266" s="106"/>
      <c r="AE1266" s="97"/>
      <c r="AF1266" s="97"/>
      <c r="AG1266" s="97"/>
      <c r="AH1266" s="97"/>
      <c r="AI1266" s="97"/>
      <c r="AJ1266" s="97"/>
      <c r="AK1266" s="97"/>
      <c r="AL1266" s="97"/>
      <c r="AM1266" s="97"/>
      <c r="AN1266" s="97"/>
      <c r="AO1266" s="97"/>
      <c r="AP1266" s="97"/>
      <c r="AQ1266" s="97"/>
    </row>
    <row r="1267" spans="2:43" s="101" customFormat="1" ht="15" customHeight="1">
      <c r="B1267" s="104"/>
      <c r="C1267" s="104"/>
      <c r="D1267" s="104"/>
      <c r="E1267" s="104"/>
      <c r="F1267" s="104"/>
      <c r="G1267" s="104"/>
      <c r="H1267" s="104"/>
      <c r="I1267" s="104"/>
      <c r="J1267" s="104"/>
      <c r="K1267" s="104"/>
      <c r="L1267" s="104"/>
      <c r="R1267" s="105"/>
      <c r="S1267" s="105"/>
      <c r="T1267" s="105"/>
      <c r="U1267" s="105"/>
      <c r="V1267" s="105"/>
      <c r="W1267" s="105"/>
      <c r="AD1267" s="106"/>
      <c r="AE1267" s="97"/>
      <c r="AF1267" s="97"/>
      <c r="AG1267" s="97"/>
      <c r="AH1267" s="97"/>
      <c r="AI1267" s="97"/>
      <c r="AJ1267" s="97"/>
      <c r="AK1267" s="97"/>
      <c r="AL1267" s="97"/>
      <c r="AM1267" s="97"/>
      <c r="AN1267" s="97"/>
      <c r="AO1267" s="97"/>
      <c r="AP1267" s="97"/>
      <c r="AQ1267" s="97"/>
    </row>
    <row r="1268" spans="2:43" s="101" customFormat="1" ht="15" customHeight="1">
      <c r="B1268" s="104"/>
      <c r="C1268" s="104"/>
      <c r="D1268" s="104"/>
      <c r="E1268" s="104"/>
      <c r="F1268" s="104"/>
      <c r="G1268" s="104"/>
      <c r="H1268" s="104"/>
      <c r="I1268" s="104"/>
      <c r="J1268" s="104"/>
      <c r="K1268" s="104"/>
      <c r="L1268" s="104"/>
      <c r="R1268" s="105"/>
      <c r="S1268" s="105"/>
      <c r="T1268" s="105"/>
      <c r="U1268" s="105"/>
      <c r="V1268" s="105"/>
      <c r="W1268" s="105"/>
      <c r="AD1268" s="106"/>
      <c r="AE1268" s="97"/>
      <c r="AF1268" s="97"/>
      <c r="AG1268" s="97"/>
      <c r="AH1268" s="97"/>
      <c r="AI1268" s="97"/>
      <c r="AJ1268" s="97"/>
      <c r="AK1268" s="97"/>
      <c r="AL1268" s="97"/>
      <c r="AM1268" s="97"/>
      <c r="AN1268" s="97"/>
      <c r="AO1268" s="97"/>
      <c r="AP1268" s="97"/>
      <c r="AQ1268" s="97"/>
    </row>
    <row r="1269" spans="2:43" s="101" customFormat="1" ht="15" customHeight="1">
      <c r="B1269" s="104"/>
      <c r="C1269" s="104"/>
      <c r="D1269" s="104"/>
      <c r="E1269" s="104"/>
      <c r="F1269" s="104"/>
      <c r="G1269" s="104"/>
      <c r="H1269" s="104"/>
      <c r="I1269" s="104"/>
      <c r="J1269" s="104"/>
      <c r="K1269" s="104"/>
      <c r="L1269" s="104"/>
      <c r="R1269" s="105"/>
      <c r="S1269" s="105"/>
      <c r="T1269" s="105"/>
      <c r="U1269" s="105"/>
      <c r="V1269" s="105"/>
      <c r="W1269" s="105"/>
      <c r="AD1269" s="106"/>
      <c r="AE1269" s="97"/>
      <c r="AF1269" s="97"/>
      <c r="AG1269" s="97"/>
      <c r="AH1269" s="97"/>
      <c r="AI1269" s="97"/>
      <c r="AJ1269" s="97"/>
      <c r="AK1269" s="97"/>
      <c r="AL1269" s="97"/>
      <c r="AM1269" s="97"/>
      <c r="AN1269" s="97"/>
      <c r="AO1269" s="97"/>
      <c r="AP1269" s="97"/>
      <c r="AQ1269" s="97"/>
    </row>
    <row r="1270" spans="2:43" s="101" customFormat="1" ht="15" customHeight="1">
      <c r="B1270" s="104"/>
      <c r="C1270" s="104"/>
      <c r="D1270" s="104"/>
      <c r="E1270" s="104"/>
      <c r="F1270" s="104"/>
      <c r="G1270" s="104"/>
      <c r="H1270" s="104"/>
      <c r="I1270" s="104"/>
      <c r="J1270" s="104"/>
      <c r="K1270" s="104"/>
      <c r="L1270" s="104"/>
      <c r="R1270" s="105"/>
      <c r="S1270" s="105"/>
      <c r="T1270" s="105"/>
      <c r="U1270" s="105"/>
      <c r="V1270" s="105"/>
      <c r="W1270" s="105"/>
      <c r="AD1270" s="106"/>
      <c r="AE1270" s="97"/>
      <c r="AF1270" s="97"/>
      <c r="AG1270" s="97"/>
      <c r="AH1270" s="97"/>
      <c r="AI1270" s="97"/>
      <c r="AJ1270" s="97"/>
      <c r="AK1270" s="97"/>
      <c r="AL1270" s="97"/>
      <c r="AM1270" s="97"/>
      <c r="AN1270" s="97"/>
      <c r="AO1270" s="97"/>
      <c r="AP1270" s="97"/>
      <c r="AQ1270" s="97"/>
    </row>
    <row r="1271" spans="2:43" s="101" customFormat="1" ht="15" customHeight="1">
      <c r="B1271" s="104"/>
      <c r="C1271" s="104"/>
      <c r="D1271" s="104"/>
      <c r="E1271" s="104"/>
      <c r="F1271" s="104"/>
      <c r="G1271" s="104"/>
      <c r="H1271" s="104"/>
      <c r="I1271" s="104"/>
      <c r="J1271" s="104"/>
      <c r="K1271" s="104"/>
      <c r="L1271" s="104"/>
      <c r="R1271" s="105"/>
      <c r="S1271" s="105"/>
      <c r="T1271" s="105"/>
      <c r="U1271" s="105"/>
      <c r="V1271" s="105"/>
      <c r="W1271" s="105"/>
      <c r="AD1271" s="106"/>
      <c r="AE1271" s="97"/>
      <c r="AF1271" s="97"/>
      <c r="AG1271" s="97"/>
      <c r="AH1271" s="97"/>
      <c r="AI1271" s="97"/>
      <c r="AJ1271" s="97"/>
      <c r="AK1271" s="97"/>
      <c r="AL1271" s="97"/>
      <c r="AM1271" s="97"/>
      <c r="AN1271" s="97"/>
      <c r="AO1271" s="97"/>
      <c r="AP1271" s="97"/>
      <c r="AQ1271" s="97"/>
    </row>
    <row r="1272" spans="2:43" s="101" customFormat="1" ht="15" customHeight="1">
      <c r="B1272" s="104"/>
      <c r="C1272" s="104"/>
      <c r="D1272" s="104"/>
      <c r="E1272" s="104"/>
      <c r="F1272" s="104"/>
      <c r="G1272" s="104"/>
      <c r="H1272" s="104"/>
      <c r="I1272" s="104"/>
      <c r="J1272" s="104"/>
      <c r="K1272" s="104"/>
      <c r="L1272" s="104"/>
      <c r="R1272" s="105"/>
      <c r="S1272" s="105"/>
      <c r="T1272" s="105"/>
      <c r="U1272" s="105"/>
      <c r="V1272" s="105"/>
      <c r="W1272" s="105"/>
      <c r="AD1272" s="106"/>
      <c r="AE1272" s="97"/>
      <c r="AF1272" s="97"/>
      <c r="AG1272" s="97"/>
      <c r="AH1272" s="97"/>
      <c r="AI1272" s="97"/>
      <c r="AJ1272" s="97"/>
      <c r="AK1272" s="97"/>
      <c r="AL1272" s="97"/>
      <c r="AM1272" s="97"/>
      <c r="AN1272" s="97"/>
      <c r="AO1272" s="97"/>
      <c r="AP1272" s="97"/>
      <c r="AQ1272" s="97"/>
    </row>
    <row r="1273" spans="2:43" s="101" customFormat="1" ht="15" customHeight="1">
      <c r="B1273" s="104"/>
      <c r="C1273" s="104"/>
      <c r="D1273" s="104"/>
      <c r="E1273" s="104"/>
      <c r="F1273" s="104"/>
      <c r="G1273" s="104"/>
      <c r="H1273" s="104"/>
      <c r="I1273" s="104"/>
      <c r="J1273" s="104"/>
      <c r="K1273" s="104"/>
      <c r="L1273" s="104"/>
      <c r="R1273" s="105"/>
      <c r="S1273" s="105"/>
      <c r="T1273" s="105"/>
      <c r="U1273" s="105"/>
      <c r="V1273" s="105"/>
      <c r="W1273" s="105"/>
      <c r="AD1273" s="106"/>
      <c r="AE1273" s="97"/>
      <c r="AF1273" s="97"/>
      <c r="AG1273" s="97"/>
      <c r="AH1273" s="97"/>
      <c r="AI1273" s="97"/>
      <c r="AJ1273" s="97"/>
      <c r="AK1273" s="97"/>
      <c r="AL1273" s="97"/>
      <c r="AM1273" s="97"/>
      <c r="AN1273" s="97"/>
      <c r="AO1273" s="97"/>
      <c r="AP1273" s="97"/>
      <c r="AQ1273" s="97"/>
    </row>
    <row r="1274" spans="2:43" s="101" customFormat="1" ht="15" customHeight="1">
      <c r="B1274" s="104"/>
      <c r="C1274" s="104"/>
      <c r="D1274" s="104"/>
      <c r="E1274" s="104"/>
      <c r="F1274" s="104"/>
      <c r="G1274" s="104"/>
      <c r="H1274" s="104"/>
      <c r="I1274" s="104"/>
      <c r="J1274" s="104"/>
      <c r="K1274" s="104"/>
      <c r="L1274" s="104"/>
      <c r="R1274" s="105"/>
      <c r="S1274" s="105"/>
      <c r="T1274" s="105"/>
      <c r="U1274" s="105"/>
      <c r="V1274" s="105"/>
      <c r="W1274" s="105"/>
      <c r="AD1274" s="106"/>
      <c r="AE1274" s="97"/>
      <c r="AF1274" s="97"/>
      <c r="AG1274" s="97"/>
      <c r="AH1274" s="97"/>
      <c r="AI1274" s="97"/>
      <c r="AJ1274" s="97"/>
      <c r="AK1274" s="97"/>
      <c r="AL1274" s="97"/>
      <c r="AM1274" s="97"/>
      <c r="AN1274" s="97"/>
      <c r="AO1274" s="97"/>
      <c r="AP1274" s="97"/>
      <c r="AQ1274" s="97"/>
    </row>
    <row r="1275" spans="2:43" s="101" customFormat="1" ht="15" customHeight="1">
      <c r="B1275" s="104"/>
      <c r="C1275" s="104"/>
      <c r="D1275" s="104"/>
      <c r="E1275" s="104"/>
      <c r="F1275" s="104"/>
      <c r="G1275" s="104"/>
      <c r="H1275" s="104"/>
      <c r="I1275" s="104"/>
      <c r="J1275" s="104"/>
      <c r="K1275" s="104"/>
      <c r="L1275" s="104"/>
      <c r="R1275" s="105"/>
      <c r="S1275" s="105"/>
      <c r="T1275" s="105"/>
      <c r="U1275" s="105"/>
      <c r="V1275" s="105"/>
      <c r="W1275" s="105"/>
      <c r="AD1275" s="106"/>
      <c r="AE1275" s="97"/>
      <c r="AF1275" s="97"/>
      <c r="AG1275" s="97"/>
      <c r="AH1275" s="97"/>
      <c r="AI1275" s="97"/>
      <c r="AJ1275" s="97"/>
      <c r="AK1275" s="97"/>
      <c r="AL1275" s="97"/>
      <c r="AM1275" s="97"/>
      <c r="AN1275" s="97"/>
      <c r="AO1275" s="97"/>
      <c r="AP1275" s="97"/>
      <c r="AQ1275" s="97"/>
    </row>
    <row r="1276" spans="2:43" s="101" customFormat="1" ht="15" customHeight="1">
      <c r="B1276" s="104"/>
      <c r="C1276" s="104"/>
      <c r="D1276" s="104"/>
      <c r="E1276" s="104"/>
      <c r="F1276" s="104"/>
      <c r="G1276" s="104"/>
      <c r="H1276" s="104"/>
      <c r="I1276" s="104"/>
      <c r="J1276" s="104"/>
      <c r="K1276" s="104"/>
      <c r="L1276" s="104"/>
      <c r="R1276" s="105"/>
      <c r="S1276" s="105"/>
      <c r="T1276" s="105"/>
      <c r="U1276" s="105"/>
      <c r="V1276" s="105"/>
      <c r="W1276" s="105"/>
      <c r="AD1276" s="106"/>
      <c r="AE1276" s="97"/>
      <c r="AF1276" s="97"/>
      <c r="AG1276" s="97"/>
      <c r="AH1276" s="97"/>
      <c r="AI1276" s="97"/>
      <c r="AJ1276" s="97"/>
      <c r="AK1276" s="97"/>
      <c r="AL1276" s="97"/>
      <c r="AM1276" s="97"/>
      <c r="AN1276" s="97"/>
      <c r="AO1276" s="97"/>
      <c r="AP1276" s="97"/>
      <c r="AQ1276" s="97"/>
    </row>
    <row r="1277" spans="2:43" s="101" customFormat="1" ht="15" customHeight="1">
      <c r="B1277" s="104"/>
      <c r="C1277" s="104"/>
      <c r="D1277" s="104"/>
      <c r="E1277" s="104"/>
      <c r="F1277" s="104"/>
      <c r="G1277" s="104"/>
      <c r="H1277" s="104"/>
      <c r="I1277" s="104"/>
      <c r="J1277" s="104"/>
      <c r="K1277" s="104"/>
      <c r="L1277" s="104"/>
      <c r="R1277" s="105"/>
      <c r="S1277" s="105"/>
      <c r="T1277" s="105"/>
      <c r="U1277" s="105"/>
      <c r="V1277" s="105"/>
      <c r="W1277" s="105"/>
      <c r="AD1277" s="106"/>
      <c r="AE1277" s="97"/>
      <c r="AF1277" s="97"/>
      <c r="AG1277" s="97"/>
      <c r="AH1277" s="97"/>
      <c r="AI1277" s="97"/>
      <c r="AJ1277" s="97"/>
      <c r="AK1277" s="97"/>
      <c r="AL1277" s="97"/>
      <c r="AM1277" s="97"/>
      <c r="AN1277" s="97"/>
      <c r="AO1277" s="97"/>
      <c r="AP1277" s="97"/>
      <c r="AQ1277" s="97"/>
    </row>
    <row r="1278" spans="2:43" s="101" customFormat="1" ht="15" customHeight="1">
      <c r="B1278" s="104"/>
      <c r="C1278" s="104"/>
      <c r="D1278" s="104"/>
      <c r="E1278" s="104"/>
      <c r="F1278" s="104"/>
      <c r="G1278" s="104"/>
      <c r="H1278" s="104"/>
      <c r="I1278" s="104"/>
      <c r="J1278" s="104"/>
      <c r="K1278" s="104"/>
      <c r="L1278" s="104"/>
      <c r="R1278" s="105"/>
      <c r="S1278" s="105"/>
      <c r="T1278" s="105"/>
      <c r="U1278" s="105"/>
      <c r="V1278" s="105"/>
      <c r="W1278" s="105"/>
      <c r="AD1278" s="106"/>
      <c r="AE1278" s="97"/>
      <c r="AF1278" s="97"/>
      <c r="AG1278" s="97"/>
      <c r="AH1278" s="97"/>
      <c r="AI1278" s="97"/>
      <c r="AJ1278" s="97"/>
      <c r="AK1278" s="97"/>
      <c r="AL1278" s="97"/>
      <c r="AM1278" s="97"/>
      <c r="AN1278" s="97"/>
      <c r="AO1278" s="97"/>
      <c r="AP1278" s="97"/>
      <c r="AQ1278" s="97"/>
    </row>
    <row r="1279" spans="2:43" s="101" customFormat="1" ht="15" customHeight="1">
      <c r="B1279" s="104"/>
      <c r="C1279" s="104"/>
      <c r="D1279" s="104"/>
      <c r="E1279" s="104"/>
      <c r="F1279" s="104"/>
      <c r="G1279" s="104"/>
      <c r="H1279" s="104"/>
      <c r="I1279" s="104"/>
      <c r="J1279" s="104"/>
      <c r="K1279" s="104"/>
      <c r="L1279" s="104"/>
      <c r="R1279" s="105"/>
      <c r="S1279" s="105"/>
      <c r="T1279" s="105"/>
      <c r="U1279" s="105"/>
      <c r="V1279" s="105"/>
      <c r="W1279" s="105"/>
      <c r="AD1279" s="106"/>
      <c r="AE1279" s="97"/>
      <c r="AF1279" s="97"/>
      <c r="AG1279" s="97"/>
      <c r="AH1279" s="97"/>
      <c r="AI1279" s="97"/>
      <c r="AJ1279" s="97"/>
      <c r="AK1279" s="97"/>
      <c r="AL1279" s="97"/>
      <c r="AM1279" s="97"/>
      <c r="AN1279" s="97"/>
      <c r="AO1279" s="97"/>
      <c r="AP1279" s="97"/>
      <c r="AQ1279" s="97"/>
    </row>
    <row r="1280" spans="2:43" s="101" customFormat="1" ht="15" customHeight="1">
      <c r="B1280" s="104"/>
      <c r="C1280" s="104"/>
      <c r="D1280" s="104"/>
      <c r="E1280" s="104"/>
      <c r="F1280" s="104"/>
      <c r="G1280" s="104"/>
      <c r="H1280" s="104"/>
      <c r="I1280" s="104"/>
      <c r="J1280" s="104"/>
      <c r="K1280" s="104"/>
      <c r="L1280" s="104"/>
      <c r="R1280" s="105"/>
      <c r="S1280" s="105"/>
      <c r="T1280" s="105"/>
      <c r="U1280" s="105"/>
      <c r="V1280" s="105"/>
      <c r="W1280" s="105"/>
      <c r="AD1280" s="106"/>
      <c r="AE1280" s="97"/>
      <c r="AF1280" s="97"/>
      <c r="AG1280" s="97"/>
      <c r="AH1280" s="97"/>
      <c r="AI1280" s="97"/>
      <c r="AJ1280" s="97"/>
      <c r="AK1280" s="97"/>
      <c r="AL1280" s="97"/>
      <c r="AM1280" s="97"/>
      <c r="AN1280" s="97"/>
      <c r="AO1280" s="97"/>
      <c r="AP1280" s="97"/>
      <c r="AQ1280" s="97"/>
    </row>
    <row r="1281" spans="2:43" s="101" customFormat="1" ht="15" customHeight="1">
      <c r="B1281" s="104"/>
      <c r="C1281" s="104"/>
      <c r="D1281" s="104"/>
      <c r="E1281" s="104"/>
      <c r="F1281" s="104"/>
      <c r="G1281" s="104"/>
      <c r="H1281" s="104"/>
      <c r="I1281" s="104"/>
      <c r="J1281" s="104"/>
      <c r="K1281" s="104"/>
      <c r="L1281" s="104"/>
      <c r="R1281" s="105"/>
      <c r="S1281" s="105"/>
      <c r="T1281" s="105"/>
      <c r="U1281" s="105"/>
      <c r="V1281" s="105"/>
      <c r="W1281" s="105"/>
      <c r="AD1281" s="106"/>
      <c r="AE1281" s="97"/>
      <c r="AF1281" s="97"/>
      <c r="AG1281" s="97"/>
      <c r="AH1281" s="97"/>
      <c r="AI1281" s="97"/>
      <c r="AJ1281" s="97"/>
      <c r="AK1281" s="97"/>
      <c r="AL1281" s="97"/>
      <c r="AM1281" s="97"/>
      <c r="AN1281" s="97"/>
      <c r="AO1281" s="97"/>
      <c r="AP1281" s="97"/>
      <c r="AQ1281" s="97"/>
    </row>
    <row r="1282" spans="2:43" s="101" customFormat="1" ht="15" customHeight="1">
      <c r="B1282" s="104"/>
      <c r="C1282" s="104"/>
      <c r="D1282" s="104"/>
      <c r="E1282" s="104"/>
      <c r="F1282" s="104"/>
      <c r="G1282" s="104"/>
      <c r="H1282" s="104"/>
      <c r="I1282" s="104"/>
      <c r="J1282" s="104"/>
      <c r="K1282" s="104"/>
      <c r="L1282" s="104"/>
      <c r="R1282" s="105"/>
      <c r="S1282" s="105"/>
      <c r="T1282" s="105"/>
      <c r="U1282" s="105"/>
      <c r="V1282" s="105"/>
      <c r="W1282" s="105"/>
      <c r="AD1282" s="106"/>
      <c r="AE1282" s="97"/>
      <c r="AF1282" s="97"/>
      <c r="AG1282" s="97"/>
      <c r="AH1282" s="97"/>
      <c r="AI1282" s="97"/>
      <c r="AJ1282" s="97"/>
      <c r="AK1282" s="97"/>
      <c r="AL1282" s="97"/>
      <c r="AM1282" s="97"/>
      <c r="AN1282" s="97"/>
      <c r="AO1282" s="97"/>
      <c r="AP1282" s="97"/>
      <c r="AQ1282" s="97"/>
    </row>
    <row r="1283" spans="2:43" s="101" customFormat="1" ht="15" customHeight="1">
      <c r="B1283" s="104"/>
      <c r="C1283" s="104"/>
      <c r="D1283" s="104"/>
      <c r="E1283" s="104"/>
      <c r="F1283" s="104"/>
      <c r="G1283" s="104"/>
      <c r="H1283" s="104"/>
      <c r="I1283" s="104"/>
      <c r="J1283" s="104"/>
      <c r="K1283" s="104"/>
      <c r="L1283" s="104"/>
      <c r="R1283" s="105"/>
      <c r="S1283" s="105"/>
      <c r="T1283" s="105"/>
      <c r="U1283" s="105"/>
      <c r="V1283" s="105"/>
      <c r="W1283" s="105"/>
      <c r="AD1283" s="106"/>
      <c r="AE1283" s="97"/>
      <c r="AF1283" s="97"/>
      <c r="AG1283" s="97"/>
      <c r="AH1283" s="97"/>
      <c r="AI1283" s="97"/>
      <c r="AJ1283" s="97"/>
      <c r="AK1283" s="97"/>
      <c r="AL1283" s="97"/>
      <c r="AM1283" s="97"/>
      <c r="AN1283" s="97"/>
      <c r="AO1283" s="97"/>
      <c r="AP1283" s="97"/>
      <c r="AQ1283" s="97"/>
    </row>
    <row r="1284" spans="2:43" s="101" customFormat="1" ht="15" customHeight="1">
      <c r="B1284" s="104"/>
      <c r="C1284" s="104"/>
      <c r="D1284" s="104"/>
      <c r="E1284" s="104"/>
      <c r="F1284" s="104"/>
      <c r="G1284" s="104"/>
      <c r="H1284" s="104"/>
      <c r="I1284" s="104"/>
      <c r="J1284" s="104"/>
      <c r="K1284" s="104"/>
      <c r="L1284" s="104"/>
      <c r="R1284" s="105"/>
      <c r="S1284" s="105"/>
      <c r="T1284" s="105"/>
      <c r="U1284" s="105"/>
      <c r="V1284" s="105"/>
      <c r="W1284" s="105"/>
      <c r="AD1284" s="106"/>
      <c r="AE1284" s="97"/>
      <c r="AF1284" s="97"/>
      <c r="AG1284" s="97"/>
      <c r="AH1284" s="97"/>
      <c r="AI1284" s="97"/>
      <c r="AJ1284" s="97"/>
      <c r="AK1284" s="97"/>
      <c r="AL1284" s="97"/>
      <c r="AM1284" s="97"/>
      <c r="AN1284" s="97"/>
      <c r="AO1284" s="97"/>
      <c r="AP1284" s="97"/>
      <c r="AQ1284" s="97"/>
    </row>
    <row r="1285" spans="2:43" s="101" customFormat="1" ht="15" customHeight="1">
      <c r="B1285" s="104"/>
      <c r="C1285" s="104"/>
      <c r="D1285" s="104"/>
      <c r="E1285" s="104"/>
      <c r="F1285" s="104"/>
      <c r="G1285" s="104"/>
      <c r="H1285" s="104"/>
      <c r="I1285" s="104"/>
      <c r="J1285" s="104"/>
      <c r="K1285" s="104"/>
      <c r="L1285" s="104"/>
      <c r="R1285" s="105"/>
      <c r="S1285" s="105"/>
      <c r="T1285" s="105"/>
      <c r="U1285" s="105"/>
      <c r="V1285" s="105"/>
      <c r="W1285" s="105"/>
      <c r="AD1285" s="106"/>
      <c r="AE1285" s="97"/>
      <c r="AF1285" s="97"/>
      <c r="AG1285" s="97"/>
      <c r="AH1285" s="97"/>
      <c r="AI1285" s="97"/>
      <c r="AJ1285" s="97"/>
      <c r="AK1285" s="97"/>
      <c r="AL1285" s="97"/>
      <c r="AM1285" s="97"/>
      <c r="AN1285" s="97"/>
      <c r="AO1285" s="97"/>
      <c r="AP1285" s="97"/>
      <c r="AQ1285" s="97"/>
    </row>
    <row r="1286" spans="2:43" s="101" customFormat="1" ht="15" customHeight="1">
      <c r="B1286" s="104"/>
      <c r="C1286" s="104"/>
      <c r="D1286" s="104"/>
      <c r="E1286" s="104"/>
      <c r="F1286" s="104"/>
      <c r="G1286" s="104"/>
      <c r="H1286" s="104"/>
      <c r="I1286" s="104"/>
      <c r="J1286" s="104"/>
      <c r="K1286" s="104"/>
      <c r="L1286" s="104"/>
      <c r="R1286" s="105"/>
      <c r="S1286" s="105"/>
      <c r="T1286" s="105"/>
      <c r="U1286" s="105"/>
      <c r="V1286" s="105"/>
      <c r="W1286" s="105"/>
      <c r="AD1286" s="106"/>
      <c r="AE1286" s="97"/>
      <c r="AF1286" s="97"/>
      <c r="AG1286" s="97"/>
      <c r="AH1286" s="97"/>
      <c r="AI1286" s="97"/>
      <c r="AJ1286" s="97"/>
      <c r="AK1286" s="97"/>
      <c r="AL1286" s="97"/>
      <c r="AM1286" s="97"/>
      <c r="AN1286" s="97"/>
      <c r="AO1286" s="97"/>
      <c r="AP1286" s="97"/>
      <c r="AQ1286" s="97"/>
    </row>
    <row r="1287" spans="2:43" s="101" customFormat="1" ht="15" customHeight="1">
      <c r="B1287" s="104"/>
      <c r="C1287" s="104"/>
      <c r="D1287" s="104"/>
      <c r="E1287" s="104"/>
      <c r="F1287" s="104"/>
      <c r="G1287" s="104"/>
      <c r="H1287" s="104"/>
      <c r="I1287" s="104"/>
      <c r="J1287" s="104"/>
      <c r="K1287" s="104"/>
      <c r="L1287" s="104"/>
      <c r="R1287" s="105"/>
      <c r="S1287" s="105"/>
      <c r="T1287" s="105"/>
      <c r="U1287" s="105"/>
      <c r="V1287" s="105"/>
      <c r="W1287" s="105"/>
      <c r="AD1287" s="106"/>
      <c r="AE1287" s="97"/>
      <c r="AF1287" s="97"/>
      <c r="AG1287" s="97"/>
      <c r="AH1287" s="97"/>
      <c r="AI1287" s="97"/>
      <c r="AJ1287" s="97"/>
      <c r="AK1287" s="97"/>
      <c r="AL1287" s="97"/>
      <c r="AM1287" s="97"/>
      <c r="AN1287" s="97"/>
      <c r="AO1287" s="97"/>
      <c r="AP1287" s="97"/>
      <c r="AQ1287" s="97"/>
    </row>
    <row r="1288" spans="2:43" s="101" customFormat="1" ht="15" customHeight="1">
      <c r="B1288" s="104"/>
      <c r="C1288" s="104"/>
      <c r="D1288" s="104"/>
      <c r="E1288" s="104"/>
      <c r="F1288" s="104"/>
      <c r="G1288" s="104"/>
      <c r="H1288" s="104"/>
      <c r="I1288" s="104"/>
      <c r="J1288" s="104"/>
      <c r="K1288" s="104"/>
      <c r="L1288" s="104"/>
      <c r="R1288" s="105"/>
      <c r="S1288" s="105"/>
      <c r="T1288" s="105"/>
      <c r="U1288" s="105"/>
      <c r="V1288" s="105"/>
      <c r="W1288" s="105"/>
      <c r="AD1288" s="106"/>
      <c r="AE1288" s="97"/>
      <c r="AF1288" s="97"/>
      <c r="AG1288" s="97"/>
      <c r="AH1288" s="97"/>
      <c r="AI1288" s="97"/>
      <c r="AJ1288" s="97"/>
      <c r="AK1288" s="97"/>
      <c r="AL1288" s="97"/>
      <c r="AM1288" s="97"/>
      <c r="AN1288" s="97"/>
      <c r="AO1288" s="97"/>
      <c r="AP1288" s="97"/>
      <c r="AQ1288" s="97"/>
    </row>
    <row r="1289" spans="2:43" s="101" customFormat="1" ht="15" customHeight="1">
      <c r="B1289" s="104"/>
      <c r="C1289" s="104"/>
      <c r="D1289" s="104"/>
      <c r="E1289" s="104"/>
      <c r="F1289" s="104"/>
      <c r="G1289" s="104"/>
      <c r="H1289" s="104"/>
      <c r="I1289" s="104"/>
      <c r="J1289" s="104"/>
      <c r="K1289" s="104"/>
      <c r="L1289" s="104"/>
      <c r="R1289" s="105"/>
      <c r="S1289" s="105"/>
      <c r="T1289" s="105"/>
      <c r="U1289" s="105"/>
      <c r="V1289" s="105"/>
      <c r="W1289" s="105"/>
      <c r="AD1289" s="106"/>
      <c r="AE1289" s="97"/>
      <c r="AF1289" s="97"/>
      <c r="AG1289" s="97"/>
      <c r="AH1289" s="97"/>
      <c r="AI1289" s="97"/>
      <c r="AJ1289" s="97"/>
      <c r="AK1289" s="97"/>
      <c r="AL1289" s="97"/>
      <c r="AM1289" s="97"/>
      <c r="AN1289" s="97"/>
      <c r="AO1289" s="97"/>
      <c r="AP1289" s="97"/>
      <c r="AQ1289" s="97"/>
    </row>
    <row r="1290" spans="2:43" s="101" customFormat="1" ht="15" customHeight="1">
      <c r="B1290" s="104"/>
      <c r="C1290" s="104"/>
      <c r="D1290" s="104"/>
      <c r="E1290" s="104"/>
      <c r="F1290" s="104"/>
      <c r="G1290" s="104"/>
      <c r="H1290" s="104"/>
      <c r="I1290" s="104"/>
      <c r="J1290" s="104"/>
      <c r="K1290" s="104"/>
      <c r="L1290" s="104"/>
      <c r="R1290" s="105"/>
      <c r="S1290" s="105"/>
      <c r="T1290" s="105"/>
      <c r="U1290" s="105"/>
      <c r="V1290" s="105"/>
      <c r="W1290" s="105"/>
      <c r="AD1290" s="106"/>
      <c r="AE1290" s="97"/>
      <c r="AF1290" s="97"/>
      <c r="AG1290" s="97"/>
      <c r="AH1290" s="97"/>
      <c r="AI1290" s="97"/>
      <c r="AJ1290" s="97"/>
      <c r="AK1290" s="97"/>
      <c r="AL1290" s="97"/>
      <c r="AM1290" s="97"/>
      <c r="AN1290" s="97"/>
      <c r="AO1290" s="97"/>
      <c r="AP1290" s="97"/>
      <c r="AQ1290" s="97"/>
    </row>
    <row r="1291" spans="2:43" s="101" customFormat="1" ht="15" customHeight="1">
      <c r="B1291" s="104"/>
      <c r="C1291" s="104"/>
      <c r="D1291" s="104"/>
      <c r="E1291" s="104"/>
      <c r="F1291" s="104"/>
      <c r="G1291" s="104"/>
      <c r="H1291" s="104"/>
      <c r="I1291" s="104"/>
      <c r="J1291" s="104"/>
      <c r="K1291" s="104"/>
      <c r="L1291" s="104"/>
      <c r="R1291" s="105"/>
      <c r="S1291" s="105"/>
      <c r="T1291" s="105"/>
      <c r="U1291" s="105"/>
      <c r="V1291" s="105"/>
      <c r="W1291" s="105"/>
      <c r="AD1291" s="106"/>
      <c r="AE1291" s="97"/>
      <c r="AF1291" s="97"/>
      <c r="AG1291" s="97"/>
      <c r="AH1291" s="97"/>
      <c r="AI1291" s="97"/>
      <c r="AJ1291" s="97"/>
      <c r="AK1291" s="97"/>
      <c r="AL1291" s="97"/>
      <c r="AM1291" s="97"/>
      <c r="AN1291" s="97"/>
      <c r="AO1291" s="97"/>
      <c r="AP1291" s="97"/>
      <c r="AQ1291" s="97"/>
    </row>
    <row r="1292" spans="2:43" s="101" customFormat="1" ht="15" customHeight="1">
      <c r="B1292" s="104"/>
      <c r="C1292" s="104"/>
      <c r="D1292" s="104"/>
      <c r="E1292" s="104"/>
      <c r="F1292" s="104"/>
      <c r="G1292" s="104"/>
      <c r="H1292" s="104"/>
      <c r="I1292" s="104"/>
      <c r="J1292" s="104"/>
      <c r="K1292" s="104"/>
      <c r="L1292" s="104"/>
      <c r="R1292" s="105"/>
      <c r="S1292" s="105"/>
      <c r="T1292" s="105"/>
      <c r="U1292" s="105"/>
      <c r="V1292" s="105"/>
      <c r="W1292" s="105"/>
      <c r="AD1292" s="106"/>
      <c r="AE1292" s="97"/>
      <c r="AF1292" s="97"/>
      <c r="AG1292" s="97"/>
      <c r="AH1292" s="97"/>
      <c r="AI1292" s="97"/>
      <c r="AJ1292" s="97"/>
      <c r="AK1292" s="97"/>
      <c r="AL1292" s="97"/>
      <c r="AM1292" s="97"/>
      <c r="AN1292" s="97"/>
      <c r="AO1292" s="97"/>
      <c r="AP1292" s="97"/>
      <c r="AQ1292" s="97"/>
    </row>
    <row r="1293" spans="2:43" s="101" customFormat="1" ht="15" customHeight="1">
      <c r="B1293" s="104"/>
      <c r="C1293" s="104"/>
      <c r="D1293" s="104"/>
      <c r="E1293" s="104"/>
      <c r="F1293" s="104"/>
      <c r="G1293" s="104"/>
      <c r="H1293" s="104"/>
      <c r="I1293" s="104"/>
      <c r="J1293" s="104"/>
      <c r="K1293" s="104"/>
      <c r="L1293" s="104"/>
      <c r="R1293" s="105"/>
      <c r="S1293" s="105"/>
      <c r="T1293" s="105"/>
      <c r="U1293" s="105"/>
      <c r="V1293" s="105"/>
      <c r="W1293" s="105"/>
      <c r="AD1293" s="106"/>
      <c r="AE1293" s="97"/>
      <c r="AF1293" s="97"/>
      <c r="AG1293" s="97"/>
      <c r="AH1293" s="97"/>
      <c r="AI1293" s="97"/>
      <c r="AJ1293" s="97"/>
      <c r="AK1293" s="97"/>
      <c r="AL1293" s="97"/>
      <c r="AM1293" s="97"/>
      <c r="AN1293" s="97"/>
      <c r="AO1293" s="97"/>
      <c r="AP1293" s="97"/>
      <c r="AQ1293" s="97"/>
    </row>
    <row r="1294" spans="2:43" s="101" customFormat="1" ht="15" customHeight="1">
      <c r="B1294" s="104"/>
      <c r="C1294" s="104"/>
      <c r="D1294" s="104"/>
      <c r="E1294" s="104"/>
      <c r="F1294" s="104"/>
      <c r="G1294" s="104"/>
      <c r="H1294" s="104"/>
      <c r="I1294" s="104"/>
      <c r="J1294" s="104"/>
      <c r="K1294" s="104"/>
      <c r="L1294" s="104"/>
      <c r="R1294" s="105"/>
      <c r="S1294" s="105"/>
      <c r="T1294" s="105"/>
      <c r="U1294" s="105"/>
      <c r="V1294" s="105"/>
      <c r="W1294" s="105"/>
      <c r="AD1294" s="106"/>
      <c r="AE1294" s="97"/>
      <c r="AF1294" s="97"/>
      <c r="AG1294" s="97"/>
      <c r="AH1294" s="97"/>
      <c r="AI1294" s="97"/>
      <c r="AJ1294" s="97"/>
      <c r="AK1294" s="97"/>
      <c r="AL1294" s="97"/>
      <c r="AM1294" s="97"/>
      <c r="AN1294" s="97"/>
      <c r="AO1294" s="97"/>
      <c r="AP1294" s="97"/>
      <c r="AQ1294" s="97"/>
    </row>
    <row r="1295" spans="2:43" s="101" customFormat="1" ht="15" customHeight="1">
      <c r="B1295" s="104"/>
      <c r="C1295" s="104"/>
      <c r="D1295" s="104"/>
      <c r="E1295" s="104"/>
      <c r="F1295" s="104"/>
      <c r="G1295" s="104"/>
      <c r="H1295" s="104"/>
      <c r="I1295" s="104"/>
      <c r="J1295" s="104"/>
      <c r="K1295" s="104"/>
      <c r="L1295" s="104"/>
      <c r="R1295" s="105"/>
      <c r="S1295" s="105"/>
      <c r="T1295" s="105"/>
      <c r="U1295" s="105"/>
      <c r="V1295" s="105"/>
      <c r="W1295" s="105"/>
      <c r="AD1295" s="106"/>
      <c r="AE1295" s="97"/>
      <c r="AF1295" s="97"/>
      <c r="AG1295" s="97"/>
      <c r="AH1295" s="97"/>
      <c r="AI1295" s="97"/>
      <c r="AJ1295" s="97"/>
      <c r="AK1295" s="97"/>
      <c r="AL1295" s="97"/>
      <c r="AM1295" s="97"/>
      <c r="AN1295" s="97"/>
      <c r="AO1295" s="97"/>
      <c r="AP1295" s="97"/>
      <c r="AQ1295" s="97"/>
    </row>
    <row r="1296" spans="2:43" s="101" customFormat="1" ht="15" customHeight="1">
      <c r="B1296" s="104"/>
      <c r="C1296" s="104"/>
      <c r="D1296" s="104"/>
      <c r="E1296" s="104"/>
      <c r="F1296" s="104"/>
      <c r="G1296" s="104"/>
      <c r="H1296" s="104"/>
      <c r="I1296" s="104"/>
      <c r="J1296" s="104"/>
      <c r="K1296" s="104"/>
      <c r="L1296" s="104"/>
      <c r="R1296" s="105"/>
      <c r="S1296" s="105"/>
      <c r="T1296" s="105"/>
      <c r="U1296" s="105"/>
      <c r="V1296" s="105"/>
      <c r="W1296" s="105"/>
      <c r="AD1296" s="106"/>
      <c r="AE1296" s="97"/>
      <c r="AF1296" s="97"/>
      <c r="AG1296" s="97"/>
      <c r="AH1296" s="97"/>
      <c r="AI1296" s="97"/>
      <c r="AJ1296" s="97"/>
      <c r="AK1296" s="97"/>
      <c r="AL1296" s="97"/>
      <c r="AM1296" s="97"/>
      <c r="AN1296" s="97"/>
      <c r="AO1296" s="97"/>
      <c r="AP1296" s="97"/>
      <c r="AQ1296" s="97"/>
    </row>
    <row r="1297" spans="2:43" s="101" customFormat="1" ht="15" customHeight="1">
      <c r="B1297" s="104"/>
      <c r="C1297" s="104"/>
      <c r="D1297" s="104"/>
      <c r="E1297" s="104"/>
      <c r="F1297" s="104"/>
      <c r="G1297" s="104"/>
      <c r="H1297" s="104"/>
      <c r="I1297" s="104"/>
      <c r="J1297" s="104"/>
      <c r="K1297" s="104"/>
      <c r="L1297" s="104"/>
      <c r="R1297" s="105"/>
      <c r="S1297" s="105"/>
      <c r="T1297" s="105"/>
      <c r="U1297" s="105"/>
      <c r="V1297" s="105"/>
      <c r="W1297" s="105"/>
      <c r="AD1297" s="106"/>
      <c r="AE1297" s="97"/>
      <c r="AF1297" s="97"/>
      <c r="AG1297" s="97"/>
      <c r="AH1297" s="97"/>
      <c r="AI1297" s="97"/>
      <c r="AJ1297" s="97"/>
      <c r="AK1297" s="97"/>
      <c r="AL1297" s="97"/>
      <c r="AM1297" s="97"/>
      <c r="AN1297" s="97"/>
      <c r="AO1297" s="97"/>
      <c r="AP1297" s="97"/>
      <c r="AQ1297" s="97"/>
    </row>
    <row r="1298" spans="2:43" s="101" customFormat="1" ht="15" customHeight="1">
      <c r="B1298" s="104"/>
      <c r="C1298" s="104"/>
      <c r="D1298" s="104"/>
      <c r="E1298" s="104"/>
      <c r="F1298" s="104"/>
      <c r="G1298" s="104"/>
      <c r="H1298" s="104"/>
      <c r="I1298" s="104"/>
      <c r="J1298" s="104"/>
      <c r="K1298" s="104"/>
      <c r="L1298" s="104"/>
      <c r="R1298" s="105"/>
      <c r="S1298" s="105"/>
      <c r="T1298" s="105"/>
      <c r="U1298" s="105"/>
      <c r="V1298" s="105"/>
      <c r="W1298" s="105"/>
      <c r="AD1298" s="106"/>
      <c r="AE1298" s="97"/>
      <c r="AF1298" s="97"/>
      <c r="AG1298" s="97"/>
      <c r="AH1298" s="97"/>
      <c r="AI1298" s="97"/>
      <c r="AJ1298" s="97"/>
      <c r="AK1298" s="97"/>
      <c r="AL1298" s="97"/>
      <c r="AM1298" s="97"/>
      <c r="AN1298" s="97"/>
      <c r="AO1298" s="97"/>
      <c r="AP1298" s="97"/>
      <c r="AQ1298" s="97"/>
    </row>
    <row r="1299" spans="2:43" s="101" customFormat="1" ht="15" customHeight="1">
      <c r="B1299" s="104"/>
      <c r="C1299" s="104"/>
      <c r="D1299" s="104"/>
      <c r="E1299" s="104"/>
      <c r="F1299" s="104"/>
      <c r="G1299" s="104"/>
      <c r="H1299" s="104"/>
      <c r="I1299" s="104"/>
      <c r="J1299" s="104"/>
      <c r="K1299" s="104"/>
      <c r="L1299" s="104"/>
      <c r="R1299" s="105"/>
      <c r="S1299" s="105"/>
      <c r="T1299" s="105"/>
      <c r="U1299" s="105"/>
      <c r="V1299" s="105"/>
      <c r="W1299" s="105"/>
      <c r="AD1299" s="106"/>
      <c r="AE1299" s="97"/>
      <c r="AF1299" s="97"/>
      <c r="AG1299" s="97"/>
      <c r="AH1299" s="97"/>
      <c r="AI1299" s="97"/>
      <c r="AJ1299" s="97"/>
      <c r="AK1299" s="97"/>
      <c r="AL1299" s="97"/>
      <c r="AM1299" s="97"/>
      <c r="AN1299" s="97"/>
      <c r="AO1299" s="97"/>
      <c r="AP1299" s="97"/>
      <c r="AQ1299" s="97"/>
    </row>
    <row r="1300" spans="2:43" s="101" customFormat="1" ht="15" customHeight="1">
      <c r="B1300" s="104"/>
      <c r="C1300" s="104"/>
      <c r="D1300" s="104"/>
      <c r="E1300" s="104"/>
      <c r="F1300" s="104"/>
      <c r="G1300" s="104"/>
      <c r="H1300" s="104"/>
      <c r="I1300" s="104"/>
      <c r="J1300" s="104"/>
      <c r="K1300" s="104"/>
      <c r="L1300" s="104"/>
      <c r="R1300" s="105"/>
      <c r="S1300" s="105"/>
      <c r="T1300" s="105"/>
      <c r="U1300" s="105"/>
      <c r="V1300" s="105"/>
      <c r="W1300" s="105"/>
      <c r="AD1300" s="106"/>
      <c r="AE1300" s="97"/>
      <c r="AF1300" s="97"/>
      <c r="AG1300" s="97"/>
      <c r="AH1300" s="97"/>
      <c r="AI1300" s="97"/>
      <c r="AJ1300" s="97"/>
      <c r="AK1300" s="97"/>
      <c r="AL1300" s="97"/>
      <c r="AM1300" s="97"/>
      <c r="AN1300" s="97"/>
      <c r="AO1300" s="97"/>
      <c r="AP1300" s="97"/>
      <c r="AQ1300" s="97"/>
    </row>
    <row r="1301" spans="2:43" s="101" customFormat="1" ht="15" customHeight="1">
      <c r="B1301" s="104"/>
      <c r="C1301" s="104"/>
      <c r="D1301" s="104"/>
      <c r="E1301" s="104"/>
      <c r="F1301" s="104"/>
      <c r="G1301" s="104"/>
      <c r="H1301" s="104"/>
      <c r="I1301" s="104"/>
      <c r="J1301" s="104"/>
      <c r="K1301" s="104"/>
      <c r="L1301" s="104"/>
      <c r="R1301" s="105"/>
      <c r="S1301" s="105"/>
      <c r="T1301" s="105"/>
      <c r="U1301" s="105"/>
      <c r="V1301" s="105"/>
      <c r="W1301" s="105"/>
      <c r="AD1301" s="106"/>
      <c r="AE1301" s="97"/>
      <c r="AF1301" s="97"/>
      <c r="AG1301" s="97"/>
      <c r="AH1301" s="97"/>
      <c r="AI1301" s="97"/>
      <c r="AJ1301" s="97"/>
      <c r="AK1301" s="97"/>
      <c r="AL1301" s="97"/>
      <c r="AM1301" s="97"/>
      <c r="AN1301" s="97"/>
      <c r="AO1301" s="97"/>
      <c r="AP1301" s="97"/>
      <c r="AQ1301" s="97"/>
    </row>
    <row r="1302" spans="2:43" s="101" customFormat="1" ht="15" customHeight="1">
      <c r="B1302" s="104"/>
      <c r="C1302" s="104"/>
      <c r="D1302" s="104"/>
      <c r="E1302" s="104"/>
      <c r="F1302" s="104"/>
      <c r="G1302" s="104"/>
      <c r="H1302" s="104"/>
      <c r="I1302" s="104"/>
      <c r="J1302" s="104"/>
      <c r="K1302" s="104"/>
      <c r="L1302" s="104"/>
      <c r="R1302" s="105"/>
      <c r="S1302" s="105"/>
      <c r="T1302" s="105"/>
      <c r="U1302" s="105"/>
      <c r="V1302" s="105"/>
      <c r="W1302" s="105"/>
      <c r="AD1302" s="106"/>
      <c r="AE1302" s="97"/>
      <c r="AF1302" s="97"/>
      <c r="AG1302" s="97"/>
      <c r="AH1302" s="97"/>
      <c r="AI1302" s="97"/>
      <c r="AJ1302" s="97"/>
      <c r="AK1302" s="97"/>
      <c r="AL1302" s="97"/>
      <c r="AM1302" s="97"/>
      <c r="AN1302" s="97"/>
      <c r="AO1302" s="97"/>
      <c r="AP1302" s="97"/>
      <c r="AQ1302" s="97"/>
    </row>
    <row r="1303" spans="2:43" s="101" customFormat="1" ht="15" customHeight="1">
      <c r="B1303" s="104"/>
      <c r="C1303" s="104"/>
      <c r="D1303" s="104"/>
      <c r="E1303" s="104"/>
      <c r="F1303" s="104"/>
      <c r="G1303" s="104"/>
      <c r="H1303" s="104"/>
      <c r="I1303" s="104"/>
      <c r="J1303" s="104"/>
      <c r="K1303" s="104"/>
      <c r="L1303" s="104"/>
      <c r="R1303" s="105"/>
      <c r="S1303" s="105"/>
      <c r="T1303" s="105"/>
      <c r="U1303" s="105"/>
      <c r="V1303" s="105"/>
      <c r="W1303" s="105"/>
      <c r="AD1303" s="106"/>
      <c r="AE1303" s="97"/>
      <c r="AF1303" s="97"/>
      <c r="AG1303" s="97"/>
      <c r="AH1303" s="97"/>
      <c r="AI1303" s="97"/>
      <c r="AJ1303" s="97"/>
      <c r="AK1303" s="97"/>
      <c r="AL1303" s="97"/>
      <c r="AM1303" s="97"/>
      <c r="AN1303" s="97"/>
      <c r="AO1303" s="97"/>
      <c r="AP1303" s="97"/>
      <c r="AQ1303" s="97"/>
    </row>
    <row r="1304" spans="2:43" s="101" customFormat="1" ht="15" customHeight="1">
      <c r="B1304" s="104"/>
      <c r="C1304" s="104"/>
      <c r="D1304" s="104"/>
      <c r="E1304" s="104"/>
      <c r="F1304" s="104"/>
      <c r="G1304" s="104"/>
      <c r="H1304" s="104"/>
      <c r="I1304" s="104"/>
      <c r="J1304" s="104"/>
      <c r="K1304" s="104"/>
      <c r="L1304" s="104"/>
      <c r="R1304" s="105"/>
      <c r="S1304" s="105"/>
      <c r="T1304" s="105"/>
      <c r="U1304" s="105"/>
      <c r="V1304" s="105"/>
      <c r="W1304" s="105"/>
      <c r="AD1304" s="106"/>
      <c r="AE1304" s="97"/>
      <c r="AF1304" s="97"/>
      <c r="AG1304" s="97"/>
      <c r="AH1304" s="97"/>
      <c r="AI1304" s="97"/>
      <c r="AJ1304" s="97"/>
      <c r="AK1304" s="97"/>
      <c r="AL1304" s="97"/>
      <c r="AM1304" s="97"/>
      <c r="AN1304" s="97"/>
      <c r="AO1304" s="97"/>
      <c r="AP1304" s="97"/>
      <c r="AQ1304" s="97"/>
    </row>
    <row r="1305" spans="2:43" s="101" customFormat="1" ht="15" customHeight="1">
      <c r="B1305" s="104"/>
      <c r="C1305" s="104"/>
      <c r="D1305" s="104"/>
      <c r="E1305" s="104"/>
      <c r="F1305" s="104"/>
      <c r="G1305" s="104"/>
      <c r="H1305" s="104"/>
      <c r="I1305" s="104"/>
      <c r="J1305" s="104"/>
      <c r="K1305" s="104"/>
      <c r="L1305" s="104"/>
      <c r="R1305" s="105"/>
      <c r="S1305" s="105"/>
      <c r="T1305" s="105"/>
      <c r="U1305" s="105"/>
      <c r="V1305" s="105"/>
      <c r="W1305" s="105"/>
      <c r="AD1305" s="106"/>
      <c r="AE1305" s="97"/>
      <c r="AF1305" s="97"/>
      <c r="AG1305" s="97"/>
      <c r="AH1305" s="97"/>
      <c r="AI1305" s="97"/>
      <c r="AJ1305" s="97"/>
      <c r="AK1305" s="97"/>
      <c r="AL1305" s="97"/>
      <c r="AM1305" s="97"/>
      <c r="AN1305" s="97"/>
      <c r="AO1305" s="97"/>
      <c r="AP1305" s="97"/>
      <c r="AQ1305" s="97"/>
    </row>
    <row r="1306" spans="2:43" s="101" customFormat="1" ht="15" customHeight="1">
      <c r="B1306" s="104"/>
      <c r="C1306" s="104"/>
      <c r="D1306" s="104"/>
      <c r="E1306" s="104"/>
      <c r="F1306" s="104"/>
      <c r="G1306" s="104"/>
      <c r="H1306" s="104"/>
      <c r="I1306" s="104"/>
      <c r="J1306" s="104"/>
      <c r="K1306" s="104"/>
      <c r="L1306" s="104"/>
      <c r="R1306" s="105"/>
      <c r="S1306" s="105"/>
      <c r="T1306" s="105"/>
      <c r="U1306" s="105"/>
      <c r="V1306" s="105"/>
      <c r="W1306" s="105"/>
      <c r="AD1306" s="106"/>
      <c r="AE1306" s="97"/>
      <c r="AF1306" s="97"/>
      <c r="AG1306" s="97"/>
      <c r="AH1306" s="97"/>
      <c r="AI1306" s="97"/>
      <c r="AJ1306" s="97"/>
      <c r="AK1306" s="97"/>
      <c r="AL1306" s="97"/>
      <c r="AM1306" s="97"/>
      <c r="AN1306" s="97"/>
      <c r="AO1306" s="97"/>
      <c r="AP1306" s="97"/>
      <c r="AQ1306" s="97"/>
    </row>
    <row r="1307" spans="2:43" s="101" customFormat="1" ht="15" customHeight="1">
      <c r="B1307" s="104"/>
      <c r="C1307" s="104"/>
      <c r="D1307" s="104"/>
      <c r="E1307" s="104"/>
      <c r="F1307" s="104"/>
      <c r="G1307" s="104"/>
      <c r="H1307" s="104"/>
      <c r="I1307" s="104"/>
      <c r="J1307" s="104"/>
      <c r="K1307" s="104"/>
      <c r="L1307" s="104"/>
      <c r="R1307" s="105"/>
      <c r="S1307" s="105"/>
      <c r="T1307" s="105"/>
      <c r="U1307" s="105"/>
      <c r="V1307" s="105"/>
      <c r="W1307" s="105"/>
      <c r="AD1307" s="106"/>
      <c r="AE1307" s="97"/>
      <c r="AF1307" s="97"/>
      <c r="AG1307" s="97"/>
      <c r="AH1307" s="97"/>
      <c r="AI1307" s="97"/>
      <c r="AJ1307" s="97"/>
      <c r="AK1307" s="97"/>
      <c r="AL1307" s="97"/>
      <c r="AM1307" s="97"/>
      <c r="AN1307" s="97"/>
      <c r="AO1307" s="97"/>
      <c r="AP1307" s="97"/>
      <c r="AQ1307" s="97"/>
    </row>
    <row r="1308" spans="2:43" s="101" customFormat="1" ht="15" customHeight="1">
      <c r="B1308" s="104"/>
      <c r="C1308" s="104"/>
      <c r="D1308" s="104"/>
      <c r="E1308" s="104"/>
      <c r="F1308" s="104"/>
      <c r="G1308" s="104"/>
      <c r="H1308" s="104"/>
      <c r="I1308" s="104"/>
      <c r="J1308" s="104"/>
      <c r="K1308" s="104"/>
      <c r="L1308" s="104"/>
      <c r="R1308" s="105"/>
      <c r="S1308" s="105"/>
      <c r="T1308" s="105"/>
      <c r="U1308" s="105"/>
      <c r="V1308" s="105"/>
      <c r="W1308" s="105"/>
      <c r="AD1308" s="106"/>
      <c r="AE1308" s="97"/>
      <c r="AF1308" s="97"/>
      <c r="AG1308" s="97"/>
      <c r="AH1308" s="97"/>
      <c r="AI1308" s="97"/>
      <c r="AJ1308" s="97"/>
      <c r="AK1308" s="97"/>
      <c r="AL1308" s="97"/>
      <c r="AM1308" s="97"/>
      <c r="AN1308" s="97"/>
      <c r="AO1308" s="97"/>
      <c r="AP1308" s="97"/>
      <c r="AQ1308" s="97"/>
    </row>
    <row r="1309" spans="2:43" s="101" customFormat="1" ht="15" customHeight="1">
      <c r="B1309" s="104"/>
      <c r="C1309" s="104"/>
      <c r="D1309" s="104"/>
      <c r="E1309" s="104"/>
      <c r="F1309" s="104"/>
      <c r="G1309" s="104"/>
      <c r="H1309" s="104"/>
      <c r="I1309" s="104"/>
      <c r="J1309" s="104"/>
      <c r="K1309" s="104"/>
      <c r="L1309" s="104"/>
      <c r="R1309" s="105"/>
      <c r="S1309" s="105"/>
      <c r="T1309" s="105"/>
      <c r="U1309" s="105"/>
      <c r="V1309" s="105"/>
      <c r="W1309" s="105"/>
      <c r="AD1309" s="106"/>
      <c r="AE1309" s="97"/>
      <c r="AF1309" s="97"/>
      <c r="AG1309" s="97"/>
      <c r="AH1309" s="97"/>
      <c r="AI1309" s="97"/>
      <c r="AJ1309" s="97"/>
      <c r="AK1309" s="97"/>
      <c r="AL1309" s="97"/>
      <c r="AM1309" s="97"/>
      <c r="AN1309" s="97"/>
      <c r="AO1309" s="97"/>
      <c r="AP1309" s="97"/>
      <c r="AQ1309" s="97"/>
    </row>
    <row r="1310" spans="2:43" s="101" customFormat="1" ht="15" customHeight="1">
      <c r="B1310" s="104"/>
      <c r="C1310" s="104"/>
      <c r="D1310" s="104"/>
      <c r="E1310" s="104"/>
      <c r="F1310" s="104"/>
      <c r="G1310" s="104"/>
      <c r="H1310" s="104"/>
      <c r="I1310" s="104"/>
      <c r="J1310" s="104"/>
      <c r="K1310" s="104"/>
      <c r="L1310" s="104"/>
      <c r="R1310" s="105"/>
      <c r="S1310" s="105"/>
      <c r="T1310" s="105"/>
      <c r="U1310" s="105"/>
      <c r="V1310" s="105"/>
      <c r="W1310" s="105"/>
      <c r="AD1310" s="106"/>
      <c r="AE1310" s="97"/>
      <c r="AF1310" s="97"/>
      <c r="AG1310" s="97"/>
      <c r="AH1310" s="97"/>
      <c r="AI1310" s="97"/>
      <c r="AJ1310" s="97"/>
      <c r="AK1310" s="97"/>
      <c r="AL1310" s="97"/>
      <c r="AM1310" s="97"/>
      <c r="AN1310" s="97"/>
      <c r="AO1310" s="97"/>
      <c r="AP1310" s="97"/>
      <c r="AQ1310" s="97"/>
    </row>
    <row r="1311" spans="2:43" s="101" customFormat="1" ht="15" customHeight="1">
      <c r="B1311" s="104"/>
      <c r="C1311" s="104"/>
      <c r="D1311" s="104"/>
      <c r="E1311" s="104"/>
      <c r="F1311" s="104"/>
      <c r="G1311" s="104"/>
      <c r="H1311" s="104"/>
      <c r="I1311" s="104"/>
      <c r="J1311" s="104"/>
      <c r="K1311" s="104"/>
      <c r="L1311" s="104"/>
      <c r="R1311" s="105"/>
      <c r="S1311" s="105"/>
      <c r="T1311" s="105"/>
      <c r="U1311" s="105"/>
      <c r="V1311" s="105"/>
      <c r="W1311" s="105"/>
      <c r="AD1311" s="106"/>
      <c r="AE1311" s="97"/>
      <c r="AF1311" s="97"/>
      <c r="AG1311" s="97"/>
      <c r="AH1311" s="97"/>
      <c r="AI1311" s="97"/>
      <c r="AJ1311" s="97"/>
      <c r="AK1311" s="97"/>
      <c r="AL1311" s="97"/>
      <c r="AM1311" s="97"/>
      <c r="AN1311" s="97"/>
      <c r="AO1311" s="97"/>
      <c r="AP1311" s="97"/>
      <c r="AQ1311" s="97"/>
    </row>
    <row r="1312" spans="2:43" s="101" customFormat="1" ht="15" customHeight="1">
      <c r="B1312" s="104"/>
      <c r="C1312" s="104"/>
      <c r="D1312" s="104"/>
      <c r="E1312" s="104"/>
      <c r="F1312" s="104"/>
      <c r="G1312" s="104"/>
      <c r="H1312" s="104"/>
      <c r="I1312" s="104"/>
      <c r="J1312" s="104"/>
      <c r="K1312" s="104"/>
      <c r="L1312" s="104"/>
      <c r="R1312" s="105"/>
      <c r="S1312" s="105"/>
      <c r="T1312" s="105"/>
      <c r="U1312" s="105"/>
      <c r="V1312" s="105"/>
      <c r="W1312" s="105"/>
      <c r="AD1312" s="106"/>
      <c r="AE1312" s="97"/>
      <c r="AF1312" s="97"/>
      <c r="AG1312" s="97"/>
      <c r="AH1312" s="97"/>
      <c r="AI1312" s="97"/>
      <c r="AJ1312" s="97"/>
      <c r="AK1312" s="97"/>
      <c r="AL1312" s="97"/>
      <c r="AM1312" s="97"/>
      <c r="AN1312" s="97"/>
      <c r="AO1312" s="97"/>
      <c r="AP1312" s="97"/>
      <c r="AQ1312" s="97"/>
    </row>
    <row r="1313" spans="2:43" s="101" customFormat="1" ht="15" customHeight="1">
      <c r="B1313" s="104"/>
      <c r="C1313" s="104"/>
      <c r="D1313" s="104"/>
      <c r="E1313" s="104"/>
      <c r="F1313" s="104"/>
      <c r="G1313" s="104"/>
      <c r="H1313" s="104"/>
      <c r="I1313" s="104"/>
      <c r="J1313" s="104"/>
      <c r="K1313" s="104"/>
      <c r="L1313" s="104"/>
      <c r="R1313" s="105"/>
      <c r="S1313" s="105"/>
      <c r="T1313" s="105"/>
      <c r="U1313" s="105"/>
      <c r="V1313" s="105"/>
      <c r="W1313" s="105"/>
      <c r="AD1313" s="106"/>
      <c r="AE1313" s="97"/>
      <c r="AF1313" s="97"/>
      <c r="AG1313" s="97"/>
      <c r="AH1313" s="97"/>
      <c r="AI1313" s="97"/>
      <c r="AJ1313" s="97"/>
      <c r="AK1313" s="97"/>
      <c r="AL1313" s="97"/>
      <c r="AM1313" s="97"/>
      <c r="AN1313" s="97"/>
      <c r="AO1313" s="97"/>
      <c r="AP1313" s="97"/>
      <c r="AQ1313" s="97"/>
    </row>
    <row r="1314" spans="2:43" s="101" customFormat="1" ht="15" customHeight="1">
      <c r="B1314" s="104"/>
      <c r="C1314" s="104"/>
      <c r="D1314" s="104"/>
      <c r="E1314" s="104"/>
      <c r="F1314" s="104"/>
      <c r="G1314" s="104"/>
      <c r="H1314" s="104"/>
      <c r="I1314" s="104"/>
      <c r="J1314" s="104"/>
      <c r="K1314" s="104"/>
      <c r="L1314" s="104"/>
      <c r="R1314" s="105"/>
      <c r="S1314" s="105"/>
      <c r="T1314" s="105"/>
      <c r="U1314" s="105"/>
      <c r="V1314" s="105"/>
      <c r="W1314" s="105"/>
      <c r="AD1314" s="106"/>
      <c r="AE1314" s="97"/>
      <c r="AF1314" s="97"/>
      <c r="AG1314" s="97"/>
      <c r="AH1314" s="97"/>
      <c r="AI1314" s="97"/>
      <c r="AJ1314" s="97"/>
      <c r="AK1314" s="97"/>
      <c r="AL1314" s="97"/>
      <c r="AM1314" s="97"/>
      <c r="AN1314" s="97"/>
      <c r="AO1314" s="97"/>
      <c r="AP1314" s="97"/>
      <c r="AQ1314" s="97"/>
    </row>
    <row r="1315" spans="2:43" s="101" customFormat="1" ht="15" customHeight="1">
      <c r="B1315" s="104"/>
      <c r="C1315" s="104"/>
      <c r="D1315" s="104"/>
      <c r="E1315" s="104"/>
      <c r="F1315" s="104"/>
      <c r="G1315" s="104"/>
      <c r="H1315" s="104"/>
      <c r="I1315" s="104"/>
      <c r="J1315" s="104"/>
      <c r="K1315" s="104"/>
      <c r="L1315" s="104"/>
      <c r="R1315" s="105"/>
      <c r="S1315" s="105"/>
      <c r="T1315" s="105"/>
      <c r="U1315" s="105"/>
      <c r="V1315" s="105"/>
      <c r="W1315" s="105"/>
      <c r="AD1315" s="106"/>
      <c r="AE1315" s="97"/>
      <c r="AF1315" s="97"/>
      <c r="AG1315" s="97"/>
      <c r="AH1315" s="97"/>
      <c r="AI1315" s="97"/>
      <c r="AJ1315" s="97"/>
      <c r="AK1315" s="97"/>
      <c r="AL1315" s="97"/>
      <c r="AM1315" s="97"/>
      <c r="AN1315" s="97"/>
      <c r="AO1315" s="97"/>
      <c r="AP1315" s="97"/>
      <c r="AQ1315" s="97"/>
    </row>
    <row r="1316" spans="2:43" s="101" customFormat="1" ht="15" customHeight="1">
      <c r="B1316" s="104"/>
      <c r="C1316" s="104"/>
      <c r="D1316" s="104"/>
      <c r="E1316" s="104"/>
      <c r="F1316" s="104"/>
      <c r="G1316" s="104"/>
      <c r="H1316" s="104"/>
      <c r="I1316" s="104"/>
      <c r="J1316" s="104"/>
      <c r="K1316" s="104"/>
      <c r="L1316" s="104"/>
      <c r="R1316" s="105"/>
      <c r="S1316" s="105"/>
      <c r="T1316" s="105"/>
      <c r="U1316" s="105"/>
      <c r="V1316" s="105"/>
      <c r="W1316" s="105"/>
      <c r="AD1316" s="106"/>
      <c r="AE1316" s="97"/>
      <c r="AF1316" s="97"/>
      <c r="AG1316" s="97"/>
      <c r="AH1316" s="97"/>
      <c r="AI1316" s="97"/>
      <c r="AJ1316" s="97"/>
      <c r="AK1316" s="97"/>
      <c r="AL1316" s="97"/>
      <c r="AM1316" s="97"/>
      <c r="AN1316" s="97"/>
      <c r="AO1316" s="97"/>
      <c r="AP1316" s="97"/>
      <c r="AQ1316" s="97"/>
    </row>
    <row r="1317" spans="2:43" s="101" customFormat="1" ht="15" customHeight="1">
      <c r="B1317" s="104"/>
      <c r="C1317" s="104"/>
      <c r="D1317" s="104"/>
      <c r="E1317" s="104"/>
      <c r="F1317" s="104"/>
      <c r="G1317" s="104"/>
      <c r="H1317" s="104"/>
      <c r="I1317" s="104"/>
      <c r="J1317" s="104"/>
      <c r="K1317" s="104"/>
      <c r="L1317" s="104"/>
      <c r="R1317" s="105"/>
      <c r="S1317" s="105"/>
      <c r="T1317" s="105"/>
      <c r="U1317" s="105"/>
      <c r="V1317" s="105"/>
      <c r="W1317" s="105"/>
      <c r="AD1317" s="106"/>
      <c r="AE1317" s="97"/>
      <c r="AF1317" s="97"/>
      <c r="AG1317" s="97"/>
      <c r="AH1317" s="97"/>
      <c r="AI1317" s="97"/>
      <c r="AJ1317" s="97"/>
      <c r="AK1317" s="97"/>
      <c r="AL1317" s="97"/>
      <c r="AM1317" s="97"/>
      <c r="AN1317" s="97"/>
      <c r="AO1317" s="97"/>
      <c r="AP1317" s="97"/>
      <c r="AQ1317" s="97"/>
    </row>
    <row r="1318" spans="2:43" s="101" customFormat="1" ht="15" customHeight="1">
      <c r="B1318" s="104"/>
      <c r="C1318" s="104"/>
      <c r="D1318" s="104"/>
      <c r="E1318" s="104"/>
      <c r="F1318" s="104"/>
      <c r="G1318" s="104"/>
      <c r="H1318" s="104"/>
      <c r="I1318" s="104"/>
      <c r="J1318" s="104"/>
      <c r="K1318" s="104"/>
      <c r="L1318" s="104"/>
      <c r="R1318" s="105"/>
      <c r="S1318" s="105"/>
      <c r="T1318" s="105"/>
      <c r="U1318" s="105"/>
      <c r="V1318" s="105"/>
      <c r="W1318" s="105"/>
      <c r="AD1318" s="106"/>
      <c r="AE1318" s="97"/>
      <c r="AF1318" s="97"/>
      <c r="AG1318" s="97"/>
      <c r="AH1318" s="97"/>
      <c r="AI1318" s="97"/>
      <c r="AJ1318" s="97"/>
      <c r="AK1318" s="97"/>
      <c r="AL1318" s="97"/>
      <c r="AM1318" s="97"/>
      <c r="AN1318" s="97"/>
      <c r="AO1318" s="97"/>
      <c r="AP1318" s="97"/>
      <c r="AQ1318" s="97"/>
    </row>
    <row r="1319" spans="2:43" s="101" customFormat="1" ht="15" customHeight="1">
      <c r="B1319" s="104"/>
      <c r="C1319" s="104"/>
      <c r="D1319" s="104"/>
      <c r="E1319" s="104"/>
      <c r="F1319" s="104"/>
      <c r="G1319" s="104"/>
      <c r="H1319" s="104"/>
      <c r="I1319" s="104"/>
      <c r="J1319" s="104"/>
      <c r="K1319" s="104"/>
      <c r="L1319" s="104"/>
      <c r="R1319" s="105"/>
      <c r="S1319" s="105"/>
      <c r="T1319" s="105"/>
      <c r="U1319" s="105"/>
      <c r="V1319" s="105"/>
      <c r="W1319" s="105"/>
      <c r="AD1319" s="106"/>
      <c r="AE1319" s="97"/>
      <c r="AF1319" s="97"/>
      <c r="AG1319" s="97"/>
      <c r="AH1319" s="97"/>
      <c r="AI1319" s="97"/>
      <c r="AJ1319" s="97"/>
      <c r="AK1319" s="97"/>
      <c r="AL1319" s="97"/>
      <c r="AM1319" s="97"/>
      <c r="AN1319" s="97"/>
      <c r="AO1319" s="97"/>
      <c r="AP1319" s="97"/>
      <c r="AQ1319" s="97"/>
    </row>
    <row r="1320" spans="2:43" s="101" customFormat="1" ht="15" customHeight="1">
      <c r="B1320" s="104"/>
      <c r="C1320" s="104"/>
      <c r="D1320" s="104"/>
      <c r="E1320" s="104"/>
      <c r="F1320" s="104"/>
      <c r="G1320" s="104"/>
      <c r="H1320" s="104"/>
      <c r="I1320" s="104"/>
      <c r="J1320" s="104"/>
      <c r="K1320" s="104"/>
      <c r="L1320" s="104"/>
      <c r="R1320" s="105"/>
      <c r="S1320" s="105"/>
      <c r="T1320" s="105"/>
      <c r="U1320" s="105"/>
      <c r="V1320" s="105"/>
      <c r="W1320" s="105"/>
      <c r="AD1320" s="106"/>
      <c r="AE1320" s="97"/>
      <c r="AF1320" s="97"/>
      <c r="AG1320" s="97"/>
      <c r="AH1320" s="97"/>
      <c r="AI1320" s="97"/>
      <c r="AJ1320" s="97"/>
      <c r="AK1320" s="97"/>
      <c r="AL1320" s="97"/>
      <c r="AM1320" s="97"/>
      <c r="AN1320" s="97"/>
      <c r="AO1320" s="97"/>
      <c r="AP1320" s="97"/>
      <c r="AQ1320" s="97"/>
    </row>
    <row r="1321" spans="2:43" s="101" customFormat="1" ht="15" customHeight="1">
      <c r="B1321" s="104"/>
      <c r="C1321" s="104"/>
      <c r="D1321" s="104"/>
      <c r="E1321" s="104"/>
      <c r="F1321" s="104"/>
      <c r="G1321" s="104"/>
      <c r="H1321" s="104"/>
      <c r="I1321" s="104"/>
      <c r="J1321" s="104"/>
      <c r="K1321" s="104"/>
      <c r="L1321" s="104"/>
      <c r="R1321" s="105"/>
      <c r="S1321" s="105"/>
      <c r="T1321" s="105"/>
      <c r="U1321" s="105"/>
      <c r="V1321" s="105"/>
      <c r="W1321" s="105"/>
      <c r="AD1321" s="106"/>
      <c r="AE1321" s="97"/>
      <c r="AF1321" s="97"/>
      <c r="AG1321" s="97"/>
      <c r="AH1321" s="97"/>
      <c r="AI1321" s="97"/>
      <c r="AJ1321" s="97"/>
      <c r="AK1321" s="97"/>
      <c r="AL1321" s="97"/>
      <c r="AM1321" s="97"/>
      <c r="AN1321" s="97"/>
      <c r="AO1321" s="97"/>
      <c r="AP1321" s="97"/>
      <c r="AQ1321" s="97"/>
    </row>
    <row r="1322" spans="2:43" s="101" customFormat="1" ht="15" customHeight="1">
      <c r="B1322" s="104"/>
      <c r="C1322" s="104"/>
      <c r="D1322" s="104"/>
      <c r="E1322" s="104"/>
      <c r="F1322" s="104"/>
      <c r="G1322" s="104"/>
      <c r="H1322" s="104"/>
      <c r="I1322" s="104"/>
      <c r="J1322" s="104"/>
      <c r="K1322" s="104"/>
      <c r="L1322" s="104"/>
      <c r="R1322" s="105"/>
      <c r="S1322" s="105"/>
      <c r="T1322" s="105"/>
      <c r="U1322" s="105"/>
      <c r="V1322" s="105"/>
      <c r="W1322" s="105"/>
      <c r="AD1322" s="106"/>
      <c r="AE1322" s="97"/>
      <c r="AF1322" s="97"/>
      <c r="AG1322" s="97"/>
      <c r="AH1322" s="97"/>
      <c r="AI1322" s="97"/>
      <c r="AJ1322" s="97"/>
      <c r="AK1322" s="97"/>
      <c r="AL1322" s="97"/>
      <c r="AM1322" s="97"/>
      <c r="AN1322" s="97"/>
      <c r="AO1322" s="97"/>
      <c r="AP1322" s="97"/>
      <c r="AQ1322" s="97"/>
    </row>
    <row r="1323" spans="2:43" s="101" customFormat="1" ht="15" customHeight="1">
      <c r="B1323" s="104"/>
      <c r="C1323" s="104"/>
      <c r="D1323" s="104"/>
      <c r="E1323" s="104"/>
      <c r="F1323" s="104"/>
      <c r="G1323" s="104"/>
      <c r="H1323" s="104"/>
      <c r="I1323" s="104"/>
      <c r="J1323" s="104"/>
      <c r="K1323" s="104"/>
      <c r="L1323" s="104"/>
      <c r="R1323" s="105"/>
      <c r="S1323" s="105"/>
      <c r="T1323" s="105"/>
      <c r="U1323" s="105"/>
      <c r="V1323" s="105"/>
      <c r="W1323" s="105"/>
      <c r="AD1323" s="106"/>
      <c r="AE1323" s="97"/>
      <c r="AF1323" s="97"/>
      <c r="AG1323" s="97"/>
      <c r="AH1323" s="97"/>
      <c r="AI1323" s="97"/>
      <c r="AJ1323" s="97"/>
      <c r="AK1323" s="97"/>
      <c r="AL1323" s="97"/>
      <c r="AM1323" s="97"/>
      <c r="AN1323" s="97"/>
      <c r="AO1323" s="97"/>
      <c r="AP1323" s="97"/>
      <c r="AQ1323" s="97"/>
    </row>
    <row r="1324" spans="2:43" s="101" customFormat="1" ht="15" customHeight="1">
      <c r="B1324" s="104"/>
      <c r="C1324" s="104"/>
      <c r="D1324" s="104"/>
      <c r="E1324" s="104"/>
      <c r="F1324" s="104"/>
      <c r="G1324" s="104"/>
      <c r="H1324" s="104"/>
      <c r="I1324" s="104"/>
      <c r="J1324" s="104"/>
      <c r="K1324" s="104"/>
      <c r="L1324" s="104"/>
      <c r="R1324" s="105"/>
      <c r="S1324" s="105"/>
      <c r="T1324" s="105"/>
      <c r="U1324" s="105"/>
      <c r="V1324" s="105"/>
      <c r="W1324" s="105"/>
      <c r="AD1324" s="106"/>
      <c r="AE1324" s="97"/>
      <c r="AF1324" s="97"/>
      <c r="AG1324" s="97"/>
      <c r="AH1324" s="97"/>
      <c r="AI1324" s="97"/>
      <c r="AJ1324" s="97"/>
      <c r="AK1324" s="97"/>
      <c r="AL1324" s="97"/>
      <c r="AM1324" s="97"/>
      <c r="AN1324" s="97"/>
      <c r="AO1324" s="97"/>
      <c r="AP1324" s="97"/>
      <c r="AQ1324" s="97"/>
    </row>
    <row r="1325" spans="2:43" s="101" customFormat="1" ht="15" customHeight="1">
      <c r="B1325" s="104"/>
      <c r="C1325" s="104"/>
      <c r="D1325" s="104"/>
      <c r="E1325" s="104"/>
      <c r="F1325" s="104"/>
      <c r="G1325" s="104"/>
      <c r="H1325" s="104"/>
      <c r="I1325" s="104"/>
      <c r="J1325" s="104"/>
      <c r="K1325" s="104"/>
      <c r="L1325" s="104"/>
      <c r="R1325" s="105"/>
      <c r="S1325" s="105"/>
      <c r="T1325" s="105"/>
      <c r="U1325" s="105"/>
      <c r="V1325" s="105"/>
      <c r="W1325" s="105"/>
      <c r="AD1325" s="106"/>
      <c r="AE1325" s="97"/>
      <c r="AF1325" s="97"/>
      <c r="AG1325" s="97"/>
      <c r="AH1325" s="97"/>
      <c r="AI1325" s="97"/>
      <c r="AJ1325" s="97"/>
      <c r="AK1325" s="97"/>
      <c r="AL1325" s="97"/>
      <c r="AM1325" s="97"/>
      <c r="AN1325" s="97"/>
      <c r="AO1325" s="97"/>
      <c r="AP1325" s="97"/>
      <c r="AQ1325" s="97"/>
    </row>
    <row r="1326" spans="2:43" s="101" customFormat="1" ht="15" customHeight="1">
      <c r="B1326" s="104"/>
      <c r="C1326" s="104"/>
      <c r="D1326" s="104"/>
      <c r="E1326" s="104"/>
      <c r="F1326" s="104"/>
      <c r="G1326" s="104"/>
      <c r="H1326" s="104"/>
      <c r="I1326" s="104"/>
      <c r="J1326" s="104"/>
      <c r="K1326" s="104"/>
      <c r="L1326" s="104"/>
      <c r="R1326" s="105"/>
      <c r="S1326" s="105"/>
      <c r="T1326" s="105"/>
      <c r="U1326" s="105"/>
      <c r="V1326" s="105"/>
      <c r="W1326" s="105"/>
      <c r="AD1326" s="106"/>
      <c r="AE1326" s="97"/>
      <c r="AF1326" s="97"/>
      <c r="AG1326" s="97"/>
      <c r="AH1326" s="97"/>
      <c r="AI1326" s="97"/>
      <c r="AJ1326" s="97"/>
      <c r="AK1326" s="97"/>
      <c r="AL1326" s="97"/>
      <c r="AM1326" s="97"/>
      <c r="AN1326" s="97"/>
      <c r="AO1326" s="97"/>
      <c r="AP1326" s="97"/>
      <c r="AQ1326" s="97"/>
    </row>
    <row r="1327" spans="2:43" s="101" customFormat="1" ht="15" customHeight="1">
      <c r="B1327" s="104"/>
      <c r="C1327" s="104"/>
      <c r="D1327" s="104"/>
      <c r="E1327" s="104"/>
      <c r="F1327" s="104"/>
      <c r="G1327" s="104"/>
      <c r="H1327" s="104"/>
      <c r="I1327" s="104"/>
      <c r="J1327" s="104"/>
      <c r="K1327" s="104"/>
      <c r="L1327" s="104"/>
      <c r="R1327" s="105"/>
      <c r="S1327" s="105"/>
      <c r="T1327" s="105"/>
      <c r="U1327" s="105"/>
      <c r="V1327" s="105"/>
      <c r="W1327" s="105"/>
      <c r="AD1327" s="106"/>
      <c r="AE1327" s="97"/>
      <c r="AF1327" s="97"/>
      <c r="AG1327" s="97"/>
      <c r="AH1327" s="97"/>
      <c r="AI1327" s="97"/>
      <c r="AJ1327" s="97"/>
      <c r="AK1327" s="97"/>
      <c r="AL1327" s="97"/>
      <c r="AM1327" s="97"/>
      <c r="AN1327" s="97"/>
      <c r="AO1327" s="97"/>
      <c r="AP1327" s="97"/>
      <c r="AQ1327" s="97"/>
    </row>
    <row r="1328" spans="2:43" s="101" customFormat="1" ht="15" customHeight="1">
      <c r="B1328" s="104"/>
      <c r="C1328" s="104"/>
      <c r="D1328" s="104"/>
      <c r="E1328" s="104"/>
      <c r="F1328" s="104"/>
      <c r="G1328" s="104"/>
      <c r="H1328" s="104"/>
      <c r="I1328" s="104"/>
      <c r="J1328" s="104"/>
      <c r="K1328" s="104"/>
      <c r="L1328" s="104"/>
      <c r="R1328" s="105"/>
      <c r="S1328" s="105"/>
      <c r="T1328" s="105"/>
      <c r="U1328" s="105"/>
      <c r="V1328" s="105"/>
      <c r="W1328" s="105"/>
      <c r="AD1328" s="106"/>
      <c r="AE1328" s="97"/>
      <c r="AF1328" s="97"/>
      <c r="AG1328" s="97"/>
      <c r="AH1328" s="97"/>
      <c r="AI1328" s="97"/>
      <c r="AJ1328" s="97"/>
      <c r="AK1328" s="97"/>
      <c r="AL1328" s="97"/>
      <c r="AM1328" s="97"/>
      <c r="AN1328" s="97"/>
      <c r="AO1328" s="97"/>
      <c r="AP1328" s="97"/>
      <c r="AQ1328" s="97"/>
    </row>
    <row r="1329" spans="2:43" s="101" customFormat="1" ht="15" customHeight="1">
      <c r="B1329" s="104"/>
      <c r="C1329" s="104"/>
      <c r="D1329" s="104"/>
      <c r="E1329" s="104"/>
      <c r="F1329" s="104"/>
      <c r="G1329" s="104"/>
      <c r="H1329" s="104"/>
      <c r="I1329" s="104"/>
      <c r="J1329" s="104"/>
      <c r="K1329" s="104"/>
      <c r="L1329" s="104"/>
      <c r="R1329" s="105"/>
      <c r="S1329" s="105"/>
      <c r="T1329" s="105"/>
      <c r="U1329" s="105"/>
      <c r="V1329" s="105"/>
      <c r="W1329" s="105"/>
      <c r="AD1329" s="106"/>
      <c r="AE1329" s="97"/>
      <c r="AF1329" s="97"/>
      <c r="AG1329" s="97"/>
      <c r="AH1329" s="97"/>
      <c r="AI1329" s="97"/>
      <c r="AJ1329" s="97"/>
      <c r="AK1329" s="97"/>
      <c r="AL1329" s="97"/>
      <c r="AM1329" s="97"/>
      <c r="AN1329" s="97"/>
      <c r="AO1329" s="97"/>
      <c r="AP1329" s="97"/>
      <c r="AQ1329" s="97"/>
    </row>
    <row r="1330" spans="2:43" s="101" customFormat="1" ht="15" customHeight="1">
      <c r="B1330" s="104"/>
      <c r="C1330" s="104"/>
      <c r="D1330" s="104"/>
      <c r="E1330" s="104"/>
      <c r="F1330" s="104"/>
      <c r="G1330" s="104"/>
      <c r="H1330" s="104"/>
      <c r="I1330" s="104"/>
      <c r="J1330" s="104"/>
      <c r="K1330" s="104"/>
      <c r="L1330" s="104"/>
      <c r="R1330" s="105"/>
      <c r="S1330" s="105"/>
      <c r="T1330" s="105"/>
      <c r="U1330" s="105"/>
      <c r="V1330" s="105"/>
      <c r="W1330" s="105"/>
      <c r="AD1330" s="106"/>
      <c r="AE1330" s="97"/>
      <c r="AF1330" s="97"/>
      <c r="AG1330" s="97"/>
      <c r="AH1330" s="97"/>
      <c r="AI1330" s="97"/>
      <c r="AJ1330" s="97"/>
      <c r="AK1330" s="97"/>
      <c r="AL1330" s="97"/>
      <c r="AM1330" s="97"/>
      <c r="AN1330" s="97"/>
      <c r="AO1330" s="97"/>
      <c r="AP1330" s="97"/>
      <c r="AQ1330" s="97"/>
    </row>
    <row r="1331" spans="2:43" s="101" customFormat="1" ht="15" customHeight="1">
      <c r="B1331" s="104"/>
      <c r="C1331" s="104"/>
      <c r="D1331" s="104"/>
      <c r="E1331" s="104"/>
      <c r="F1331" s="104"/>
      <c r="G1331" s="104"/>
      <c r="H1331" s="104"/>
      <c r="I1331" s="104"/>
      <c r="J1331" s="104"/>
      <c r="K1331" s="104"/>
      <c r="L1331" s="104"/>
      <c r="R1331" s="105"/>
      <c r="S1331" s="105"/>
      <c r="T1331" s="105"/>
      <c r="U1331" s="105"/>
      <c r="V1331" s="105"/>
      <c r="W1331" s="105"/>
      <c r="AD1331" s="106"/>
      <c r="AE1331" s="97"/>
      <c r="AF1331" s="97"/>
      <c r="AG1331" s="97"/>
      <c r="AH1331" s="97"/>
      <c r="AI1331" s="97"/>
      <c r="AJ1331" s="97"/>
      <c r="AK1331" s="97"/>
      <c r="AL1331" s="97"/>
      <c r="AM1331" s="97"/>
      <c r="AN1331" s="97"/>
      <c r="AO1331" s="97"/>
      <c r="AP1331" s="97"/>
      <c r="AQ1331" s="97"/>
    </row>
    <row r="1332" spans="2:43" s="101" customFormat="1" ht="15" customHeight="1">
      <c r="B1332" s="104"/>
      <c r="C1332" s="104"/>
      <c r="D1332" s="104"/>
      <c r="E1332" s="104"/>
      <c r="F1332" s="104"/>
      <c r="G1332" s="104"/>
      <c r="H1332" s="104"/>
      <c r="I1332" s="104"/>
      <c r="J1332" s="104"/>
      <c r="K1332" s="104"/>
      <c r="L1332" s="104"/>
      <c r="R1332" s="105"/>
      <c r="S1332" s="105"/>
      <c r="T1332" s="105"/>
      <c r="U1332" s="105"/>
      <c r="V1332" s="105"/>
      <c r="W1332" s="105"/>
      <c r="AD1332" s="106"/>
      <c r="AE1332" s="97"/>
      <c r="AF1332" s="97"/>
      <c r="AG1332" s="97"/>
      <c r="AH1332" s="97"/>
      <c r="AI1332" s="97"/>
      <c r="AJ1332" s="97"/>
      <c r="AK1332" s="97"/>
      <c r="AL1332" s="97"/>
      <c r="AM1332" s="97"/>
      <c r="AN1332" s="97"/>
      <c r="AO1332" s="97"/>
      <c r="AP1332" s="97"/>
      <c r="AQ1332" s="97"/>
    </row>
    <row r="1333" spans="2:43" s="101" customFormat="1" ht="15" customHeight="1">
      <c r="B1333" s="104"/>
      <c r="C1333" s="104"/>
      <c r="D1333" s="104"/>
      <c r="E1333" s="104"/>
      <c r="F1333" s="104"/>
      <c r="G1333" s="104"/>
      <c r="H1333" s="104"/>
      <c r="I1333" s="104"/>
      <c r="J1333" s="104"/>
      <c r="K1333" s="104"/>
      <c r="L1333" s="104"/>
      <c r="R1333" s="105"/>
      <c r="S1333" s="105"/>
      <c r="T1333" s="105"/>
      <c r="U1333" s="105"/>
      <c r="V1333" s="105"/>
      <c r="W1333" s="105"/>
      <c r="AD1333" s="106"/>
      <c r="AE1333" s="97"/>
      <c r="AF1333" s="97"/>
      <c r="AG1333" s="97"/>
      <c r="AH1333" s="97"/>
      <c r="AI1333" s="97"/>
      <c r="AJ1333" s="97"/>
      <c r="AK1333" s="97"/>
      <c r="AL1333" s="97"/>
      <c r="AM1333" s="97"/>
      <c r="AN1333" s="97"/>
      <c r="AO1333" s="97"/>
      <c r="AP1333" s="97"/>
      <c r="AQ1333" s="97"/>
    </row>
    <row r="1334" spans="2:43" s="101" customFormat="1" ht="15" customHeight="1">
      <c r="B1334" s="104"/>
      <c r="C1334" s="104"/>
      <c r="D1334" s="104"/>
      <c r="E1334" s="104"/>
      <c r="F1334" s="104"/>
      <c r="G1334" s="104"/>
      <c r="H1334" s="104"/>
      <c r="I1334" s="104"/>
      <c r="J1334" s="104"/>
      <c r="K1334" s="104"/>
      <c r="L1334" s="104"/>
      <c r="R1334" s="105"/>
      <c r="S1334" s="105"/>
      <c r="T1334" s="105"/>
      <c r="U1334" s="105"/>
      <c r="V1334" s="105"/>
      <c r="W1334" s="105"/>
      <c r="AD1334" s="106"/>
      <c r="AE1334" s="97"/>
      <c r="AF1334" s="97"/>
      <c r="AG1334" s="97"/>
      <c r="AH1334" s="97"/>
      <c r="AI1334" s="97"/>
      <c r="AJ1334" s="97"/>
      <c r="AK1334" s="97"/>
      <c r="AL1334" s="97"/>
      <c r="AM1334" s="97"/>
      <c r="AN1334" s="97"/>
      <c r="AO1334" s="97"/>
      <c r="AP1334" s="97"/>
      <c r="AQ1334" s="97"/>
    </row>
    <row r="1335" spans="2:43" s="101" customFormat="1" ht="15" customHeight="1">
      <c r="B1335" s="104"/>
      <c r="C1335" s="104"/>
      <c r="D1335" s="104"/>
      <c r="E1335" s="104"/>
      <c r="F1335" s="104"/>
      <c r="G1335" s="104"/>
      <c r="H1335" s="104"/>
      <c r="I1335" s="104"/>
      <c r="J1335" s="104"/>
      <c r="K1335" s="104"/>
      <c r="L1335" s="104"/>
      <c r="R1335" s="105"/>
      <c r="S1335" s="105"/>
      <c r="T1335" s="105"/>
      <c r="U1335" s="105"/>
      <c r="V1335" s="105"/>
      <c r="W1335" s="105"/>
      <c r="AD1335" s="106"/>
      <c r="AE1335" s="97"/>
      <c r="AF1335" s="97"/>
      <c r="AG1335" s="97"/>
      <c r="AH1335" s="97"/>
      <c r="AI1335" s="97"/>
      <c r="AJ1335" s="97"/>
      <c r="AK1335" s="97"/>
      <c r="AL1335" s="97"/>
      <c r="AM1335" s="97"/>
      <c r="AN1335" s="97"/>
      <c r="AO1335" s="97"/>
      <c r="AP1335" s="97"/>
      <c r="AQ1335" s="97"/>
    </row>
    <row r="1336" spans="2:43" s="101" customFormat="1" ht="15" customHeight="1">
      <c r="B1336" s="104"/>
      <c r="C1336" s="104"/>
      <c r="D1336" s="104"/>
      <c r="E1336" s="104"/>
      <c r="F1336" s="104"/>
      <c r="G1336" s="104"/>
      <c r="H1336" s="104"/>
      <c r="I1336" s="104"/>
      <c r="J1336" s="104"/>
      <c r="K1336" s="104"/>
      <c r="L1336" s="104"/>
      <c r="R1336" s="105"/>
      <c r="S1336" s="105"/>
      <c r="T1336" s="105"/>
      <c r="U1336" s="105"/>
      <c r="V1336" s="105"/>
      <c r="W1336" s="105"/>
      <c r="AD1336" s="106"/>
      <c r="AE1336" s="97"/>
      <c r="AF1336" s="97"/>
      <c r="AG1336" s="97"/>
      <c r="AH1336" s="97"/>
      <c r="AI1336" s="97"/>
      <c r="AJ1336" s="97"/>
      <c r="AK1336" s="97"/>
      <c r="AL1336" s="97"/>
      <c r="AM1336" s="97"/>
      <c r="AN1336" s="97"/>
      <c r="AO1336" s="97"/>
      <c r="AP1336" s="97"/>
      <c r="AQ1336" s="97"/>
    </row>
    <row r="1337" spans="2:43" s="101" customFormat="1" ht="15" customHeight="1">
      <c r="B1337" s="104"/>
      <c r="C1337" s="104"/>
      <c r="D1337" s="104"/>
      <c r="E1337" s="104"/>
      <c r="F1337" s="104"/>
      <c r="G1337" s="104"/>
      <c r="H1337" s="104"/>
      <c r="I1337" s="104"/>
      <c r="J1337" s="104"/>
      <c r="K1337" s="104"/>
      <c r="L1337" s="104"/>
      <c r="R1337" s="105"/>
      <c r="S1337" s="105"/>
      <c r="T1337" s="105"/>
      <c r="U1337" s="105"/>
      <c r="V1337" s="105"/>
      <c r="W1337" s="105"/>
      <c r="AD1337" s="106"/>
      <c r="AE1337" s="97"/>
      <c r="AF1337" s="97"/>
      <c r="AG1337" s="97"/>
      <c r="AH1337" s="97"/>
      <c r="AI1337" s="97"/>
      <c r="AJ1337" s="97"/>
      <c r="AK1337" s="97"/>
      <c r="AL1337" s="97"/>
      <c r="AM1337" s="97"/>
      <c r="AN1337" s="97"/>
      <c r="AO1337" s="97"/>
      <c r="AP1337" s="97"/>
      <c r="AQ1337" s="97"/>
    </row>
    <row r="1338" spans="2:43" s="101" customFormat="1" ht="15" customHeight="1">
      <c r="B1338" s="104"/>
      <c r="C1338" s="104"/>
      <c r="D1338" s="104"/>
      <c r="E1338" s="104"/>
      <c r="F1338" s="104"/>
      <c r="G1338" s="104"/>
      <c r="H1338" s="104"/>
      <c r="I1338" s="104"/>
      <c r="J1338" s="104"/>
      <c r="K1338" s="104"/>
      <c r="L1338" s="104"/>
      <c r="R1338" s="105"/>
      <c r="S1338" s="105"/>
      <c r="T1338" s="105"/>
      <c r="U1338" s="105"/>
      <c r="V1338" s="105"/>
      <c r="W1338" s="105"/>
      <c r="AD1338" s="106"/>
      <c r="AE1338" s="97"/>
      <c r="AF1338" s="97"/>
      <c r="AG1338" s="97"/>
      <c r="AH1338" s="97"/>
      <c r="AI1338" s="97"/>
      <c r="AJ1338" s="97"/>
      <c r="AK1338" s="97"/>
      <c r="AL1338" s="97"/>
      <c r="AM1338" s="97"/>
      <c r="AN1338" s="97"/>
      <c r="AO1338" s="97"/>
      <c r="AP1338" s="97"/>
      <c r="AQ1338" s="97"/>
    </row>
    <row r="1339" spans="2:43" s="101" customFormat="1" ht="15" customHeight="1">
      <c r="B1339" s="104"/>
      <c r="C1339" s="104"/>
      <c r="D1339" s="104"/>
      <c r="E1339" s="104"/>
      <c r="F1339" s="104"/>
      <c r="G1339" s="104"/>
      <c r="H1339" s="104"/>
      <c r="I1339" s="104"/>
      <c r="J1339" s="104"/>
      <c r="K1339" s="104"/>
      <c r="L1339" s="104"/>
      <c r="R1339" s="105"/>
      <c r="S1339" s="105"/>
      <c r="T1339" s="105"/>
      <c r="U1339" s="105"/>
      <c r="V1339" s="105"/>
      <c r="W1339" s="105"/>
      <c r="AD1339" s="106"/>
      <c r="AE1339" s="97"/>
      <c r="AF1339" s="97"/>
      <c r="AG1339" s="97"/>
      <c r="AH1339" s="97"/>
      <c r="AI1339" s="97"/>
      <c r="AJ1339" s="97"/>
      <c r="AK1339" s="97"/>
      <c r="AL1339" s="97"/>
      <c r="AM1339" s="97"/>
      <c r="AN1339" s="97"/>
      <c r="AO1339" s="97"/>
      <c r="AP1339" s="97"/>
      <c r="AQ1339" s="97"/>
    </row>
    <row r="1340" spans="2:43" s="101" customFormat="1" ht="15" customHeight="1">
      <c r="B1340" s="104"/>
      <c r="C1340" s="104"/>
      <c r="D1340" s="104"/>
      <c r="E1340" s="104"/>
      <c r="F1340" s="104"/>
      <c r="G1340" s="104"/>
      <c r="H1340" s="104"/>
      <c r="I1340" s="104"/>
      <c r="J1340" s="104"/>
      <c r="K1340" s="104"/>
      <c r="L1340" s="104"/>
      <c r="R1340" s="105"/>
      <c r="S1340" s="105"/>
      <c r="T1340" s="105"/>
      <c r="U1340" s="105"/>
      <c r="V1340" s="105"/>
      <c r="W1340" s="105"/>
      <c r="AD1340" s="106"/>
      <c r="AE1340" s="97"/>
      <c r="AF1340" s="97"/>
      <c r="AG1340" s="97"/>
      <c r="AH1340" s="97"/>
      <c r="AI1340" s="97"/>
      <c r="AJ1340" s="97"/>
      <c r="AK1340" s="97"/>
      <c r="AL1340" s="97"/>
      <c r="AM1340" s="97"/>
      <c r="AN1340" s="97"/>
      <c r="AO1340" s="97"/>
      <c r="AP1340" s="97"/>
      <c r="AQ1340" s="97"/>
    </row>
    <row r="1341" spans="2:43" s="101" customFormat="1" ht="15" customHeight="1">
      <c r="B1341" s="104"/>
      <c r="C1341" s="104"/>
      <c r="D1341" s="104"/>
      <c r="E1341" s="104"/>
      <c r="F1341" s="104"/>
      <c r="G1341" s="104"/>
      <c r="H1341" s="104"/>
      <c r="I1341" s="104"/>
      <c r="J1341" s="104"/>
      <c r="K1341" s="104"/>
      <c r="L1341" s="104"/>
      <c r="R1341" s="105"/>
      <c r="S1341" s="105"/>
      <c r="T1341" s="105"/>
      <c r="U1341" s="105"/>
      <c r="V1341" s="105"/>
      <c r="W1341" s="105"/>
      <c r="AD1341" s="106"/>
      <c r="AE1341" s="97"/>
      <c r="AF1341" s="97"/>
      <c r="AG1341" s="97"/>
      <c r="AH1341" s="97"/>
      <c r="AI1341" s="97"/>
      <c r="AJ1341" s="97"/>
      <c r="AK1341" s="97"/>
      <c r="AL1341" s="97"/>
      <c r="AM1341" s="97"/>
      <c r="AN1341" s="97"/>
      <c r="AO1341" s="97"/>
      <c r="AP1341" s="97"/>
      <c r="AQ1341" s="97"/>
    </row>
    <row r="1342" spans="2:43" s="101" customFormat="1" ht="15" customHeight="1">
      <c r="B1342" s="104"/>
      <c r="C1342" s="104"/>
      <c r="D1342" s="104"/>
      <c r="E1342" s="104"/>
      <c r="F1342" s="104"/>
      <c r="G1342" s="104"/>
      <c r="H1342" s="104"/>
      <c r="I1342" s="104"/>
      <c r="J1342" s="104"/>
      <c r="K1342" s="104"/>
      <c r="L1342" s="104"/>
      <c r="R1342" s="105"/>
      <c r="S1342" s="105"/>
      <c r="T1342" s="105"/>
      <c r="U1342" s="105"/>
      <c r="V1342" s="105"/>
      <c r="W1342" s="105"/>
      <c r="AD1342" s="106"/>
      <c r="AE1342" s="97"/>
      <c r="AF1342" s="97"/>
      <c r="AG1342" s="97"/>
      <c r="AH1342" s="97"/>
      <c r="AI1342" s="97"/>
      <c r="AJ1342" s="97"/>
      <c r="AK1342" s="97"/>
      <c r="AL1342" s="97"/>
      <c r="AM1342" s="97"/>
      <c r="AN1342" s="97"/>
      <c r="AO1342" s="97"/>
      <c r="AP1342" s="97"/>
      <c r="AQ1342" s="97"/>
    </row>
    <row r="1343" spans="2:43" s="101" customFormat="1" ht="15" customHeight="1">
      <c r="B1343" s="104"/>
      <c r="C1343" s="104"/>
      <c r="D1343" s="104"/>
      <c r="E1343" s="104"/>
      <c r="F1343" s="104"/>
      <c r="G1343" s="104"/>
      <c r="H1343" s="104"/>
      <c r="I1343" s="104"/>
      <c r="J1343" s="104"/>
      <c r="K1343" s="104"/>
      <c r="L1343" s="104"/>
      <c r="R1343" s="105"/>
      <c r="S1343" s="105"/>
      <c r="T1343" s="105"/>
      <c r="U1343" s="105"/>
      <c r="V1343" s="105"/>
      <c r="W1343" s="105"/>
      <c r="AD1343" s="106"/>
      <c r="AE1343" s="97"/>
      <c r="AF1343" s="97"/>
      <c r="AG1343" s="97"/>
      <c r="AH1343" s="97"/>
      <c r="AI1343" s="97"/>
      <c r="AJ1343" s="97"/>
      <c r="AK1343" s="97"/>
      <c r="AL1343" s="97"/>
      <c r="AM1343" s="97"/>
      <c r="AN1343" s="97"/>
      <c r="AO1343" s="97"/>
      <c r="AP1343" s="97"/>
      <c r="AQ1343" s="97"/>
    </row>
    <row r="1344" spans="2:43" s="101" customFormat="1" ht="15" customHeight="1">
      <c r="B1344" s="104"/>
      <c r="C1344" s="104"/>
      <c r="D1344" s="104"/>
      <c r="E1344" s="104"/>
      <c r="F1344" s="104"/>
      <c r="G1344" s="104"/>
      <c r="H1344" s="104"/>
      <c r="I1344" s="104"/>
      <c r="J1344" s="104"/>
      <c r="K1344" s="104"/>
      <c r="L1344" s="104"/>
      <c r="R1344" s="105"/>
      <c r="S1344" s="105"/>
      <c r="T1344" s="105"/>
      <c r="U1344" s="105"/>
      <c r="V1344" s="105"/>
      <c r="W1344" s="105"/>
      <c r="AD1344" s="106"/>
      <c r="AE1344" s="97"/>
      <c r="AF1344" s="97"/>
      <c r="AG1344" s="97"/>
      <c r="AH1344" s="97"/>
      <c r="AI1344" s="97"/>
      <c r="AJ1344" s="97"/>
      <c r="AK1344" s="97"/>
      <c r="AL1344" s="97"/>
      <c r="AM1344" s="97"/>
      <c r="AN1344" s="97"/>
      <c r="AO1344" s="97"/>
      <c r="AP1344" s="97"/>
      <c r="AQ1344" s="97"/>
    </row>
    <row r="1345" spans="2:43" s="101" customFormat="1" ht="15" customHeight="1">
      <c r="B1345" s="104"/>
      <c r="C1345" s="104"/>
      <c r="D1345" s="104"/>
      <c r="E1345" s="104"/>
      <c r="F1345" s="104"/>
      <c r="G1345" s="104"/>
      <c r="H1345" s="104"/>
      <c r="I1345" s="104"/>
      <c r="J1345" s="104"/>
      <c r="K1345" s="104"/>
      <c r="L1345" s="104"/>
      <c r="R1345" s="105"/>
      <c r="S1345" s="105"/>
      <c r="T1345" s="105"/>
      <c r="U1345" s="105"/>
      <c r="V1345" s="105"/>
      <c r="W1345" s="105"/>
      <c r="AD1345" s="106"/>
      <c r="AE1345" s="97"/>
      <c r="AF1345" s="97"/>
      <c r="AG1345" s="97"/>
      <c r="AH1345" s="97"/>
      <c r="AI1345" s="97"/>
      <c r="AJ1345" s="97"/>
      <c r="AK1345" s="97"/>
      <c r="AL1345" s="97"/>
      <c r="AM1345" s="97"/>
      <c r="AN1345" s="97"/>
      <c r="AO1345" s="97"/>
      <c r="AP1345" s="97"/>
      <c r="AQ1345" s="97"/>
    </row>
    <row r="1346" spans="2:43" s="101" customFormat="1" ht="15" customHeight="1">
      <c r="B1346" s="104"/>
      <c r="C1346" s="104"/>
      <c r="D1346" s="104"/>
      <c r="E1346" s="104"/>
      <c r="F1346" s="104"/>
      <c r="G1346" s="104"/>
      <c r="H1346" s="104"/>
      <c r="I1346" s="104"/>
      <c r="J1346" s="104"/>
      <c r="K1346" s="104"/>
      <c r="L1346" s="104"/>
      <c r="R1346" s="105"/>
      <c r="S1346" s="105"/>
      <c r="T1346" s="105"/>
      <c r="U1346" s="105"/>
      <c r="V1346" s="105"/>
      <c r="W1346" s="105"/>
      <c r="AD1346" s="106"/>
      <c r="AE1346" s="97"/>
      <c r="AF1346" s="97"/>
      <c r="AG1346" s="97"/>
      <c r="AH1346" s="97"/>
      <c r="AI1346" s="97"/>
      <c r="AJ1346" s="97"/>
      <c r="AK1346" s="97"/>
      <c r="AL1346" s="97"/>
      <c r="AM1346" s="97"/>
      <c r="AN1346" s="97"/>
      <c r="AO1346" s="97"/>
      <c r="AP1346" s="97"/>
      <c r="AQ1346" s="97"/>
    </row>
    <row r="1347" spans="2:43" s="101" customFormat="1" ht="15" customHeight="1">
      <c r="B1347" s="104"/>
      <c r="C1347" s="104"/>
      <c r="D1347" s="104"/>
      <c r="E1347" s="104"/>
      <c r="F1347" s="104"/>
      <c r="G1347" s="104"/>
      <c r="H1347" s="104"/>
      <c r="I1347" s="104"/>
      <c r="J1347" s="104"/>
      <c r="K1347" s="104"/>
      <c r="L1347" s="104"/>
      <c r="R1347" s="105"/>
      <c r="S1347" s="105"/>
      <c r="T1347" s="105"/>
      <c r="U1347" s="105"/>
      <c r="V1347" s="105"/>
      <c r="W1347" s="105"/>
      <c r="AD1347" s="106"/>
      <c r="AE1347" s="97"/>
      <c r="AF1347" s="97"/>
      <c r="AG1347" s="97"/>
      <c r="AH1347" s="97"/>
      <c r="AI1347" s="97"/>
      <c r="AJ1347" s="97"/>
      <c r="AK1347" s="97"/>
      <c r="AL1347" s="97"/>
      <c r="AM1347" s="97"/>
      <c r="AN1347" s="97"/>
      <c r="AO1347" s="97"/>
      <c r="AP1347" s="97"/>
      <c r="AQ1347" s="97"/>
    </row>
    <row r="1348" spans="2:43" s="101" customFormat="1" ht="15" customHeight="1">
      <c r="B1348" s="104"/>
      <c r="C1348" s="104"/>
      <c r="D1348" s="104"/>
      <c r="E1348" s="104"/>
      <c r="F1348" s="104"/>
      <c r="G1348" s="104"/>
      <c r="H1348" s="104"/>
      <c r="I1348" s="104"/>
      <c r="J1348" s="104"/>
      <c r="K1348" s="104"/>
      <c r="L1348" s="104"/>
      <c r="R1348" s="105"/>
      <c r="S1348" s="105"/>
      <c r="T1348" s="105"/>
      <c r="U1348" s="105"/>
      <c r="V1348" s="105"/>
      <c r="W1348" s="105"/>
      <c r="AD1348" s="106"/>
      <c r="AE1348" s="97"/>
      <c r="AF1348" s="97"/>
      <c r="AG1348" s="97"/>
      <c r="AH1348" s="97"/>
      <c r="AI1348" s="97"/>
      <c r="AJ1348" s="97"/>
      <c r="AK1348" s="97"/>
      <c r="AL1348" s="97"/>
      <c r="AM1348" s="97"/>
      <c r="AN1348" s="97"/>
      <c r="AO1348" s="97"/>
      <c r="AP1348" s="97"/>
      <c r="AQ1348" s="97"/>
    </row>
    <row r="1349" spans="2:43" s="101" customFormat="1" ht="15" customHeight="1">
      <c r="B1349" s="104"/>
      <c r="C1349" s="104"/>
      <c r="D1349" s="104"/>
      <c r="E1349" s="104"/>
      <c r="F1349" s="104"/>
      <c r="G1349" s="104"/>
      <c r="H1349" s="104"/>
      <c r="I1349" s="104"/>
      <c r="J1349" s="104"/>
      <c r="K1349" s="104"/>
      <c r="L1349" s="104"/>
      <c r="R1349" s="105"/>
      <c r="S1349" s="105"/>
      <c r="T1349" s="105"/>
      <c r="U1349" s="105"/>
      <c r="V1349" s="105"/>
      <c r="W1349" s="105"/>
      <c r="AD1349" s="106"/>
      <c r="AE1349" s="97"/>
      <c r="AF1349" s="97"/>
      <c r="AG1349" s="97"/>
      <c r="AH1349" s="97"/>
      <c r="AI1349" s="97"/>
      <c r="AJ1349" s="97"/>
      <c r="AK1349" s="97"/>
      <c r="AL1349" s="97"/>
      <c r="AM1349" s="97"/>
      <c r="AN1349" s="97"/>
      <c r="AO1349" s="97"/>
      <c r="AP1349" s="97"/>
      <c r="AQ1349" s="97"/>
    </row>
    <row r="1350" spans="2:43" s="101" customFormat="1" ht="15" customHeight="1">
      <c r="B1350" s="104"/>
      <c r="C1350" s="104"/>
      <c r="D1350" s="104"/>
      <c r="E1350" s="104"/>
      <c r="F1350" s="104"/>
      <c r="G1350" s="104"/>
      <c r="H1350" s="104"/>
      <c r="I1350" s="104"/>
      <c r="J1350" s="104"/>
      <c r="K1350" s="104"/>
      <c r="L1350" s="104"/>
      <c r="R1350" s="105"/>
      <c r="S1350" s="105"/>
      <c r="T1350" s="105"/>
      <c r="U1350" s="105"/>
      <c r="V1350" s="105"/>
      <c r="W1350" s="105"/>
      <c r="AD1350" s="106"/>
      <c r="AE1350" s="97"/>
      <c r="AF1350" s="97"/>
      <c r="AG1350" s="97"/>
      <c r="AH1350" s="97"/>
      <c r="AI1350" s="97"/>
      <c r="AJ1350" s="97"/>
      <c r="AK1350" s="97"/>
      <c r="AL1350" s="97"/>
      <c r="AM1350" s="97"/>
      <c r="AN1350" s="97"/>
      <c r="AO1350" s="97"/>
      <c r="AP1350" s="97"/>
      <c r="AQ1350" s="97"/>
    </row>
    <row r="1351" spans="2:43" s="101" customFormat="1" ht="15" customHeight="1">
      <c r="B1351" s="104"/>
      <c r="C1351" s="104"/>
      <c r="D1351" s="104"/>
      <c r="E1351" s="104"/>
      <c r="F1351" s="104"/>
      <c r="G1351" s="104"/>
      <c r="H1351" s="104"/>
      <c r="I1351" s="104"/>
      <c r="J1351" s="104"/>
      <c r="K1351" s="104"/>
      <c r="L1351" s="104"/>
      <c r="R1351" s="105"/>
      <c r="S1351" s="105"/>
      <c r="T1351" s="105"/>
      <c r="U1351" s="105"/>
      <c r="V1351" s="105"/>
      <c r="W1351" s="105"/>
      <c r="AD1351" s="106"/>
      <c r="AE1351" s="97"/>
      <c r="AF1351" s="97"/>
      <c r="AG1351" s="97"/>
      <c r="AH1351" s="97"/>
      <c r="AI1351" s="97"/>
      <c r="AJ1351" s="97"/>
      <c r="AK1351" s="97"/>
      <c r="AL1351" s="97"/>
      <c r="AM1351" s="97"/>
      <c r="AN1351" s="97"/>
      <c r="AO1351" s="97"/>
      <c r="AP1351" s="97"/>
      <c r="AQ1351" s="97"/>
    </row>
    <row r="1352" spans="2:43" s="101" customFormat="1" ht="15" customHeight="1">
      <c r="B1352" s="104"/>
      <c r="C1352" s="104"/>
      <c r="D1352" s="104"/>
      <c r="E1352" s="104"/>
      <c r="F1352" s="104"/>
      <c r="G1352" s="104"/>
      <c r="H1352" s="104"/>
      <c r="I1352" s="104"/>
      <c r="J1352" s="104"/>
      <c r="K1352" s="104"/>
      <c r="L1352" s="104"/>
      <c r="R1352" s="105"/>
      <c r="S1352" s="105"/>
      <c r="T1352" s="105"/>
      <c r="U1352" s="105"/>
      <c r="V1352" s="105"/>
      <c r="W1352" s="105"/>
      <c r="AD1352" s="106"/>
      <c r="AE1352" s="97"/>
      <c r="AF1352" s="97"/>
      <c r="AG1352" s="97"/>
      <c r="AH1352" s="97"/>
      <c r="AI1352" s="97"/>
      <c r="AJ1352" s="97"/>
      <c r="AK1352" s="97"/>
      <c r="AL1352" s="97"/>
      <c r="AM1352" s="97"/>
      <c r="AN1352" s="97"/>
      <c r="AO1352" s="97"/>
      <c r="AP1352" s="97"/>
      <c r="AQ1352" s="97"/>
    </row>
    <row r="1353" spans="2:43" s="101" customFormat="1" ht="15" customHeight="1">
      <c r="B1353" s="104"/>
      <c r="C1353" s="104"/>
      <c r="D1353" s="104"/>
      <c r="E1353" s="104"/>
      <c r="F1353" s="104"/>
      <c r="G1353" s="104"/>
      <c r="H1353" s="104"/>
      <c r="I1353" s="104"/>
      <c r="J1353" s="104"/>
      <c r="K1353" s="104"/>
      <c r="L1353" s="104"/>
      <c r="R1353" s="105"/>
      <c r="S1353" s="105"/>
      <c r="T1353" s="105"/>
      <c r="U1353" s="105"/>
      <c r="V1353" s="105"/>
      <c r="W1353" s="105"/>
      <c r="AD1353" s="106"/>
      <c r="AE1353" s="97"/>
      <c r="AF1353" s="97"/>
      <c r="AG1353" s="97"/>
      <c r="AH1353" s="97"/>
      <c r="AI1353" s="97"/>
      <c r="AJ1353" s="97"/>
      <c r="AK1353" s="97"/>
      <c r="AL1353" s="97"/>
      <c r="AM1353" s="97"/>
      <c r="AN1353" s="97"/>
      <c r="AO1353" s="97"/>
      <c r="AP1353" s="97"/>
      <c r="AQ1353" s="97"/>
    </row>
    <row r="1354" spans="2:43" s="101" customFormat="1" ht="15" customHeight="1">
      <c r="B1354" s="104"/>
      <c r="C1354" s="104"/>
      <c r="D1354" s="104"/>
      <c r="E1354" s="104"/>
      <c r="F1354" s="104"/>
      <c r="G1354" s="104"/>
      <c r="H1354" s="104"/>
      <c r="I1354" s="104"/>
      <c r="J1354" s="104"/>
      <c r="K1354" s="104"/>
      <c r="L1354" s="104"/>
      <c r="R1354" s="105"/>
      <c r="S1354" s="105"/>
      <c r="T1354" s="105"/>
      <c r="U1354" s="105"/>
      <c r="V1354" s="105"/>
      <c r="W1354" s="105"/>
      <c r="AD1354" s="106"/>
      <c r="AE1354" s="97"/>
      <c r="AF1354" s="97"/>
      <c r="AG1354" s="97"/>
      <c r="AH1354" s="97"/>
      <c r="AI1354" s="97"/>
      <c r="AJ1354" s="97"/>
      <c r="AK1354" s="97"/>
      <c r="AL1354" s="97"/>
      <c r="AM1354" s="97"/>
      <c r="AN1354" s="97"/>
      <c r="AO1354" s="97"/>
      <c r="AP1354" s="97"/>
      <c r="AQ1354" s="97"/>
    </row>
    <row r="1355" spans="2:43" s="101" customFormat="1" ht="15" customHeight="1">
      <c r="B1355" s="104"/>
      <c r="C1355" s="104"/>
      <c r="D1355" s="104"/>
      <c r="E1355" s="104"/>
      <c r="F1355" s="104"/>
      <c r="G1355" s="104"/>
      <c r="H1355" s="104"/>
      <c r="I1355" s="104"/>
      <c r="J1355" s="104"/>
      <c r="K1355" s="104"/>
      <c r="L1355" s="104"/>
      <c r="R1355" s="105"/>
      <c r="S1355" s="105"/>
      <c r="T1355" s="105"/>
      <c r="U1355" s="105"/>
      <c r="V1355" s="105"/>
      <c r="W1355" s="105"/>
      <c r="AD1355" s="106"/>
      <c r="AE1355" s="97"/>
      <c r="AF1355" s="97"/>
      <c r="AG1355" s="97"/>
      <c r="AH1355" s="97"/>
      <c r="AI1355" s="97"/>
      <c r="AJ1355" s="97"/>
      <c r="AK1355" s="97"/>
      <c r="AL1355" s="97"/>
      <c r="AM1355" s="97"/>
      <c r="AN1355" s="97"/>
      <c r="AO1355" s="97"/>
      <c r="AP1355" s="97"/>
      <c r="AQ1355" s="97"/>
    </row>
    <row r="1356" spans="2:43" s="101" customFormat="1" ht="15" customHeight="1">
      <c r="B1356" s="104"/>
      <c r="C1356" s="104"/>
      <c r="D1356" s="104"/>
      <c r="E1356" s="104"/>
      <c r="F1356" s="104"/>
      <c r="G1356" s="104"/>
      <c r="H1356" s="104"/>
      <c r="I1356" s="104"/>
      <c r="J1356" s="104"/>
      <c r="K1356" s="104"/>
      <c r="L1356" s="104"/>
      <c r="R1356" s="105"/>
      <c r="S1356" s="105"/>
      <c r="T1356" s="105"/>
      <c r="U1356" s="105"/>
      <c r="V1356" s="105"/>
      <c r="W1356" s="105"/>
      <c r="AD1356" s="106"/>
      <c r="AE1356" s="97"/>
      <c r="AF1356" s="97"/>
      <c r="AG1356" s="97"/>
      <c r="AH1356" s="97"/>
      <c r="AI1356" s="97"/>
      <c r="AJ1356" s="97"/>
      <c r="AK1356" s="97"/>
      <c r="AL1356" s="97"/>
      <c r="AM1356" s="97"/>
      <c r="AN1356" s="97"/>
      <c r="AO1356" s="97"/>
      <c r="AP1356" s="97"/>
      <c r="AQ1356" s="97"/>
    </row>
    <row r="1357" spans="2:43" s="101" customFormat="1" ht="15" customHeight="1">
      <c r="B1357" s="104"/>
      <c r="C1357" s="104"/>
      <c r="D1357" s="104"/>
      <c r="E1357" s="104"/>
      <c r="F1357" s="104"/>
      <c r="G1357" s="104"/>
      <c r="H1357" s="104"/>
      <c r="I1357" s="104"/>
      <c r="J1357" s="104"/>
      <c r="K1357" s="104"/>
      <c r="L1357" s="104"/>
      <c r="R1357" s="105"/>
      <c r="S1357" s="105"/>
      <c r="T1357" s="105"/>
      <c r="U1357" s="105"/>
      <c r="V1357" s="105"/>
      <c r="W1357" s="105"/>
      <c r="AD1357" s="106"/>
      <c r="AE1357" s="97"/>
      <c r="AF1357" s="97"/>
      <c r="AG1357" s="97"/>
      <c r="AH1357" s="97"/>
      <c r="AI1357" s="97"/>
      <c r="AJ1357" s="97"/>
      <c r="AK1357" s="97"/>
      <c r="AL1357" s="97"/>
      <c r="AM1357" s="97"/>
      <c r="AN1357" s="97"/>
      <c r="AO1357" s="97"/>
      <c r="AP1357" s="97"/>
      <c r="AQ1357" s="97"/>
    </row>
    <row r="1358" spans="2:43" s="101" customFormat="1" ht="15" customHeight="1">
      <c r="B1358" s="104"/>
      <c r="C1358" s="104"/>
      <c r="D1358" s="104"/>
      <c r="E1358" s="104"/>
      <c r="F1358" s="104"/>
      <c r="G1358" s="104"/>
      <c r="H1358" s="104"/>
      <c r="I1358" s="104"/>
      <c r="J1358" s="104"/>
      <c r="K1358" s="104"/>
      <c r="L1358" s="104"/>
      <c r="R1358" s="105"/>
      <c r="S1358" s="105"/>
      <c r="T1358" s="105"/>
      <c r="U1358" s="105"/>
      <c r="V1358" s="105"/>
      <c r="W1358" s="105"/>
      <c r="AD1358" s="106"/>
      <c r="AE1358" s="97"/>
      <c r="AF1358" s="97"/>
      <c r="AG1358" s="97"/>
      <c r="AH1358" s="97"/>
      <c r="AI1358" s="97"/>
      <c r="AJ1358" s="97"/>
      <c r="AK1358" s="97"/>
      <c r="AL1358" s="97"/>
      <c r="AM1358" s="97"/>
      <c r="AN1358" s="97"/>
      <c r="AO1358" s="97"/>
      <c r="AP1358" s="97"/>
      <c r="AQ1358" s="97"/>
    </row>
    <row r="1359" spans="2:43" s="101" customFormat="1" ht="15" customHeight="1">
      <c r="B1359" s="104"/>
      <c r="C1359" s="104"/>
      <c r="D1359" s="104"/>
      <c r="E1359" s="104"/>
      <c r="F1359" s="104"/>
      <c r="G1359" s="104"/>
      <c r="H1359" s="104"/>
      <c r="I1359" s="104"/>
      <c r="J1359" s="104"/>
      <c r="K1359" s="104"/>
      <c r="L1359" s="104"/>
      <c r="R1359" s="105"/>
      <c r="S1359" s="105"/>
      <c r="T1359" s="105"/>
      <c r="U1359" s="105"/>
      <c r="V1359" s="105"/>
      <c r="W1359" s="105"/>
      <c r="AD1359" s="106"/>
      <c r="AE1359" s="97"/>
      <c r="AF1359" s="97"/>
      <c r="AG1359" s="97"/>
      <c r="AH1359" s="97"/>
      <c r="AI1359" s="97"/>
      <c r="AJ1359" s="97"/>
      <c r="AK1359" s="97"/>
      <c r="AL1359" s="97"/>
      <c r="AM1359" s="97"/>
      <c r="AN1359" s="97"/>
      <c r="AO1359" s="97"/>
      <c r="AP1359" s="97"/>
      <c r="AQ1359" s="97"/>
    </row>
    <row r="1360" spans="2:43" s="101" customFormat="1" ht="15" customHeight="1">
      <c r="B1360" s="104"/>
      <c r="C1360" s="104"/>
      <c r="D1360" s="104"/>
      <c r="E1360" s="104"/>
      <c r="F1360" s="104"/>
      <c r="G1360" s="104"/>
      <c r="H1360" s="104"/>
      <c r="I1360" s="104"/>
      <c r="J1360" s="104"/>
      <c r="K1360" s="104"/>
      <c r="L1360" s="104"/>
      <c r="R1360" s="105"/>
      <c r="S1360" s="105"/>
      <c r="T1360" s="105"/>
      <c r="U1360" s="105"/>
      <c r="V1360" s="105"/>
      <c r="W1360" s="105"/>
      <c r="AD1360" s="106"/>
      <c r="AE1360" s="97"/>
      <c r="AF1360" s="97"/>
      <c r="AG1360" s="97"/>
      <c r="AH1360" s="97"/>
      <c r="AI1360" s="97"/>
      <c r="AJ1360" s="97"/>
      <c r="AK1360" s="97"/>
      <c r="AL1360" s="97"/>
      <c r="AM1360" s="97"/>
      <c r="AN1360" s="97"/>
      <c r="AO1360" s="97"/>
      <c r="AP1360" s="97"/>
      <c r="AQ1360" s="97"/>
    </row>
    <row r="1361" spans="2:43" s="101" customFormat="1" ht="15" customHeight="1">
      <c r="B1361" s="104"/>
      <c r="C1361" s="104"/>
      <c r="D1361" s="104"/>
      <c r="E1361" s="104"/>
      <c r="F1361" s="104"/>
      <c r="G1361" s="104"/>
      <c r="H1361" s="104"/>
      <c r="I1361" s="104"/>
      <c r="J1361" s="104"/>
      <c r="K1361" s="104"/>
      <c r="L1361" s="104"/>
      <c r="R1361" s="105"/>
      <c r="S1361" s="105"/>
      <c r="T1361" s="105"/>
      <c r="U1361" s="105"/>
      <c r="V1361" s="105"/>
      <c r="W1361" s="105"/>
      <c r="AD1361" s="106"/>
      <c r="AE1361" s="97"/>
      <c r="AF1361" s="97"/>
      <c r="AG1361" s="97"/>
      <c r="AH1361" s="97"/>
      <c r="AI1361" s="97"/>
      <c r="AJ1361" s="97"/>
      <c r="AK1361" s="97"/>
      <c r="AL1361" s="97"/>
      <c r="AM1361" s="97"/>
      <c r="AN1361" s="97"/>
      <c r="AO1361" s="97"/>
      <c r="AP1361" s="97"/>
      <c r="AQ1361" s="97"/>
    </row>
    <row r="1362" spans="2:43" s="101" customFormat="1" ht="15" customHeight="1">
      <c r="B1362" s="104"/>
      <c r="C1362" s="104"/>
      <c r="D1362" s="104"/>
      <c r="E1362" s="104"/>
      <c r="F1362" s="104"/>
      <c r="G1362" s="104"/>
      <c r="H1362" s="104"/>
      <c r="I1362" s="104"/>
      <c r="J1362" s="104"/>
      <c r="K1362" s="104"/>
      <c r="L1362" s="104"/>
      <c r="R1362" s="105"/>
      <c r="S1362" s="105"/>
      <c r="T1362" s="105"/>
      <c r="U1362" s="105"/>
      <c r="V1362" s="105"/>
      <c r="W1362" s="105"/>
      <c r="AD1362" s="106"/>
      <c r="AE1362" s="97"/>
      <c r="AF1362" s="97"/>
      <c r="AG1362" s="97"/>
      <c r="AH1362" s="97"/>
      <c r="AI1362" s="97"/>
      <c r="AJ1362" s="97"/>
      <c r="AK1362" s="97"/>
      <c r="AL1362" s="97"/>
      <c r="AM1362" s="97"/>
      <c r="AN1362" s="97"/>
      <c r="AO1362" s="97"/>
      <c r="AP1362" s="97"/>
      <c r="AQ1362" s="97"/>
    </row>
    <row r="1363" spans="2:43" s="101" customFormat="1" ht="15" customHeight="1">
      <c r="B1363" s="104"/>
      <c r="C1363" s="104"/>
      <c r="D1363" s="104"/>
      <c r="E1363" s="104"/>
      <c r="F1363" s="104"/>
      <c r="G1363" s="104"/>
      <c r="H1363" s="104"/>
      <c r="I1363" s="104"/>
      <c r="J1363" s="104"/>
      <c r="K1363" s="104"/>
      <c r="L1363" s="104"/>
      <c r="R1363" s="105"/>
      <c r="S1363" s="105"/>
      <c r="T1363" s="105"/>
      <c r="U1363" s="105"/>
      <c r="V1363" s="105"/>
      <c r="W1363" s="105"/>
      <c r="AD1363" s="106"/>
      <c r="AE1363" s="97"/>
      <c r="AF1363" s="97"/>
      <c r="AG1363" s="97"/>
      <c r="AH1363" s="97"/>
      <c r="AI1363" s="97"/>
      <c r="AJ1363" s="97"/>
      <c r="AK1363" s="97"/>
      <c r="AL1363" s="97"/>
      <c r="AM1363" s="97"/>
      <c r="AN1363" s="97"/>
      <c r="AO1363" s="97"/>
      <c r="AP1363" s="97"/>
      <c r="AQ1363" s="97"/>
    </row>
    <row r="1364" spans="2:43" s="101" customFormat="1" ht="15" customHeight="1">
      <c r="B1364" s="104"/>
      <c r="C1364" s="104"/>
      <c r="D1364" s="104"/>
      <c r="E1364" s="104"/>
      <c r="F1364" s="104"/>
      <c r="G1364" s="104"/>
      <c r="H1364" s="104"/>
      <c r="I1364" s="104"/>
      <c r="J1364" s="104"/>
      <c r="K1364" s="104"/>
      <c r="L1364" s="104"/>
      <c r="R1364" s="105"/>
      <c r="S1364" s="105"/>
      <c r="T1364" s="105"/>
      <c r="U1364" s="105"/>
      <c r="V1364" s="105"/>
      <c r="W1364" s="105"/>
      <c r="AD1364" s="106"/>
      <c r="AE1364" s="97"/>
      <c r="AF1364" s="97"/>
      <c r="AG1364" s="97"/>
      <c r="AH1364" s="97"/>
      <c r="AI1364" s="97"/>
      <c r="AJ1364" s="97"/>
      <c r="AK1364" s="97"/>
      <c r="AL1364" s="97"/>
      <c r="AM1364" s="97"/>
      <c r="AN1364" s="97"/>
      <c r="AO1364" s="97"/>
      <c r="AP1364" s="97"/>
      <c r="AQ1364" s="97"/>
    </row>
    <row r="1365" spans="2:43" s="101" customFormat="1" ht="15" customHeight="1">
      <c r="B1365" s="104"/>
      <c r="C1365" s="104"/>
      <c r="D1365" s="104"/>
      <c r="E1365" s="104"/>
      <c r="F1365" s="104"/>
      <c r="G1365" s="104"/>
      <c r="H1365" s="104"/>
      <c r="I1365" s="104"/>
      <c r="J1365" s="104"/>
      <c r="K1365" s="104"/>
      <c r="L1365" s="104"/>
      <c r="R1365" s="105"/>
      <c r="S1365" s="105"/>
      <c r="T1365" s="105"/>
      <c r="U1365" s="105"/>
      <c r="V1365" s="105"/>
      <c r="W1365" s="105"/>
      <c r="AD1365" s="106"/>
      <c r="AE1365" s="97"/>
      <c r="AF1365" s="97"/>
      <c r="AG1365" s="97"/>
      <c r="AH1365" s="97"/>
      <c r="AI1365" s="97"/>
      <c r="AJ1365" s="97"/>
      <c r="AK1365" s="97"/>
      <c r="AL1365" s="97"/>
      <c r="AM1365" s="97"/>
      <c r="AN1365" s="97"/>
      <c r="AO1365" s="97"/>
      <c r="AP1365" s="97"/>
      <c r="AQ1365" s="97"/>
    </row>
    <row r="1366" spans="2:43" s="101" customFormat="1" ht="15" customHeight="1">
      <c r="B1366" s="104"/>
      <c r="C1366" s="104"/>
      <c r="D1366" s="104"/>
      <c r="E1366" s="104"/>
      <c r="F1366" s="104"/>
      <c r="G1366" s="104"/>
      <c r="H1366" s="104"/>
      <c r="I1366" s="104"/>
      <c r="J1366" s="104"/>
      <c r="K1366" s="104"/>
      <c r="L1366" s="104"/>
      <c r="R1366" s="105"/>
      <c r="S1366" s="105"/>
      <c r="T1366" s="105"/>
      <c r="U1366" s="105"/>
      <c r="V1366" s="105"/>
      <c r="W1366" s="105"/>
      <c r="AD1366" s="106"/>
      <c r="AE1366" s="97"/>
      <c r="AF1366" s="97"/>
      <c r="AG1366" s="97"/>
      <c r="AH1366" s="97"/>
      <c r="AI1366" s="97"/>
      <c r="AJ1366" s="97"/>
      <c r="AK1366" s="97"/>
      <c r="AL1366" s="97"/>
      <c r="AM1366" s="97"/>
      <c r="AN1366" s="97"/>
      <c r="AO1366" s="97"/>
      <c r="AP1366" s="97"/>
      <c r="AQ1366" s="97"/>
    </row>
    <row r="1367" spans="2:43" s="101" customFormat="1" ht="15" customHeight="1">
      <c r="B1367" s="104"/>
      <c r="C1367" s="104"/>
      <c r="D1367" s="104"/>
      <c r="E1367" s="104"/>
      <c r="F1367" s="104"/>
      <c r="G1367" s="104"/>
      <c r="H1367" s="104"/>
      <c r="I1367" s="104"/>
      <c r="J1367" s="104"/>
      <c r="K1367" s="104"/>
      <c r="L1367" s="104"/>
      <c r="R1367" s="105"/>
      <c r="S1367" s="105"/>
      <c r="T1367" s="105"/>
      <c r="U1367" s="105"/>
      <c r="V1367" s="105"/>
      <c r="W1367" s="105"/>
      <c r="AD1367" s="106"/>
      <c r="AE1367" s="97"/>
      <c r="AF1367" s="97"/>
      <c r="AG1367" s="97"/>
      <c r="AH1367" s="97"/>
      <c r="AI1367" s="97"/>
      <c r="AJ1367" s="97"/>
      <c r="AK1367" s="97"/>
      <c r="AL1367" s="97"/>
      <c r="AM1367" s="97"/>
      <c r="AN1367" s="97"/>
      <c r="AO1367" s="97"/>
      <c r="AP1367" s="97"/>
      <c r="AQ1367" s="97"/>
    </row>
    <row r="1368" spans="2:43" s="101" customFormat="1" ht="15" customHeight="1">
      <c r="B1368" s="104"/>
      <c r="C1368" s="104"/>
      <c r="D1368" s="104"/>
      <c r="E1368" s="104"/>
      <c r="F1368" s="104"/>
      <c r="G1368" s="104"/>
      <c r="H1368" s="104"/>
      <c r="I1368" s="104"/>
      <c r="J1368" s="104"/>
      <c r="K1368" s="104"/>
      <c r="L1368" s="104"/>
      <c r="R1368" s="105"/>
      <c r="S1368" s="105"/>
      <c r="T1368" s="105"/>
      <c r="U1368" s="105"/>
      <c r="V1368" s="105"/>
      <c r="W1368" s="105"/>
      <c r="AD1368" s="106"/>
      <c r="AE1368" s="97"/>
      <c r="AF1368" s="97"/>
      <c r="AG1368" s="97"/>
      <c r="AH1368" s="97"/>
      <c r="AI1368" s="97"/>
      <c r="AJ1368" s="97"/>
      <c r="AK1368" s="97"/>
      <c r="AL1368" s="97"/>
      <c r="AM1368" s="97"/>
      <c r="AN1368" s="97"/>
      <c r="AO1368" s="97"/>
      <c r="AP1368" s="97"/>
      <c r="AQ1368" s="97"/>
    </row>
    <row r="1369" spans="2:43" s="101" customFormat="1" ht="15" customHeight="1">
      <c r="B1369" s="104"/>
      <c r="C1369" s="104"/>
      <c r="D1369" s="104"/>
      <c r="E1369" s="104"/>
      <c r="F1369" s="104"/>
      <c r="G1369" s="104"/>
      <c r="H1369" s="104"/>
      <c r="I1369" s="104"/>
      <c r="J1369" s="104"/>
      <c r="K1369" s="104"/>
      <c r="L1369" s="104"/>
      <c r="R1369" s="105"/>
      <c r="S1369" s="105"/>
      <c r="T1369" s="105"/>
      <c r="U1369" s="105"/>
      <c r="V1369" s="105"/>
      <c r="W1369" s="105"/>
      <c r="AD1369" s="106"/>
      <c r="AE1369" s="97"/>
      <c r="AF1369" s="97"/>
      <c r="AG1369" s="97"/>
      <c r="AH1369" s="97"/>
      <c r="AI1369" s="97"/>
      <c r="AJ1369" s="97"/>
      <c r="AK1369" s="97"/>
      <c r="AL1369" s="97"/>
      <c r="AM1369" s="97"/>
      <c r="AN1369" s="97"/>
      <c r="AO1369" s="97"/>
      <c r="AP1369" s="97"/>
      <c r="AQ1369" s="97"/>
    </row>
    <row r="1370" spans="2:43" s="101" customFormat="1" ht="15" customHeight="1">
      <c r="B1370" s="104"/>
      <c r="C1370" s="104"/>
      <c r="D1370" s="104"/>
      <c r="E1370" s="104"/>
      <c r="F1370" s="104"/>
      <c r="G1370" s="104"/>
      <c r="H1370" s="104"/>
      <c r="I1370" s="104"/>
      <c r="J1370" s="104"/>
      <c r="K1370" s="104"/>
      <c r="L1370" s="104"/>
      <c r="R1370" s="105"/>
      <c r="S1370" s="105"/>
      <c r="T1370" s="105"/>
      <c r="U1370" s="105"/>
      <c r="V1370" s="105"/>
      <c r="W1370" s="105"/>
      <c r="AD1370" s="106"/>
      <c r="AE1370" s="97"/>
      <c r="AF1370" s="97"/>
      <c r="AG1370" s="97"/>
      <c r="AH1370" s="97"/>
      <c r="AI1370" s="97"/>
      <c r="AJ1370" s="97"/>
      <c r="AK1370" s="97"/>
      <c r="AL1370" s="97"/>
      <c r="AM1370" s="97"/>
      <c r="AN1370" s="97"/>
      <c r="AO1370" s="97"/>
      <c r="AP1370" s="97"/>
      <c r="AQ1370" s="97"/>
    </row>
    <row r="1371" spans="2:43" s="101" customFormat="1" ht="15" customHeight="1">
      <c r="B1371" s="104"/>
      <c r="C1371" s="104"/>
      <c r="D1371" s="104"/>
      <c r="E1371" s="104"/>
      <c r="F1371" s="104"/>
      <c r="G1371" s="104"/>
      <c r="H1371" s="104"/>
      <c r="I1371" s="104"/>
      <c r="J1371" s="104"/>
      <c r="K1371" s="104"/>
      <c r="L1371" s="104"/>
      <c r="R1371" s="105"/>
      <c r="S1371" s="105"/>
      <c r="T1371" s="105"/>
      <c r="U1371" s="105"/>
      <c r="V1371" s="105"/>
      <c r="W1371" s="105"/>
      <c r="AD1371" s="106"/>
      <c r="AE1371" s="97"/>
      <c r="AF1371" s="97"/>
      <c r="AG1371" s="97"/>
      <c r="AH1371" s="97"/>
      <c r="AI1371" s="97"/>
      <c r="AJ1371" s="97"/>
      <c r="AK1371" s="97"/>
      <c r="AL1371" s="97"/>
      <c r="AM1371" s="97"/>
      <c r="AN1371" s="97"/>
      <c r="AO1371" s="97"/>
      <c r="AP1371" s="97"/>
      <c r="AQ1371" s="97"/>
    </row>
    <row r="1372" spans="2:43" s="101" customFormat="1" ht="15" customHeight="1">
      <c r="B1372" s="104"/>
      <c r="C1372" s="104"/>
      <c r="D1372" s="104"/>
      <c r="E1372" s="104"/>
      <c r="F1372" s="104"/>
      <c r="G1372" s="104"/>
      <c r="H1372" s="104"/>
      <c r="I1372" s="104"/>
      <c r="J1372" s="104"/>
      <c r="K1372" s="104"/>
      <c r="L1372" s="104"/>
      <c r="R1372" s="105"/>
      <c r="S1372" s="105"/>
      <c r="T1372" s="105"/>
      <c r="U1372" s="105"/>
      <c r="V1372" s="105"/>
      <c r="W1372" s="105"/>
      <c r="AD1372" s="106"/>
      <c r="AE1372" s="97"/>
      <c r="AF1372" s="97"/>
      <c r="AG1372" s="97"/>
      <c r="AH1372" s="97"/>
      <c r="AI1372" s="97"/>
      <c r="AJ1372" s="97"/>
      <c r="AK1372" s="97"/>
      <c r="AL1372" s="97"/>
      <c r="AM1372" s="97"/>
      <c r="AN1372" s="97"/>
      <c r="AO1372" s="97"/>
      <c r="AP1372" s="97"/>
      <c r="AQ1372" s="97"/>
    </row>
    <row r="1373" spans="2:43" s="101" customFormat="1" ht="15" customHeight="1">
      <c r="B1373" s="104"/>
      <c r="C1373" s="104"/>
      <c r="D1373" s="104"/>
      <c r="E1373" s="104"/>
      <c r="F1373" s="104"/>
      <c r="G1373" s="104"/>
      <c r="H1373" s="104"/>
      <c r="I1373" s="104"/>
      <c r="J1373" s="104"/>
      <c r="K1373" s="104"/>
      <c r="L1373" s="104"/>
      <c r="R1373" s="105"/>
      <c r="S1373" s="105"/>
      <c r="T1373" s="105"/>
      <c r="U1373" s="105"/>
      <c r="V1373" s="105"/>
      <c r="W1373" s="105"/>
      <c r="AD1373" s="106"/>
      <c r="AE1373" s="97"/>
      <c r="AF1373" s="97"/>
      <c r="AG1373" s="97"/>
      <c r="AH1373" s="97"/>
      <c r="AI1373" s="97"/>
      <c r="AJ1373" s="97"/>
      <c r="AK1373" s="97"/>
      <c r="AL1373" s="97"/>
      <c r="AM1373" s="97"/>
      <c r="AN1373" s="97"/>
      <c r="AO1373" s="97"/>
      <c r="AP1373" s="97"/>
      <c r="AQ1373" s="97"/>
    </row>
    <row r="1374" spans="2:43" s="101" customFormat="1" ht="15" customHeight="1">
      <c r="B1374" s="104"/>
      <c r="C1374" s="104"/>
      <c r="D1374" s="104"/>
      <c r="E1374" s="104"/>
      <c r="F1374" s="104"/>
      <c r="G1374" s="104"/>
      <c r="H1374" s="104"/>
      <c r="I1374" s="104"/>
      <c r="J1374" s="104"/>
      <c r="K1374" s="104"/>
      <c r="L1374" s="104"/>
      <c r="R1374" s="105"/>
      <c r="S1374" s="105"/>
      <c r="T1374" s="105"/>
      <c r="U1374" s="105"/>
      <c r="V1374" s="105"/>
      <c r="W1374" s="105"/>
      <c r="AD1374" s="106"/>
      <c r="AE1374" s="97"/>
      <c r="AF1374" s="97"/>
      <c r="AG1374" s="97"/>
      <c r="AH1374" s="97"/>
      <c r="AI1374" s="97"/>
      <c r="AJ1374" s="97"/>
      <c r="AK1374" s="97"/>
      <c r="AL1374" s="97"/>
      <c r="AM1374" s="97"/>
      <c r="AN1374" s="97"/>
      <c r="AO1374" s="97"/>
      <c r="AP1374" s="97"/>
      <c r="AQ1374" s="97"/>
    </row>
    <row r="1375" spans="2:43" s="101" customFormat="1" ht="15" customHeight="1">
      <c r="B1375" s="104"/>
      <c r="C1375" s="104"/>
      <c r="D1375" s="104"/>
      <c r="E1375" s="104"/>
      <c r="F1375" s="104"/>
      <c r="G1375" s="104"/>
      <c r="H1375" s="104"/>
      <c r="I1375" s="104"/>
      <c r="J1375" s="104"/>
      <c r="K1375" s="104"/>
      <c r="L1375" s="104"/>
      <c r="R1375" s="105"/>
      <c r="S1375" s="105"/>
      <c r="T1375" s="105"/>
      <c r="U1375" s="105"/>
      <c r="V1375" s="105"/>
      <c r="W1375" s="105"/>
      <c r="AD1375" s="106"/>
      <c r="AE1375" s="97"/>
      <c r="AF1375" s="97"/>
      <c r="AG1375" s="97"/>
      <c r="AH1375" s="97"/>
      <c r="AI1375" s="97"/>
      <c r="AJ1375" s="97"/>
      <c r="AK1375" s="97"/>
      <c r="AL1375" s="97"/>
      <c r="AM1375" s="97"/>
      <c r="AN1375" s="97"/>
      <c r="AO1375" s="97"/>
      <c r="AP1375" s="97"/>
      <c r="AQ1375" s="97"/>
    </row>
    <row r="1376" spans="2:43" s="101" customFormat="1" ht="15" customHeight="1">
      <c r="B1376" s="104"/>
      <c r="C1376" s="104"/>
      <c r="D1376" s="104"/>
      <c r="E1376" s="104"/>
      <c r="F1376" s="104"/>
      <c r="G1376" s="104"/>
      <c r="H1376" s="104"/>
      <c r="I1376" s="104"/>
      <c r="J1376" s="104"/>
      <c r="K1376" s="104"/>
      <c r="L1376" s="104"/>
      <c r="R1376" s="105"/>
      <c r="S1376" s="105"/>
      <c r="T1376" s="105"/>
      <c r="U1376" s="105"/>
      <c r="V1376" s="105"/>
      <c r="W1376" s="105"/>
      <c r="AD1376" s="106"/>
      <c r="AE1376" s="97"/>
      <c r="AF1376" s="97"/>
      <c r="AG1376" s="97"/>
      <c r="AH1376" s="97"/>
      <c r="AI1376" s="97"/>
      <c r="AJ1376" s="97"/>
      <c r="AK1376" s="97"/>
      <c r="AL1376" s="97"/>
      <c r="AM1376" s="97"/>
      <c r="AN1376" s="97"/>
      <c r="AO1376" s="97"/>
      <c r="AP1376" s="97"/>
      <c r="AQ1376" s="97"/>
    </row>
    <row r="1377" spans="2:43" s="101" customFormat="1" ht="15" customHeight="1">
      <c r="B1377" s="104"/>
      <c r="C1377" s="104"/>
      <c r="D1377" s="104"/>
      <c r="E1377" s="104"/>
      <c r="F1377" s="104"/>
      <c r="G1377" s="104"/>
      <c r="H1377" s="104"/>
      <c r="I1377" s="104"/>
      <c r="J1377" s="104"/>
      <c r="K1377" s="104"/>
      <c r="L1377" s="104"/>
      <c r="R1377" s="105"/>
      <c r="S1377" s="105"/>
      <c r="T1377" s="105"/>
      <c r="U1377" s="105"/>
      <c r="V1377" s="105"/>
      <c r="W1377" s="105"/>
      <c r="AD1377" s="106"/>
      <c r="AE1377" s="97"/>
      <c r="AF1377" s="97"/>
      <c r="AG1377" s="97"/>
      <c r="AH1377" s="97"/>
      <c r="AI1377" s="97"/>
      <c r="AJ1377" s="97"/>
      <c r="AK1377" s="97"/>
      <c r="AL1377" s="97"/>
      <c r="AM1377" s="97"/>
      <c r="AN1377" s="97"/>
      <c r="AO1377" s="97"/>
      <c r="AP1377" s="97"/>
      <c r="AQ1377" s="97"/>
    </row>
    <row r="1378" spans="2:43" s="101" customFormat="1" ht="15" customHeight="1">
      <c r="B1378" s="104"/>
      <c r="C1378" s="104"/>
      <c r="D1378" s="104"/>
      <c r="E1378" s="104"/>
      <c r="F1378" s="104"/>
      <c r="G1378" s="104"/>
      <c r="H1378" s="104"/>
      <c r="I1378" s="104"/>
      <c r="J1378" s="104"/>
      <c r="K1378" s="104"/>
      <c r="L1378" s="104"/>
      <c r="R1378" s="105"/>
      <c r="S1378" s="105"/>
      <c r="T1378" s="105"/>
      <c r="U1378" s="105"/>
      <c r="V1378" s="105"/>
      <c r="W1378" s="105"/>
      <c r="AD1378" s="106"/>
      <c r="AE1378" s="97"/>
      <c r="AF1378" s="97"/>
      <c r="AG1378" s="97"/>
      <c r="AH1378" s="97"/>
      <c r="AI1378" s="97"/>
      <c r="AJ1378" s="97"/>
      <c r="AK1378" s="97"/>
      <c r="AL1378" s="97"/>
      <c r="AM1378" s="97"/>
      <c r="AN1378" s="97"/>
      <c r="AO1378" s="97"/>
      <c r="AP1378" s="97"/>
      <c r="AQ1378" s="97"/>
    </row>
    <row r="1379" spans="2:43" s="101" customFormat="1" ht="15" customHeight="1">
      <c r="B1379" s="104"/>
      <c r="C1379" s="104"/>
      <c r="D1379" s="104"/>
      <c r="E1379" s="104"/>
      <c r="F1379" s="104"/>
      <c r="G1379" s="104"/>
      <c r="H1379" s="104"/>
      <c r="I1379" s="104"/>
      <c r="J1379" s="104"/>
      <c r="K1379" s="104"/>
      <c r="L1379" s="104"/>
      <c r="R1379" s="105"/>
      <c r="S1379" s="105"/>
      <c r="T1379" s="105"/>
      <c r="U1379" s="105"/>
      <c r="V1379" s="105"/>
      <c r="W1379" s="105"/>
      <c r="AD1379" s="106"/>
      <c r="AE1379" s="97"/>
      <c r="AF1379" s="97"/>
      <c r="AG1379" s="97"/>
      <c r="AH1379" s="97"/>
      <c r="AI1379" s="97"/>
      <c r="AJ1379" s="97"/>
      <c r="AK1379" s="97"/>
      <c r="AL1379" s="97"/>
      <c r="AM1379" s="97"/>
      <c r="AN1379" s="97"/>
      <c r="AO1379" s="97"/>
      <c r="AP1379" s="97"/>
      <c r="AQ1379" s="97"/>
    </row>
    <row r="1380" spans="2:43" s="101" customFormat="1" ht="15" customHeight="1">
      <c r="B1380" s="104"/>
      <c r="C1380" s="104"/>
      <c r="D1380" s="104"/>
      <c r="E1380" s="104"/>
      <c r="F1380" s="104"/>
      <c r="G1380" s="104"/>
      <c r="H1380" s="104"/>
      <c r="I1380" s="104"/>
      <c r="J1380" s="104"/>
      <c r="K1380" s="104"/>
      <c r="L1380" s="104"/>
      <c r="R1380" s="105"/>
      <c r="S1380" s="105"/>
      <c r="T1380" s="105"/>
      <c r="U1380" s="105"/>
      <c r="V1380" s="105"/>
      <c r="W1380" s="105"/>
      <c r="AD1380" s="106"/>
      <c r="AE1380" s="97"/>
      <c r="AF1380" s="97"/>
      <c r="AG1380" s="97"/>
      <c r="AH1380" s="97"/>
      <c r="AI1380" s="97"/>
      <c r="AJ1380" s="97"/>
      <c r="AK1380" s="97"/>
      <c r="AL1380" s="97"/>
      <c r="AM1380" s="97"/>
      <c r="AN1380" s="97"/>
      <c r="AO1380" s="97"/>
      <c r="AP1380" s="97"/>
      <c r="AQ1380" s="97"/>
    </row>
    <row r="1381" spans="2:43" s="101" customFormat="1" ht="15" customHeight="1">
      <c r="B1381" s="104"/>
      <c r="C1381" s="104"/>
      <c r="D1381" s="104"/>
      <c r="E1381" s="104"/>
      <c r="F1381" s="104"/>
      <c r="G1381" s="104"/>
      <c r="H1381" s="104"/>
      <c r="I1381" s="104"/>
      <c r="J1381" s="104"/>
      <c r="K1381" s="104"/>
      <c r="L1381" s="104"/>
      <c r="R1381" s="105"/>
      <c r="S1381" s="105"/>
      <c r="T1381" s="105"/>
      <c r="U1381" s="105"/>
      <c r="V1381" s="105"/>
      <c r="W1381" s="105"/>
      <c r="AD1381" s="106"/>
      <c r="AE1381" s="97"/>
      <c r="AF1381" s="97"/>
      <c r="AG1381" s="97"/>
      <c r="AH1381" s="97"/>
      <c r="AI1381" s="97"/>
      <c r="AJ1381" s="97"/>
      <c r="AK1381" s="97"/>
      <c r="AL1381" s="97"/>
      <c r="AM1381" s="97"/>
      <c r="AN1381" s="97"/>
      <c r="AO1381" s="97"/>
      <c r="AP1381" s="97"/>
      <c r="AQ1381" s="97"/>
    </row>
    <row r="1382" spans="2:43" s="101" customFormat="1" ht="15" customHeight="1">
      <c r="B1382" s="104"/>
      <c r="C1382" s="104"/>
      <c r="D1382" s="104"/>
      <c r="E1382" s="104"/>
      <c r="F1382" s="104"/>
      <c r="G1382" s="104"/>
      <c r="H1382" s="104"/>
      <c r="I1382" s="104"/>
      <c r="J1382" s="104"/>
      <c r="K1382" s="104"/>
      <c r="L1382" s="104"/>
      <c r="R1382" s="105"/>
      <c r="S1382" s="105"/>
      <c r="T1382" s="105"/>
      <c r="U1382" s="105"/>
      <c r="V1382" s="105"/>
      <c r="W1382" s="105"/>
      <c r="AD1382" s="106"/>
      <c r="AE1382" s="97"/>
      <c r="AF1382" s="97"/>
      <c r="AG1382" s="97"/>
      <c r="AH1382" s="97"/>
      <c r="AI1382" s="97"/>
      <c r="AJ1382" s="97"/>
      <c r="AK1382" s="97"/>
      <c r="AL1382" s="97"/>
      <c r="AM1382" s="97"/>
      <c r="AN1382" s="97"/>
      <c r="AO1382" s="97"/>
      <c r="AP1382" s="97"/>
      <c r="AQ1382" s="97"/>
    </row>
    <row r="1383" spans="2:43" s="101" customFormat="1" ht="15" customHeight="1">
      <c r="B1383" s="104"/>
      <c r="C1383" s="104"/>
      <c r="D1383" s="104"/>
      <c r="E1383" s="104"/>
      <c r="F1383" s="104"/>
      <c r="G1383" s="104"/>
      <c r="H1383" s="104"/>
      <c r="I1383" s="104"/>
      <c r="J1383" s="104"/>
      <c r="K1383" s="104"/>
      <c r="L1383" s="104"/>
      <c r="R1383" s="105"/>
      <c r="S1383" s="105"/>
      <c r="T1383" s="105"/>
      <c r="U1383" s="105"/>
      <c r="V1383" s="105"/>
      <c r="W1383" s="105"/>
      <c r="AD1383" s="106"/>
      <c r="AE1383" s="97"/>
      <c r="AF1383" s="97"/>
      <c r="AG1383" s="97"/>
      <c r="AH1383" s="97"/>
      <c r="AI1383" s="97"/>
      <c r="AJ1383" s="97"/>
      <c r="AK1383" s="97"/>
      <c r="AL1383" s="97"/>
      <c r="AM1383" s="97"/>
      <c r="AN1383" s="97"/>
      <c r="AO1383" s="97"/>
      <c r="AP1383" s="97"/>
      <c r="AQ1383" s="97"/>
    </row>
    <row r="1384" spans="2:43" s="101" customFormat="1" ht="15" customHeight="1">
      <c r="B1384" s="104"/>
      <c r="C1384" s="104"/>
      <c r="D1384" s="104"/>
      <c r="E1384" s="104"/>
      <c r="F1384" s="104"/>
      <c r="G1384" s="104"/>
      <c r="H1384" s="104"/>
      <c r="I1384" s="104"/>
      <c r="J1384" s="104"/>
      <c r="K1384" s="104"/>
      <c r="L1384" s="104"/>
      <c r="R1384" s="105"/>
      <c r="S1384" s="105"/>
      <c r="T1384" s="105"/>
      <c r="U1384" s="105"/>
      <c r="V1384" s="105"/>
      <c r="W1384" s="105"/>
      <c r="AD1384" s="106"/>
      <c r="AE1384" s="97"/>
      <c r="AF1384" s="97"/>
      <c r="AG1384" s="97"/>
      <c r="AH1384" s="97"/>
      <c r="AI1384" s="97"/>
      <c r="AJ1384" s="97"/>
      <c r="AK1384" s="97"/>
      <c r="AL1384" s="97"/>
      <c r="AM1384" s="97"/>
      <c r="AN1384" s="97"/>
      <c r="AO1384" s="97"/>
      <c r="AP1384" s="97"/>
      <c r="AQ1384" s="97"/>
    </row>
    <row r="1385" spans="2:43" s="101" customFormat="1" ht="15" customHeight="1">
      <c r="B1385" s="104"/>
      <c r="C1385" s="104"/>
      <c r="D1385" s="104"/>
      <c r="E1385" s="104"/>
      <c r="F1385" s="104"/>
      <c r="G1385" s="104"/>
      <c r="H1385" s="104"/>
      <c r="I1385" s="104"/>
      <c r="J1385" s="104"/>
      <c r="K1385" s="104"/>
      <c r="L1385" s="104"/>
      <c r="R1385" s="105"/>
      <c r="S1385" s="105"/>
      <c r="T1385" s="105"/>
      <c r="U1385" s="105"/>
      <c r="V1385" s="105"/>
      <c r="W1385" s="105"/>
      <c r="AD1385" s="106"/>
      <c r="AE1385" s="97"/>
      <c r="AF1385" s="97"/>
      <c r="AG1385" s="97"/>
      <c r="AH1385" s="97"/>
      <c r="AI1385" s="97"/>
      <c r="AJ1385" s="97"/>
      <c r="AK1385" s="97"/>
      <c r="AL1385" s="97"/>
      <c r="AM1385" s="97"/>
      <c r="AN1385" s="97"/>
      <c r="AO1385" s="97"/>
      <c r="AP1385" s="97"/>
      <c r="AQ1385" s="97"/>
    </row>
    <row r="1386" spans="2:43" s="101" customFormat="1" ht="15" customHeight="1">
      <c r="B1386" s="104"/>
      <c r="C1386" s="104"/>
      <c r="D1386" s="104"/>
      <c r="E1386" s="104"/>
      <c r="F1386" s="104"/>
      <c r="G1386" s="104"/>
      <c r="H1386" s="104"/>
      <c r="I1386" s="104"/>
      <c r="J1386" s="104"/>
      <c r="K1386" s="104"/>
      <c r="L1386" s="104"/>
      <c r="R1386" s="105"/>
      <c r="S1386" s="105"/>
      <c r="T1386" s="105"/>
      <c r="U1386" s="105"/>
      <c r="V1386" s="105"/>
      <c r="W1386" s="105"/>
      <c r="AD1386" s="106"/>
      <c r="AE1386" s="97"/>
      <c r="AF1386" s="97"/>
      <c r="AG1386" s="97"/>
      <c r="AH1386" s="97"/>
      <c r="AI1386" s="97"/>
      <c r="AJ1386" s="97"/>
      <c r="AK1386" s="97"/>
      <c r="AL1386" s="97"/>
      <c r="AM1386" s="97"/>
      <c r="AN1386" s="97"/>
      <c r="AO1386" s="97"/>
      <c r="AP1386" s="97"/>
      <c r="AQ1386" s="97"/>
    </row>
    <row r="1387" spans="2:43" s="101" customFormat="1" ht="15" customHeight="1">
      <c r="B1387" s="104"/>
      <c r="C1387" s="104"/>
      <c r="D1387" s="104"/>
      <c r="E1387" s="104"/>
      <c r="F1387" s="104"/>
      <c r="G1387" s="104"/>
      <c r="H1387" s="104"/>
      <c r="I1387" s="104"/>
      <c r="J1387" s="104"/>
      <c r="K1387" s="104"/>
      <c r="L1387" s="104"/>
      <c r="R1387" s="105"/>
      <c r="S1387" s="105"/>
      <c r="T1387" s="105"/>
      <c r="U1387" s="105"/>
      <c r="V1387" s="105"/>
      <c r="W1387" s="105"/>
      <c r="AD1387" s="106"/>
      <c r="AE1387" s="97"/>
      <c r="AF1387" s="97"/>
      <c r="AG1387" s="97"/>
      <c r="AH1387" s="97"/>
      <c r="AI1387" s="97"/>
      <c r="AJ1387" s="97"/>
      <c r="AK1387" s="97"/>
      <c r="AL1387" s="97"/>
      <c r="AM1387" s="97"/>
      <c r="AN1387" s="97"/>
      <c r="AO1387" s="97"/>
      <c r="AP1387" s="97"/>
      <c r="AQ1387" s="97"/>
    </row>
    <row r="1388" spans="2:43" s="101" customFormat="1" ht="15" customHeight="1">
      <c r="B1388" s="104"/>
      <c r="C1388" s="104"/>
      <c r="D1388" s="104"/>
      <c r="E1388" s="104"/>
      <c r="F1388" s="104"/>
      <c r="G1388" s="104"/>
      <c r="H1388" s="104"/>
      <c r="I1388" s="104"/>
      <c r="J1388" s="104"/>
      <c r="K1388" s="104"/>
      <c r="L1388" s="104"/>
      <c r="R1388" s="105"/>
      <c r="S1388" s="105"/>
      <c r="T1388" s="105"/>
      <c r="U1388" s="105"/>
      <c r="V1388" s="105"/>
      <c r="W1388" s="105"/>
      <c r="AD1388" s="106"/>
      <c r="AE1388" s="97"/>
      <c r="AF1388" s="97"/>
      <c r="AG1388" s="97"/>
      <c r="AH1388" s="97"/>
      <c r="AI1388" s="97"/>
      <c r="AJ1388" s="97"/>
      <c r="AK1388" s="97"/>
      <c r="AL1388" s="97"/>
      <c r="AM1388" s="97"/>
      <c r="AN1388" s="97"/>
      <c r="AO1388" s="97"/>
      <c r="AP1388" s="97"/>
      <c r="AQ1388" s="97"/>
    </row>
    <row r="1389" spans="2:43" s="101" customFormat="1" ht="15" customHeight="1">
      <c r="B1389" s="104"/>
      <c r="C1389" s="104"/>
      <c r="D1389" s="104"/>
      <c r="E1389" s="104"/>
      <c r="F1389" s="104"/>
      <c r="G1389" s="104"/>
      <c r="H1389" s="104"/>
      <c r="I1389" s="104"/>
      <c r="J1389" s="104"/>
      <c r="K1389" s="104"/>
      <c r="L1389" s="104"/>
      <c r="R1389" s="105"/>
      <c r="S1389" s="105"/>
      <c r="T1389" s="105"/>
      <c r="U1389" s="105"/>
      <c r="V1389" s="105"/>
      <c r="W1389" s="105"/>
      <c r="AD1389" s="106"/>
      <c r="AE1389" s="97"/>
      <c r="AF1389" s="97"/>
      <c r="AG1389" s="97"/>
      <c r="AH1389" s="97"/>
      <c r="AI1389" s="97"/>
      <c r="AJ1389" s="97"/>
      <c r="AK1389" s="97"/>
      <c r="AL1389" s="97"/>
      <c r="AM1389" s="97"/>
      <c r="AN1389" s="97"/>
      <c r="AO1389" s="97"/>
      <c r="AP1389" s="97"/>
      <c r="AQ1389" s="97"/>
    </row>
    <row r="1390" spans="2:43" s="101" customFormat="1" ht="15" customHeight="1">
      <c r="B1390" s="104"/>
      <c r="C1390" s="104"/>
      <c r="D1390" s="104"/>
      <c r="E1390" s="104"/>
      <c r="F1390" s="104"/>
      <c r="G1390" s="104"/>
      <c r="H1390" s="104"/>
      <c r="I1390" s="104"/>
      <c r="J1390" s="104"/>
      <c r="K1390" s="104"/>
      <c r="L1390" s="104"/>
      <c r="R1390" s="105"/>
      <c r="S1390" s="105"/>
      <c r="T1390" s="105"/>
      <c r="U1390" s="105"/>
      <c r="V1390" s="105"/>
      <c r="W1390" s="105"/>
      <c r="AD1390" s="106"/>
      <c r="AE1390" s="97"/>
      <c r="AF1390" s="97"/>
      <c r="AG1390" s="97"/>
      <c r="AH1390" s="97"/>
      <c r="AI1390" s="97"/>
      <c r="AJ1390" s="97"/>
      <c r="AK1390" s="97"/>
      <c r="AL1390" s="97"/>
      <c r="AM1390" s="97"/>
      <c r="AN1390" s="97"/>
      <c r="AO1390" s="97"/>
      <c r="AP1390" s="97"/>
      <c r="AQ1390" s="97"/>
    </row>
    <row r="1391" spans="2:43" s="101" customFormat="1" ht="15" customHeight="1">
      <c r="B1391" s="104"/>
      <c r="C1391" s="104"/>
      <c r="D1391" s="104"/>
      <c r="E1391" s="104"/>
      <c r="F1391" s="104"/>
      <c r="G1391" s="104"/>
      <c r="H1391" s="104"/>
      <c r="I1391" s="104"/>
      <c r="J1391" s="104"/>
      <c r="K1391" s="104"/>
      <c r="L1391" s="104"/>
      <c r="R1391" s="105"/>
      <c r="S1391" s="105"/>
      <c r="T1391" s="105"/>
      <c r="U1391" s="105"/>
      <c r="V1391" s="105"/>
      <c r="W1391" s="105"/>
      <c r="AD1391" s="106"/>
      <c r="AE1391" s="97"/>
      <c r="AF1391" s="97"/>
      <c r="AG1391" s="97"/>
      <c r="AH1391" s="97"/>
      <c r="AI1391" s="97"/>
      <c r="AJ1391" s="97"/>
      <c r="AK1391" s="97"/>
      <c r="AL1391" s="97"/>
      <c r="AM1391" s="97"/>
      <c r="AN1391" s="97"/>
      <c r="AO1391" s="97"/>
      <c r="AP1391" s="97"/>
      <c r="AQ1391" s="97"/>
    </row>
    <row r="1392" spans="2:43" s="101" customFormat="1" ht="15" customHeight="1">
      <c r="B1392" s="104"/>
      <c r="C1392" s="104"/>
      <c r="D1392" s="104"/>
      <c r="E1392" s="104"/>
      <c r="F1392" s="104"/>
      <c r="G1392" s="104"/>
      <c r="H1392" s="104"/>
      <c r="I1392" s="104"/>
      <c r="J1392" s="104"/>
      <c r="K1392" s="104"/>
      <c r="L1392" s="104"/>
      <c r="R1392" s="105"/>
      <c r="S1392" s="105"/>
      <c r="T1392" s="105"/>
      <c r="U1392" s="105"/>
      <c r="V1392" s="105"/>
      <c r="W1392" s="105"/>
      <c r="AD1392" s="106"/>
      <c r="AE1392" s="97"/>
      <c r="AF1392" s="97"/>
      <c r="AG1392" s="97"/>
      <c r="AH1392" s="97"/>
      <c r="AI1392" s="97"/>
      <c r="AJ1392" s="97"/>
      <c r="AK1392" s="97"/>
      <c r="AL1392" s="97"/>
      <c r="AM1392" s="97"/>
      <c r="AN1392" s="97"/>
      <c r="AO1392" s="97"/>
      <c r="AP1392" s="97"/>
      <c r="AQ1392" s="97"/>
    </row>
    <row r="1393" spans="2:43" s="101" customFormat="1" ht="15" customHeight="1">
      <c r="B1393" s="104"/>
      <c r="C1393" s="104"/>
      <c r="D1393" s="104"/>
      <c r="E1393" s="104"/>
      <c r="F1393" s="104"/>
      <c r="G1393" s="104"/>
      <c r="H1393" s="104"/>
      <c r="I1393" s="104"/>
      <c r="J1393" s="104"/>
      <c r="K1393" s="104"/>
      <c r="L1393" s="104"/>
      <c r="R1393" s="105"/>
      <c r="S1393" s="105"/>
      <c r="T1393" s="105"/>
      <c r="U1393" s="105"/>
      <c r="V1393" s="105"/>
      <c r="W1393" s="105"/>
      <c r="AD1393" s="106"/>
      <c r="AE1393" s="97"/>
      <c r="AF1393" s="97"/>
      <c r="AG1393" s="97"/>
      <c r="AH1393" s="97"/>
      <c r="AI1393" s="97"/>
      <c r="AJ1393" s="97"/>
      <c r="AK1393" s="97"/>
      <c r="AL1393" s="97"/>
      <c r="AM1393" s="97"/>
      <c r="AN1393" s="97"/>
      <c r="AO1393" s="97"/>
      <c r="AP1393" s="97"/>
      <c r="AQ1393" s="97"/>
    </row>
    <row r="1394" spans="2:43" s="101" customFormat="1" ht="15" customHeight="1">
      <c r="B1394" s="104"/>
      <c r="C1394" s="104"/>
      <c r="D1394" s="104"/>
      <c r="E1394" s="104"/>
      <c r="F1394" s="104"/>
      <c r="G1394" s="104"/>
      <c r="H1394" s="104"/>
      <c r="I1394" s="104"/>
      <c r="J1394" s="104"/>
      <c r="K1394" s="104"/>
      <c r="L1394" s="104"/>
      <c r="R1394" s="105"/>
      <c r="S1394" s="105"/>
      <c r="T1394" s="105"/>
      <c r="U1394" s="105"/>
      <c r="V1394" s="105"/>
      <c r="W1394" s="105"/>
      <c r="AD1394" s="106"/>
      <c r="AE1394" s="97"/>
      <c r="AF1394" s="97"/>
      <c r="AG1394" s="97"/>
      <c r="AH1394" s="97"/>
      <c r="AI1394" s="97"/>
      <c r="AJ1394" s="97"/>
      <c r="AK1394" s="97"/>
      <c r="AL1394" s="97"/>
      <c r="AM1394" s="97"/>
      <c r="AN1394" s="97"/>
      <c r="AO1394" s="97"/>
      <c r="AP1394" s="97"/>
      <c r="AQ1394" s="97"/>
    </row>
    <row r="1395" spans="2:43" s="101" customFormat="1" ht="15" customHeight="1">
      <c r="B1395" s="104"/>
      <c r="C1395" s="104"/>
      <c r="D1395" s="104"/>
      <c r="E1395" s="104"/>
      <c r="F1395" s="104"/>
      <c r="G1395" s="104"/>
      <c r="H1395" s="104"/>
      <c r="I1395" s="104"/>
      <c r="J1395" s="104"/>
      <c r="K1395" s="104"/>
      <c r="L1395" s="104"/>
      <c r="R1395" s="105"/>
      <c r="S1395" s="105"/>
      <c r="T1395" s="105"/>
      <c r="U1395" s="105"/>
      <c r="V1395" s="105"/>
      <c r="W1395" s="105"/>
      <c r="AD1395" s="106"/>
      <c r="AE1395" s="97"/>
      <c r="AF1395" s="97"/>
      <c r="AG1395" s="97"/>
      <c r="AH1395" s="97"/>
      <c r="AI1395" s="97"/>
      <c r="AJ1395" s="97"/>
      <c r="AK1395" s="97"/>
      <c r="AL1395" s="97"/>
      <c r="AM1395" s="97"/>
      <c r="AN1395" s="97"/>
      <c r="AO1395" s="97"/>
      <c r="AP1395" s="97"/>
      <c r="AQ1395" s="97"/>
    </row>
    <row r="1396" spans="2:43" s="101" customFormat="1" ht="15" customHeight="1">
      <c r="B1396" s="104"/>
      <c r="C1396" s="104"/>
      <c r="D1396" s="104"/>
      <c r="E1396" s="104"/>
      <c r="F1396" s="104"/>
      <c r="G1396" s="104"/>
      <c r="H1396" s="104"/>
      <c r="I1396" s="104"/>
      <c r="J1396" s="104"/>
      <c r="K1396" s="104"/>
      <c r="L1396" s="104"/>
      <c r="R1396" s="105"/>
      <c r="S1396" s="105"/>
      <c r="T1396" s="105"/>
      <c r="U1396" s="105"/>
      <c r="V1396" s="105"/>
      <c r="W1396" s="105"/>
      <c r="AD1396" s="106"/>
      <c r="AE1396" s="97"/>
      <c r="AF1396" s="97"/>
      <c r="AG1396" s="97"/>
      <c r="AH1396" s="97"/>
      <c r="AI1396" s="97"/>
      <c r="AJ1396" s="97"/>
      <c r="AK1396" s="97"/>
      <c r="AL1396" s="97"/>
      <c r="AM1396" s="97"/>
      <c r="AN1396" s="97"/>
      <c r="AO1396" s="97"/>
      <c r="AP1396" s="97"/>
      <c r="AQ1396" s="97"/>
    </row>
    <row r="1397" spans="2:43" s="101" customFormat="1" ht="15" customHeight="1">
      <c r="B1397" s="104"/>
      <c r="C1397" s="104"/>
      <c r="D1397" s="104"/>
      <c r="E1397" s="104"/>
      <c r="F1397" s="104"/>
      <c r="G1397" s="104"/>
      <c r="H1397" s="104"/>
      <c r="I1397" s="104"/>
      <c r="J1397" s="104"/>
      <c r="K1397" s="104"/>
      <c r="L1397" s="104"/>
      <c r="R1397" s="105"/>
      <c r="S1397" s="105"/>
      <c r="T1397" s="105"/>
      <c r="U1397" s="105"/>
      <c r="V1397" s="105"/>
      <c r="W1397" s="105"/>
      <c r="AD1397" s="106"/>
      <c r="AE1397" s="97"/>
      <c r="AF1397" s="97"/>
      <c r="AG1397" s="97"/>
      <c r="AH1397" s="97"/>
      <c r="AI1397" s="97"/>
      <c r="AJ1397" s="97"/>
      <c r="AK1397" s="97"/>
      <c r="AL1397" s="97"/>
      <c r="AM1397" s="97"/>
      <c r="AN1397" s="97"/>
      <c r="AO1397" s="97"/>
      <c r="AP1397" s="97"/>
      <c r="AQ1397" s="97"/>
    </row>
    <row r="1398" spans="2:43" s="101" customFormat="1" ht="15" customHeight="1">
      <c r="B1398" s="104"/>
      <c r="C1398" s="104"/>
      <c r="D1398" s="104"/>
      <c r="E1398" s="104"/>
      <c r="F1398" s="104"/>
      <c r="G1398" s="104"/>
      <c r="H1398" s="104"/>
      <c r="I1398" s="104"/>
      <c r="J1398" s="104"/>
      <c r="K1398" s="104"/>
      <c r="L1398" s="104"/>
      <c r="R1398" s="105"/>
      <c r="S1398" s="105"/>
      <c r="T1398" s="105"/>
      <c r="U1398" s="105"/>
      <c r="V1398" s="105"/>
      <c r="W1398" s="105"/>
      <c r="AD1398" s="106"/>
      <c r="AE1398" s="97"/>
      <c r="AF1398" s="97"/>
      <c r="AG1398" s="97"/>
      <c r="AH1398" s="97"/>
      <c r="AI1398" s="97"/>
      <c r="AJ1398" s="97"/>
      <c r="AK1398" s="97"/>
      <c r="AL1398" s="97"/>
      <c r="AM1398" s="97"/>
      <c r="AN1398" s="97"/>
      <c r="AO1398" s="97"/>
      <c r="AP1398" s="97"/>
      <c r="AQ1398" s="97"/>
    </row>
    <row r="1399" spans="2:43" s="101" customFormat="1" ht="15" customHeight="1">
      <c r="B1399" s="104"/>
      <c r="C1399" s="104"/>
      <c r="D1399" s="104"/>
      <c r="E1399" s="104"/>
      <c r="F1399" s="104"/>
      <c r="G1399" s="104"/>
      <c r="H1399" s="104"/>
      <c r="I1399" s="104"/>
      <c r="J1399" s="104"/>
      <c r="K1399" s="104"/>
      <c r="L1399" s="104"/>
      <c r="R1399" s="105"/>
      <c r="S1399" s="105"/>
      <c r="T1399" s="105"/>
      <c r="U1399" s="105"/>
      <c r="V1399" s="105"/>
      <c r="W1399" s="105"/>
      <c r="AD1399" s="106"/>
      <c r="AE1399" s="97"/>
      <c r="AF1399" s="97"/>
      <c r="AG1399" s="97"/>
      <c r="AH1399" s="97"/>
      <c r="AI1399" s="97"/>
      <c r="AJ1399" s="97"/>
      <c r="AK1399" s="97"/>
      <c r="AL1399" s="97"/>
      <c r="AM1399" s="97"/>
      <c r="AN1399" s="97"/>
      <c r="AO1399" s="97"/>
      <c r="AP1399" s="97"/>
      <c r="AQ1399" s="97"/>
    </row>
    <row r="1400" spans="2:43" s="101" customFormat="1" ht="15" customHeight="1">
      <c r="B1400" s="104"/>
      <c r="C1400" s="104"/>
      <c r="D1400" s="104"/>
      <c r="E1400" s="104"/>
      <c r="F1400" s="104"/>
      <c r="G1400" s="104"/>
      <c r="H1400" s="104"/>
      <c r="I1400" s="104"/>
      <c r="J1400" s="104"/>
      <c r="K1400" s="104"/>
      <c r="L1400" s="104"/>
      <c r="R1400" s="105"/>
      <c r="S1400" s="105"/>
      <c r="T1400" s="105"/>
      <c r="U1400" s="105"/>
      <c r="V1400" s="105"/>
      <c r="W1400" s="105"/>
      <c r="AD1400" s="106"/>
      <c r="AE1400" s="97"/>
      <c r="AF1400" s="97"/>
      <c r="AG1400" s="97"/>
      <c r="AH1400" s="97"/>
      <c r="AI1400" s="97"/>
      <c r="AJ1400" s="97"/>
      <c r="AK1400" s="97"/>
      <c r="AL1400" s="97"/>
      <c r="AM1400" s="97"/>
      <c r="AN1400" s="97"/>
      <c r="AO1400" s="97"/>
      <c r="AP1400" s="97"/>
      <c r="AQ1400" s="97"/>
    </row>
    <row r="1401" spans="2:43" s="101" customFormat="1" ht="15" customHeight="1">
      <c r="B1401" s="104"/>
      <c r="C1401" s="104"/>
      <c r="D1401" s="104"/>
      <c r="E1401" s="104"/>
      <c r="F1401" s="104"/>
      <c r="G1401" s="104"/>
      <c r="H1401" s="104"/>
      <c r="I1401" s="104"/>
      <c r="J1401" s="104"/>
      <c r="K1401" s="104"/>
      <c r="L1401" s="104"/>
      <c r="R1401" s="105"/>
      <c r="S1401" s="105"/>
      <c r="T1401" s="105"/>
      <c r="U1401" s="105"/>
      <c r="V1401" s="105"/>
      <c r="W1401" s="105"/>
      <c r="AD1401" s="106"/>
      <c r="AE1401" s="97"/>
      <c r="AF1401" s="97"/>
      <c r="AG1401" s="97"/>
      <c r="AH1401" s="97"/>
      <c r="AI1401" s="97"/>
      <c r="AJ1401" s="97"/>
      <c r="AK1401" s="97"/>
      <c r="AL1401" s="97"/>
      <c r="AM1401" s="97"/>
      <c r="AN1401" s="97"/>
      <c r="AO1401" s="97"/>
      <c r="AP1401" s="97"/>
      <c r="AQ1401" s="97"/>
    </row>
    <row r="1402" spans="2:43" s="101" customFormat="1" ht="15" customHeight="1">
      <c r="B1402" s="104"/>
      <c r="C1402" s="104"/>
      <c r="D1402" s="104"/>
      <c r="E1402" s="104"/>
      <c r="F1402" s="104"/>
      <c r="G1402" s="104"/>
      <c r="H1402" s="104"/>
      <c r="I1402" s="104"/>
      <c r="J1402" s="104"/>
      <c r="K1402" s="104"/>
      <c r="L1402" s="104"/>
      <c r="R1402" s="105"/>
      <c r="S1402" s="105"/>
      <c r="T1402" s="105"/>
      <c r="U1402" s="105"/>
      <c r="V1402" s="105"/>
      <c r="W1402" s="105"/>
      <c r="AD1402" s="106"/>
      <c r="AE1402" s="97"/>
      <c r="AF1402" s="97"/>
      <c r="AG1402" s="97"/>
      <c r="AH1402" s="97"/>
      <c r="AI1402" s="97"/>
      <c r="AJ1402" s="97"/>
      <c r="AK1402" s="97"/>
      <c r="AL1402" s="97"/>
      <c r="AM1402" s="97"/>
      <c r="AN1402" s="97"/>
      <c r="AO1402" s="97"/>
      <c r="AP1402" s="97"/>
      <c r="AQ1402" s="97"/>
    </row>
    <row r="1403" spans="2:43" s="101" customFormat="1" ht="15" customHeight="1">
      <c r="B1403" s="104"/>
      <c r="C1403" s="104"/>
      <c r="D1403" s="104"/>
      <c r="E1403" s="104"/>
      <c r="F1403" s="104"/>
      <c r="G1403" s="104"/>
      <c r="H1403" s="104"/>
      <c r="I1403" s="104"/>
      <c r="J1403" s="104"/>
      <c r="K1403" s="104"/>
      <c r="L1403" s="104"/>
      <c r="R1403" s="105"/>
      <c r="S1403" s="105"/>
      <c r="T1403" s="105"/>
      <c r="U1403" s="105"/>
      <c r="V1403" s="105"/>
      <c r="W1403" s="105"/>
      <c r="AD1403" s="106"/>
      <c r="AE1403" s="97"/>
      <c r="AF1403" s="97"/>
      <c r="AG1403" s="97"/>
      <c r="AH1403" s="97"/>
      <c r="AI1403" s="97"/>
      <c r="AJ1403" s="97"/>
      <c r="AK1403" s="97"/>
      <c r="AL1403" s="97"/>
      <c r="AM1403" s="97"/>
      <c r="AN1403" s="97"/>
      <c r="AO1403" s="97"/>
      <c r="AP1403" s="97"/>
      <c r="AQ1403" s="97"/>
    </row>
    <row r="1404" spans="2:43" s="101" customFormat="1" ht="15" customHeight="1">
      <c r="B1404" s="104"/>
      <c r="C1404" s="104"/>
      <c r="D1404" s="104"/>
      <c r="E1404" s="104"/>
      <c r="F1404" s="104"/>
      <c r="G1404" s="104"/>
      <c r="H1404" s="104"/>
      <c r="I1404" s="104"/>
      <c r="J1404" s="104"/>
      <c r="K1404" s="104"/>
      <c r="L1404" s="104"/>
      <c r="R1404" s="105"/>
      <c r="S1404" s="105"/>
      <c r="T1404" s="105"/>
      <c r="U1404" s="105"/>
      <c r="V1404" s="105"/>
      <c r="W1404" s="105"/>
      <c r="AD1404" s="106"/>
      <c r="AE1404" s="97"/>
      <c r="AF1404" s="97"/>
      <c r="AG1404" s="97"/>
      <c r="AH1404" s="97"/>
      <c r="AI1404" s="97"/>
      <c r="AJ1404" s="97"/>
      <c r="AK1404" s="97"/>
      <c r="AL1404" s="97"/>
      <c r="AM1404" s="97"/>
      <c r="AN1404" s="97"/>
      <c r="AO1404" s="97"/>
      <c r="AP1404" s="97"/>
      <c r="AQ1404" s="97"/>
    </row>
    <row r="1405" spans="2:43" s="101" customFormat="1" ht="15" customHeight="1">
      <c r="B1405" s="104"/>
      <c r="C1405" s="104"/>
      <c r="D1405" s="104"/>
      <c r="E1405" s="104"/>
      <c r="F1405" s="104"/>
      <c r="G1405" s="104"/>
      <c r="H1405" s="104"/>
      <c r="I1405" s="104"/>
      <c r="J1405" s="104"/>
      <c r="K1405" s="104"/>
      <c r="L1405" s="104"/>
      <c r="R1405" s="105"/>
      <c r="S1405" s="105"/>
      <c r="T1405" s="105"/>
      <c r="U1405" s="105"/>
      <c r="V1405" s="105"/>
      <c r="W1405" s="105"/>
      <c r="AD1405" s="106"/>
      <c r="AE1405" s="97"/>
      <c r="AF1405" s="97"/>
      <c r="AG1405" s="97"/>
      <c r="AH1405" s="97"/>
      <c r="AI1405" s="97"/>
      <c r="AJ1405" s="97"/>
      <c r="AK1405" s="97"/>
      <c r="AL1405" s="97"/>
      <c r="AM1405" s="97"/>
      <c r="AN1405" s="97"/>
      <c r="AO1405" s="97"/>
      <c r="AP1405" s="97"/>
      <c r="AQ1405" s="97"/>
    </row>
    <row r="1406" spans="2:43" s="101" customFormat="1" ht="15" customHeight="1">
      <c r="B1406" s="104"/>
      <c r="C1406" s="104"/>
      <c r="D1406" s="104"/>
      <c r="E1406" s="104"/>
      <c r="F1406" s="104"/>
      <c r="G1406" s="104"/>
      <c r="H1406" s="104"/>
      <c r="I1406" s="104"/>
      <c r="J1406" s="104"/>
      <c r="K1406" s="104"/>
      <c r="L1406" s="104"/>
      <c r="R1406" s="105"/>
      <c r="S1406" s="105"/>
      <c r="T1406" s="105"/>
      <c r="U1406" s="105"/>
      <c r="V1406" s="105"/>
      <c r="W1406" s="105"/>
      <c r="AD1406" s="106"/>
      <c r="AE1406" s="97"/>
      <c r="AF1406" s="97"/>
      <c r="AG1406" s="97"/>
      <c r="AH1406" s="97"/>
      <c r="AI1406" s="97"/>
      <c r="AJ1406" s="97"/>
      <c r="AK1406" s="97"/>
      <c r="AL1406" s="97"/>
      <c r="AM1406" s="97"/>
      <c r="AN1406" s="97"/>
      <c r="AO1406" s="97"/>
      <c r="AP1406" s="97"/>
      <c r="AQ1406" s="97"/>
    </row>
    <row r="1407" spans="2:43" s="101" customFormat="1" ht="15" customHeight="1">
      <c r="B1407" s="104"/>
      <c r="C1407" s="104"/>
      <c r="D1407" s="104"/>
      <c r="E1407" s="104"/>
      <c r="F1407" s="104"/>
      <c r="G1407" s="104"/>
      <c r="H1407" s="104"/>
      <c r="I1407" s="104"/>
      <c r="J1407" s="104"/>
      <c r="K1407" s="104"/>
      <c r="L1407" s="104"/>
      <c r="R1407" s="105"/>
      <c r="S1407" s="105"/>
      <c r="T1407" s="105"/>
      <c r="U1407" s="105"/>
      <c r="V1407" s="105"/>
      <c r="W1407" s="105"/>
      <c r="AD1407" s="106"/>
      <c r="AE1407" s="97"/>
      <c r="AF1407" s="97"/>
      <c r="AG1407" s="97"/>
      <c r="AH1407" s="97"/>
      <c r="AI1407" s="97"/>
      <c r="AJ1407" s="97"/>
      <c r="AK1407" s="97"/>
      <c r="AL1407" s="97"/>
      <c r="AM1407" s="97"/>
      <c r="AN1407" s="97"/>
      <c r="AO1407" s="97"/>
      <c r="AP1407" s="97"/>
      <c r="AQ1407" s="97"/>
    </row>
    <row r="1408" spans="2:43" s="101" customFormat="1" ht="15" customHeight="1">
      <c r="B1408" s="104"/>
      <c r="C1408" s="104"/>
      <c r="D1408" s="104"/>
      <c r="E1408" s="104"/>
      <c r="F1408" s="104"/>
      <c r="G1408" s="104"/>
      <c r="H1408" s="104"/>
      <c r="I1408" s="104"/>
      <c r="J1408" s="104"/>
      <c r="K1408" s="104"/>
      <c r="L1408" s="104"/>
      <c r="R1408" s="105"/>
      <c r="S1408" s="105"/>
      <c r="T1408" s="105"/>
      <c r="U1408" s="105"/>
      <c r="V1408" s="105"/>
      <c r="W1408" s="105"/>
      <c r="AD1408" s="106"/>
      <c r="AE1408" s="97"/>
      <c r="AF1408" s="97"/>
      <c r="AG1408" s="97"/>
      <c r="AH1408" s="97"/>
      <c r="AI1408" s="97"/>
      <c r="AJ1408" s="97"/>
      <c r="AK1408" s="97"/>
      <c r="AL1408" s="97"/>
      <c r="AM1408" s="97"/>
      <c r="AN1408" s="97"/>
      <c r="AO1408" s="97"/>
      <c r="AP1408" s="97"/>
      <c r="AQ1408" s="97"/>
    </row>
    <row r="1409" spans="2:43" s="101" customFormat="1" ht="15" customHeight="1">
      <c r="B1409" s="104"/>
      <c r="C1409" s="104"/>
      <c r="D1409" s="104"/>
      <c r="E1409" s="104"/>
      <c r="F1409" s="104"/>
      <c r="G1409" s="104"/>
      <c r="H1409" s="104"/>
      <c r="I1409" s="104"/>
      <c r="J1409" s="104"/>
      <c r="K1409" s="104"/>
      <c r="L1409" s="104"/>
      <c r="R1409" s="105"/>
      <c r="S1409" s="105"/>
      <c r="T1409" s="105"/>
      <c r="U1409" s="105"/>
      <c r="V1409" s="105"/>
      <c r="W1409" s="105"/>
      <c r="AD1409" s="106"/>
      <c r="AE1409" s="97"/>
      <c r="AF1409" s="97"/>
      <c r="AG1409" s="97"/>
      <c r="AH1409" s="97"/>
      <c r="AI1409" s="97"/>
      <c r="AJ1409" s="97"/>
      <c r="AK1409" s="97"/>
      <c r="AL1409" s="97"/>
      <c r="AM1409" s="97"/>
      <c r="AN1409" s="97"/>
      <c r="AO1409" s="97"/>
      <c r="AP1409" s="97"/>
      <c r="AQ1409" s="97"/>
    </row>
    <row r="1410" spans="2:43" s="101" customFormat="1" ht="15" customHeight="1">
      <c r="B1410" s="104"/>
      <c r="C1410" s="104"/>
      <c r="D1410" s="104"/>
      <c r="E1410" s="104"/>
      <c r="F1410" s="104"/>
      <c r="G1410" s="104"/>
      <c r="H1410" s="104"/>
      <c r="I1410" s="104"/>
      <c r="J1410" s="104"/>
      <c r="K1410" s="104"/>
      <c r="L1410" s="104"/>
      <c r="R1410" s="105"/>
      <c r="S1410" s="105"/>
      <c r="T1410" s="105"/>
      <c r="U1410" s="105"/>
      <c r="V1410" s="105"/>
      <c r="W1410" s="105"/>
      <c r="AD1410" s="106"/>
      <c r="AE1410" s="97"/>
      <c r="AF1410" s="97"/>
      <c r="AG1410" s="97"/>
      <c r="AH1410" s="97"/>
      <c r="AI1410" s="97"/>
      <c r="AJ1410" s="97"/>
      <c r="AK1410" s="97"/>
      <c r="AL1410" s="97"/>
      <c r="AM1410" s="97"/>
      <c r="AN1410" s="97"/>
      <c r="AO1410" s="97"/>
      <c r="AP1410" s="97"/>
      <c r="AQ1410" s="97"/>
    </row>
    <row r="1411" spans="2:43" s="101" customFormat="1" ht="15" customHeight="1">
      <c r="B1411" s="104"/>
      <c r="C1411" s="104"/>
      <c r="D1411" s="104"/>
      <c r="E1411" s="104"/>
      <c r="F1411" s="104"/>
      <c r="G1411" s="104"/>
      <c r="H1411" s="104"/>
      <c r="I1411" s="104"/>
      <c r="J1411" s="104"/>
      <c r="K1411" s="104"/>
      <c r="L1411" s="104"/>
      <c r="R1411" s="105"/>
      <c r="S1411" s="105"/>
      <c r="T1411" s="105"/>
      <c r="U1411" s="105"/>
      <c r="V1411" s="105"/>
      <c r="W1411" s="105"/>
      <c r="AD1411" s="106"/>
      <c r="AE1411" s="97"/>
      <c r="AF1411" s="97"/>
      <c r="AG1411" s="97"/>
      <c r="AH1411" s="97"/>
      <c r="AI1411" s="97"/>
      <c r="AJ1411" s="97"/>
      <c r="AK1411" s="97"/>
      <c r="AL1411" s="97"/>
      <c r="AM1411" s="97"/>
      <c r="AN1411" s="97"/>
      <c r="AO1411" s="97"/>
      <c r="AP1411" s="97"/>
      <c r="AQ1411" s="97"/>
    </row>
    <row r="1412" spans="2:43" s="101" customFormat="1" ht="15" customHeight="1">
      <c r="B1412" s="104"/>
      <c r="C1412" s="104"/>
      <c r="D1412" s="104"/>
      <c r="E1412" s="104"/>
      <c r="F1412" s="104"/>
      <c r="G1412" s="104"/>
      <c r="H1412" s="104"/>
      <c r="I1412" s="104"/>
      <c r="J1412" s="104"/>
      <c r="K1412" s="104"/>
      <c r="L1412" s="104"/>
      <c r="R1412" s="105"/>
      <c r="S1412" s="105"/>
      <c r="T1412" s="105"/>
      <c r="U1412" s="105"/>
      <c r="V1412" s="105"/>
      <c r="W1412" s="105"/>
      <c r="AD1412" s="106"/>
      <c r="AE1412" s="97"/>
      <c r="AF1412" s="97"/>
      <c r="AG1412" s="97"/>
      <c r="AH1412" s="97"/>
      <c r="AI1412" s="97"/>
      <c r="AJ1412" s="97"/>
      <c r="AK1412" s="97"/>
      <c r="AL1412" s="97"/>
      <c r="AM1412" s="97"/>
      <c r="AN1412" s="97"/>
      <c r="AO1412" s="97"/>
      <c r="AP1412" s="97"/>
      <c r="AQ1412" s="97"/>
    </row>
    <row r="1413" spans="2:43" s="101" customFormat="1" ht="15" customHeight="1">
      <c r="B1413" s="104"/>
      <c r="C1413" s="104"/>
      <c r="D1413" s="104"/>
      <c r="E1413" s="104"/>
      <c r="F1413" s="104"/>
      <c r="G1413" s="104"/>
      <c r="H1413" s="104"/>
      <c r="I1413" s="104"/>
      <c r="J1413" s="104"/>
      <c r="K1413" s="104"/>
      <c r="L1413" s="104"/>
      <c r="R1413" s="105"/>
      <c r="S1413" s="105"/>
      <c r="T1413" s="105"/>
      <c r="U1413" s="105"/>
      <c r="V1413" s="105"/>
      <c r="W1413" s="105"/>
      <c r="AD1413" s="106"/>
      <c r="AE1413" s="97"/>
      <c r="AF1413" s="97"/>
      <c r="AG1413" s="97"/>
      <c r="AH1413" s="97"/>
      <c r="AI1413" s="97"/>
      <c r="AJ1413" s="97"/>
      <c r="AK1413" s="97"/>
      <c r="AL1413" s="97"/>
      <c r="AM1413" s="97"/>
      <c r="AN1413" s="97"/>
      <c r="AO1413" s="97"/>
      <c r="AP1413" s="97"/>
      <c r="AQ1413" s="97"/>
    </row>
    <row r="1414" spans="2:43" s="101" customFormat="1" ht="15" customHeight="1">
      <c r="B1414" s="104"/>
      <c r="C1414" s="104"/>
      <c r="D1414" s="104"/>
      <c r="E1414" s="104"/>
      <c r="F1414" s="104"/>
      <c r="G1414" s="104"/>
      <c r="H1414" s="104"/>
      <c r="I1414" s="104"/>
      <c r="J1414" s="104"/>
      <c r="K1414" s="104"/>
      <c r="L1414" s="104"/>
      <c r="R1414" s="105"/>
      <c r="S1414" s="105"/>
      <c r="T1414" s="105"/>
      <c r="U1414" s="105"/>
      <c r="V1414" s="105"/>
      <c r="W1414" s="105"/>
      <c r="AD1414" s="106"/>
      <c r="AE1414" s="97"/>
      <c r="AF1414" s="97"/>
      <c r="AG1414" s="97"/>
      <c r="AH1414" s="97"/>
      <c r="AI1414" s="97"/>
      <c r="AJ1414" s="97"/>
      <c r="AK1414" s="97"/>
      <c r="AL1414" s="97"/>
      <c r="AM1414" s="97"/>
      <c r="AN1414" s="97"/>
      <c r="AO1414" s="97"/>
      <c r="AP1414" s="97"/>
      <c r="AQ1414" s="97"/>
    </row>
    <row r="1415" spans="2:43" s="101" customFormat="1" ht="15" customHeight="1">
      <c r="B1415" s="104"/>
      <c r="C1415" s="104"/>
      <c r="D1415" s="104"/>
      <c r="E1415" s="104"/>
      <c r="F1415" s="104"/>
      <c r="G1415" s="104"/>
      <c r="H1415" s="104"/>
      <c r="I1415" s="104"/>
      <c r="J1415" s="104"/>
      <c r="K1415" s="104"/>
      <c r="L1415" s="104"/>
      <c r="R1415" s="105"/>
      <c r="S1415" s="105"/>
      <c r="T1415" s="105"/>
      <c r="U1415" s="105"/>
      <c r="V1415" s="105"/>
      <c r="W1415" s="105"/>
      <c r="AD1415" s="106"/>
      <c r="AE1415" s="97"/>
      <c r="AF1415" s="97"/>
      <c r="AG1415" s="97"/>
      <c r="AH1415" s="97"/>
      <c r="AI1415" s="97"/>
      <c r="AJ1415" s="97"/>
      <c r="AK1415" s="97"/>
      <c r="AL1415" s="97"/>
      <c r="AM1415" s="97"/>
      <c r="AN1415" s="97"/>
      <c r="AO1415" s="97"/>
      <c r="AP1415" s="97"/>
      <c r="AQ1415" s="97"/>
    </row>
    <row r="1416" spans="2:43" s="101" customFormat="1" ht="15" customHeight="1">
      <c r="B1416" s="104"/>
      <c r="C1416" s="104"/>
      <c r="D1416" s="104"/>
      <c r="E1416" s="104"/>
      <c r="F1416" s="104"/>
      <c r="G1416" s="104"/>
      <c r="H1416" s="104"/>
      <c r="I1416" s="104"/>
      <c r="J1416" s="104"/>
      <c r="K1416" s="104"/>
      <c r="L1416" s="104"/>
      <c r="R1416" s="105"/>
      <c r="S1416" s="105"/>
      <c r="T1416" s="105"/>
      <c r="U1416" s="105"/>
      <c r="V1416" s="105"/>
      <c r="W1416" s="105"/>
      <c r="AD1416" s="106"/>
      <c r="AE1416" s="97"/>
      <c r="AF1416" s="97"/>
      <c r="AG1416" s="97"/>
      <c r="AH1416" s="97"/>
      <c r="AI1416" s="97"/>
      <c r="AJ1416" s="97"/>
      <c r="AK1416" s="97"/>
      <c r="AL1416" s="97"/>
      <c r="AM1416" s="97"/>
      <c r="AN1416" s="97"/>
      <c r="AO1416" s="97"/>
      <c r="AP1416" s="97"/>
      <c r="AQ1416" s="97"/>
    </row>
    <row r="1417" spans="2:43" s="101" customFormat="1" ht="15" customHeight="1">
      <c r="B1417" s="104"/>
      <c r="C1417" s="104"/>
      <c r="D1417" s="104"/>
      <c r="E1417" s="104"/>
      <c r="F1417" s="104"/>
      <c r="G1417" s="104"/>
      <c r="H1417" s="104"/>
      <c r="I1417" s="104"/>
      <c r="J1417" s="104"/>
      <c r="K1417" s="104"/>
      <c r="L1417" s="104"/>
      <c r="R1417" s="105"/>
      <c r="S1417" s="105"/>
      <c r="T1417" s="105"/>
      <c r="U1417" s="105"/>
      <c r="V1417" s="105"/>
      <c r="W1417" s="105"/>
      <c r="AD1417" s="106"/>
      <c r="AE1417" s="97"/>
      <c r="AF1417" s="97"/>
      <c r="AG1417" s="97"/>
      <c r="AH1417" s="97"/>
      <c r="AI1417" s="97"/>
      <c r="AJ1417" s="97"/>
      <c r="AK1417" s="97"/>
      <c r="AL1417" s="97"/>
      <c r="AM1417" s="97"/>
      <c r="AN1417" s="97"/>
      <c r="AO1417" s="97"/>
      <c r="AP1417" s="97"/>
      <c r="AQ1417" s="97"/>
    </row>
    <row r="1418" spans="2:43" s="101" customFormat="1" ht="15" customHeight="1">
      <c r="B1418" s="104"/>
      <c r="C1418" s="104"/>
      <c r="D1418" s="104"/>
      <c r="E1418" s="104"/>
      <c r="F1418" s="104"/>
      <c r="G1418" s="104"/>
      <c r="H1418" s="104"/>
      <c r="I1418" s="104"/>
      <c r="J1418" s="104"/>
      <c r="K1418" s="104"/>
      <c r="L1418" s="104"/>
      <c r="R1418" s="105"/>
      <c r="S1418" s="105"/>
      <c r="T1418" s="105"/>
      <c r="U1418" s="105"/>
      <c r="V1418" s="105"/>
      <c r="W1418" s="105"/>
      <c r="AD1418" s="106"/>
      <c r="AE1418" s="97"/>
      <c r="AF1418" s="97"/>
      <c r="AG1418" s="97"/>
      <c r="AH1418" s="97"/>
      <c r="AI1418" s="97"/>
      <c r="AJ1418" s="97"/>
      <c r="AK1418" s="97"/>
      <c r="AL1418" s="97"/>
      <c r="AM1418" s="97"/>
      <c r="AN1418" s="97"/>
      <c r="AO1418" s="97"/>
      <c r="AP1418" s="97"/>
      <c r="AQ1418" s="97"/>
    </row>
    <row r="1419" spans="2:43" s="101" customFormat="1" ht="15" customHeight="1">
      <c r="B1419" s="104"/>
      <c r="C1419" s="104"/>
      <c r="D1419" s="104"/>
      <c r="E1419" s="104"/>
      <c r="F1419" s="104"/>
      <c r="G1419" s="104"/>
      <c r="H1419" s="104"/>
      <c r="I1419" s="104"/>
      <c r="J1419" s="104"/>
      <c r="K1419" s="104"/>
      <c r="L1419" s="104"/>
      <c r="R1419" s="105"/>
      <c r="S1419" s="105"/>
      <c r="T1419" s="105"/>
      <c r="U1419" s="105"/>
      <c r="V1419" s="105"/>
      <c r="W1419" s="105"/>
      <c r="AD1419" s="106"/>
      <c r="AE1419" s="97"/>
      <c r="AF1419" s="97"/>
      <c r="AG1419" s="97"/>
      <c r="AH1419" s="97"/>
      <c r="AI1419" s="97"/>
      <c r="AJ1419" s="97"/>
      <c r="AK1419" s="97"/>
      <c r="AL1419" s="97"/>
      <c r="AM1419" s="97"/>
      <c r="AN1419" s="97"/>
      <c r="AO1419" s="97"/>
      <c r="AP1419" s="97"/>
      <c r="AQ1419" s="97"/>
    </row>
    <row r="1420" spans="2:43" s="101" customFormat="1" ht="15" customHeight="1">
      <c r="B1420" s="104"/>
      <c r="C1420" s="104"/>
      <c r="D1420" s="104"/>
      <c r="E1420" s="104"/>
      <c r="F1420" s="104"/>
      <c r="G1420" s="104"/>
      <c r="H1420" s="104"/>
      <c r="I1420" s="104"/>
      <c r="J1420" s="104"/>
      <c r="K1420" s="104"/>
      <c r="L1420" s="104"/>
      <c r="R1420" s="105"/>
      <c r="S1420" s="105"/>
      <c r="T1420" s="105"/>
      <c r="U1420" s="105"/>
      <c r="V1420" s="105"/>
      <c r="W1420" s="105"/>
      <c r="AD1420" s="106"/>
      <c r="AE1420" s="97"/>
      <c r="AF1420" s="97"/>
      <c r="AG1420" s="97"/>
      <c r="AH1420" s="97"/>
      <c r="AI1420" s="97"/>
      <c r="AJ1420" s="97"/>
      <c r="AK1420" s="97"/>
      <c r="AL1420" s="97"/>
      <c r="AM1420" s="97"/>
      <c r="AN1420" s="97"/>
      <c r="AO1420" s="97"/>
      <c r="AP1420" s="97"/>
      <c r="AQ1420" s="97"/>
    </row>
    <row r="1421" spans="2:43" s="101" customFormat="1" ht="15" customHeight="1">
      <c r="B1421" s="104"/>
      <c r="C1421" s="104"/>
      <c r="D1421" s="104"/>
      <c r="E1421" s="104"/>
      <c r="F1421" s="104"/>
      <c r="G1421" s="104"/>
      <c r="H1421" s="104"/>
      <c r="I1421" s="104"/>
      <c r="J1421" s="104"/>
      <c r="K1421" s="104"/>
      <c r="L1421" s="104"/>
      <c r="R1421" s="105"/>
      <c r="S1421" s="105"/>
      <c r="T1421" s="105"/>
      <c r="U1421" s="105"/>
      <c r="V1421" s="105"/>
      <c r="W1421" s="105"/>
      <c r="AD1421" s="106"/>
      <c r="AE1421" s="97"/>
      <c r="AF1421" s="97"/>
      <c r="AG1421" s="97"/>
      <c r="AH1421" s="97"/>
      <c r="AI1421" s="97"/>
      <c r="AJ1421" s="97"/>
      <c r="AK1421" s="97"/>
      <c r="AL1421" s="97"/>
      <c r="AM1421" s="97"/>
      <c r="AN1421" s="97"/>
      <c r="AO1421" s="97"/>
      <c r="AP1421" s="97"/>
      <c r="AQ1421" s="97"/>
    </row>
    <row r="1422" spans="2:43" s="101" customFormat="1" ht="15" customHeight="1">
      <c r="B1422" s="104"/>
      <c r="C1422" s="104"/>
      <c r="D1422" s="104"/>
      <c r="E1422" s="104"/>
      <c r="F1422" s="104"/>
      <c r="G1422" s="104"/>
      <c r="H1422" s="104"/>
      <c r="I1422" s="104"/>
      <c r="J1422" s="104"/>
      <c r="K1422" s="104"/>
      <c r="L1422" s="104"/>
      <c r="R1422" s="105"/>
      <c r="S1422" s="105"/>
      <c r="T1422" s="105"/>
      <c r="U1422" s="105"/>
      <c r="V1422" s="105"/>
      <c r="W1422" s="105"/>
      <c r="AD1422" s="106"/>
      <c r="AE1422" s="97"/>
      <c r="AF1422" s="97"/>
      <c r="AG1422" s="97"/>
      <c r="AH1422" s="97"/>
      <c r="AI1422" s="97"/>
      <c r="AJ1422" s="97"/>
      <c r="AK1422" s="97"/>
      <c r="AL1422" s="97"/>
      <c r="AM1422" s="97"/>
      <c r="AN1422" s="97"/>
      <c r="AO1422" s="97"/>
      <c r="AP1422" s="97"/>
      <c r="AQ1422" s="97"/>
    </row>
    <row r="1423" spans="2:43" s="101" customFormat="1" ht="15" customHeight="1">
      <c r="B1423" s="104"/>
      <c r="C1423" s="104"/>
      <c r="D1423" s="104"/>
      <c r="E1423" s="104"/>
      <c r="F1423" s="104"/>
      <c r="G1423" s="104"/>
      <c r="H1423" s="104"/>
      <c r="I1423" s="104"/>
      <c r="J1423" s="104"/>
      <c r="K1423" s="104"/>
      <c r="L1423" s="104"/>
      <c r="R1423" s="105"/>
      <c r="S1423" s="105"/>
      <c r="T1423" s="105"/>
      <c r="U1423" s="105"/>
      <c r="V1423" s="105"/>
      <c r="W1423" s="105"/>
      <c r="AD1423" s="106"/>
      <c r="AE1423" s="97"/>
      <c r="AF1423" s="97"/>
      <c r="AG1423" s="97"/>
      <c r="AH1423" s="97"/>
      <c r="AI1423" s="97"/>
      <c r="AJ1423" s="97"/>
      <c r="AK1423" s="97"/>
      <c r="AL1423" s="97"/>
      <c r="AM1423" s="97"/>
      <c r="AN1423" s="97"/>
      <c r="AO1423" s="97"/>
      <c r="AP1423" s="97"/>
      <c r="AQ1423" s="97"/>
    </row>
    <row r="1424" spans="2:43" s="101" customFormat="1" ht="15" customHeight="1">
      <c r="B1424" s="104"/>
      <c r="C1424" s="104"/>
      <c r="D1424" s="104"/>
      <c r="E1424" s="104"/>
      <c r="F1424" s="104"/>
      <c r="G1424" s="104"/>
      <c r="H1424" s="104"/>
      <c r="I1424" s="104"/>
      <c r="J1424" s="104"/>
      <c r="K1424" s="104"/>
      <c r="L1424" s="104"/>
      <c r="R1424" s="105"/>
      <c r="S1424" s="105"/>
      <c r="T1424" s="105"/>
      <c r="U1424" s="105"/>
      <c r="V1424" s="105"/>
      <c r="W1424" s="105"/>
      <c r="AD1424" s="106"/>
      <c r="AE1424" s="97"/>
      <c r="AF1424" s="97"/>
      <c r="AG1424" s="97"/>
      <c r="AH1424" s="97"/>
      <c r="AI1424" s="97"/>
      <c r="AJ1424" s="97"/>
      <c r="AK1424" s="97"/>
      <c r="AL1424" s="97"/>
      <c r="AM1424" s="97"/>
      <c r="AN1424" s="97"/>
      <c r="AO1424" s="97"/>
      <c r="AP1424" s="97"/>
      <c r="AQ1424" s="97"/>
    </row>
    <row r="1425" spans="2:43" s="101" customFormat="1" ht="15" customHeight="1">
      <c r="B1425" s="104"/>
      <c r="C1425" s="104"/>
      <c r="D1425" s="104"/>
      <c r="E1425" s="104"/>
      <c r="F1425" s="104"/>
      <c r="G1425" s="104"/>
      <c r="H1425" s="104"/>
      <c r="I1425" s="104"/>
      <c r="J1425" s="104"/>
      <c r="K1425" s="104"/>
      <c r="L1425" s="104"/>
      <c r="R1425" s="105"/>
      <c r="S1425" s="105"/>
      <c r="T1425" s="105"/>
      <c r="U1425" s="105"/>
      <c r="V1425" s="105"/>
      <c r="W1425" s="105"/>
      <c r="AD1425" s="106"/>
      <c r="AE1425" s="97"/>
      <c r="AF1425" s="97"/>
      <c r="AG1425" s="97"/>
      <c r="AH1425" s="97"/>
      <c r="AI1425" s="97"/>
      <c r="AJ1425" s="97"/>
      <c r="AK1425" s="97"/>
      <c r="AL1425" s="97"/>
      <c r="AM1425" s="97"/>
      <c r="AN1425" s="97"/>
      <c r="AO1425" s="97"/>
      <c r="AP1425" s="97"/>
      <c r="AQ1425" s="97"/>
    </row>
    <row r="1426" spans="2:43" s="101" customFormat="1" ht="15" customHeight="1">
      <c r="B1426" s="104"/>
      <c r="C1426" s="104"/>
      <c r="D1426" s="104"/>
      <c r="E1426" s="104"/>
      <c r="F1426" s="104"/>
      <c r="G1426" s="104"/>
      <c r="H1426" s="104"/>
      <c r="I1426" s="104"/>
      <c r="J1426" s="104"/>
      <c r="K1426" s="104"/>
      <c r="L1426" s="104"/>
      <c r="R1426" s="105"/>
      <c r="S1426" s="105"/>
      <c r="T1426" s="105"/>
      <c r="U1426" s="105"/>
      <c r="V1426" s="105"/>
      <c r="W1426" s="105"/>
      <c r="AD1426" s="106"/>
      <c r="AE1426" s="97"/>
      <c r="AF1426" s="97"/>
      <c r="AG1426" s="97"/>
      <c r="AH1426" s="97"/>
      <c r="AI1426" s="97"/>
      <c r="AJ1426" s="97"/>
      <c r="AK1426" s="97"/>
      <c r="AL1426" s="97"/>
      <c r="AM1426" s="97"/>
      <c r="AN1426" s="97"/>
      <c r="AO1426" s="97"/>
      <c r="AP1426" s="97"/>
      <c r="AQ1426" s="97"/>
    </row>
    <row r="1427" spans="2:43" s="101" customFormat="1" ht="15" customHeight="1">
      <c r="B1427" s="104"/>
      <c r="C1427" s="104"/>
      <c r="D1427" s="104"/>
      <c r="E1427" s="104"/>
      <c r="F1427" s="104"/>
      <c r="G1427" s="104"/>
      <c r="H1427" s="104"/>
      <c r="I1427" s="104"/>
      <c r="J1427" s="104"/>
      <c r="K1427" s="104"/>
      <c r="L1427" s="104"/>
      <c r="R1427" s="105"/>
      <c r="S1427" s="105"/>
      <c r="T1427" s="105"/>
      <c r="U1427" s="105"/>
      <c r="V1427" s="105"/>
      <c r="W1427" s="105"/>
      <c r="AD1427" s="106"/>
      <c r="AE1427" s="97"/>
      <c r="AF1427" s="97"/>
      <c r="AG1427" s="97"/>
      <c r="AH1427" s="97"/>
      <c r="AI1427" s="97"/>
      <c r="AJ1427" s="97"/>
      <c r="AK1427" s="97"/>
      <c r="AL1427" s="97"/>
      <c r="AM1427" s="97"/>
      <c r="AN1427" s="97"/>
      <c r="AO1427" s="97"/>
      <c r="AP1427" s="97"/>
      <c r="AQ1427" s="97"/>
    </row>
    <row r="1428" spans="2:43" s="101" customFormat="1" ht="15" customHeight="1">
      <c r="B1428" s="104"/>
      <c r="C1428" s="104"/>
      <c r="D1428" s="104"/>
      <c r="E1428" s="104"/>
      <c r="F1428" s="104"/>
      <c r="G1428" s="104"/>
      <c r="H1428" s="104"/>
      <c r="I1428" s="104"/>
      <c r="J1428" s="104"/>
      <c r="K1428" s="104"/>
      <c r="L1428" s="104"/>
      <c r="R1428" s="105"/>
      <c r="S1428" s="105"/>
      <c r="T1428" s="105"/>
      <c r="U1428" s="105"/>
      <c r="V1428" s="105"/>
      <c r="W1428" s="105"/>
      <c r="AD1428" s="106"/>
      <c r="AE1428" s="97"/>
      <c r="AF1428" s="97"/>
      <c r="AG1428" s="97"/>
      <c r="AH1428" s="97"/>
      <c r="AI1428" s="97"/>
      <c r="AJ1428" s="97"/>
      <c r="AK1428" s="97"/>
      <c r="AL1428" s="97"/>
      <c r="AM1428" s="97"/>
      <c r="AN1428" s="97"/>
      <c r="AO1428" s="97"/>
      <c r="AP1428" s="97"/>
      <c r="AQ1428" s="97"/>
    </row>
    <row r="1429" spans="2:43" s="101" customFormat="1" ht="15" customHeight="1">
      <c r="B1429" s="104"/>
      <c r="C1429" s="104"/>
      <c r="D1429" s="104"/>
      <c r="E1429" s="104"/>
      <c r="F1429" s="104"/>
      <c r="G1429" s="104"/>
      <c r="H1429" s="104"/>
      <c r="I1429" s="104"/>
      <c r="J1429" s="104"/>
      <c r="K1429" s="104"/>
      <c r="L1429" s="104"/>
      <c r="R1429" s="105"/>
      <c r="S1429" s="105"/>
      <c r="T1429" s="105"/>
      <c r="U1429" s="105"/>
      <c r="V1429" s="105"/>
      <c r="W1429" s="105"/>
      <c r="AD1429" s="106"/>
      <c r="AE1429" s="97"/>
      <c r="AF1429" s="97"/>
      <c r="AG1429" s="97"/>
      <c r="AH1429" s="97"/>
      <c r="AI1429" s="97"/>
      <c r="AJ1429" s="97"/>
      <c r="AK1429" s="97"/>
      <c r="AL1429" s="97"/>
      <c r="AM1429" s="97"/>
      <c r="AN1429" s="97"/>
      <c r="AO1429" s="97"/>
      <c r="AP1429" s="97"/>
      <c r="AQ1429" s="97"/>
    </row>
    <row r="1430" spans="2:43" s="101" customFormat="1" ht="15" customHeight="1">
      <c r="B1430" s="104"/>
      <c r="C1430" s="104"/>
      <c r="D1430" s="104"/>
      <c r="E1430" s="104"/>
      <c r="F1430" s="104"/>
      <c r="G1430" s="104"/>
      <c r="H1430" s="104"/>
      <c r="I1430" s="104"/>
      <c r="J1430" s="104"/>
      <c r="K1430" s="104"/>
      <c r="L1430" s="104"/>
      <c r="R1430" s="105"/>
      <c r="S1430" s="105"/>
      <c r="T1430" s="105"/>
      <c r="U1430" s="105"/>
      <c r="V1430" s="105"/>
      <c r="W1430" s="105"/>
      <c r="AD1430" s="106"/>
      <c r="AE1430" s="97"/>
      <c r="AF1430" s="97"/>
      <c r="AG1430" s="97"/>
      <c r="AH1430" s="97"/>
      <c r="AI1430" s="97"/>
      <c r="AJ1430" s="97"/>
      <c r="AK1430" s="97"/>
      <c r="AL1430" s="97"/>
      <c r="AM1430" s="97"/>
      <c r="AN1430" s="97"/>
      <c r="AO1430" s="97"/>
      <c r="AP1430" s="97"/>
      <c r="AQ1430" s="97"/>
    </row>
    <row r="1431" spans="2:43" s="101" customFormat="1" ht="15" customHeight="1">
      <c r="B1431" s="104"/>
      <c r="C1431" s="104"/>
      <c r="D1431" s="104"/>
      <c r="E1431" s="104"/>
      <c r="F1431" s="104"/>
      <c r="G1431" s="104"/>
      <c r="H1431" s="104"/>
      <c r="I1431" s="104"/>
      <c r="J1431" s="104"/>
      <c r="K1431" s="104"/>
      <c r="L1431" s="104"/>
      <c r="R1431" s="105"/>
      <c r="S1431" s="105"/>
      <c r="T1431" s="105"/>
      <c r="U1431" s="105"/>
      <c r="V1431" s="105"/>
      <c r="W1431" s="105"/>
      <c r="AD1431" s="106"/>
      <c r="AE1431" s="97"/>
      <c r="AF1431" s="97"/>
      <c r="AG1431" s="97"/>
      <c r="AH1431" s="97"/>
      <c r="AI1431" s="97"/>
      <c r="AJ1431" s="97"/>
      <c r="AK1431" s="97"/>
      <c r="AL1431" s="97"/>
      <c r="AM1431" s="97"/>
      <c r="AN1431" s="97"/>
      <c r="AO1431" s="97"/>
      <c r="AP1431" s="97"/>
      <c r="AQ1431" s="97"/>
    </row>
    <row r="1432" spans="2:43" s="101" customFormat="1" ht="15" customHeight="1">
      <c r="B1432" s="104"/>
      <c r="C1432" s="104"/>
      <c r="D1432" s="104"/>
      <c r="E1432" s="104"/>
      <c r="F1432" s="104"/>
      <c r="G1432" s="104"/>
      <c r="H1432" s="104"/>
      <c r="I1432" s="104"/>
      <c r="J1432" s="104"/>
      <c r="K1432" s="104"/>
      <c r="L1432" s="104"/>
      <c r="R1432" s="105"/>
      <c r="S1432" s="105"/>
      <c r="T1432" s="105"/>
      <c r="U1432" s="105"/>
      <c r="V1432" s="105"/>
      <c r="W1432" s="105"/>
      <c r="AD1432" s="106"/>
      <c r="AE1432" s="97"/>
      <c r="AF1432" s="97"/>
      <c r="AG1432" s="97"/>
      <c r="AH1432" s="97"/>
      <c r="AI1432" s="97"/>
      <c r="AJ1432" s="97"/>
      <c r="AK1432" s="97"/>
      <c r="AL1432" s="97"/>
      <c r="AM1432" s="97"/>
      <c r="AN1432" s="97"/>
      <c r="AO1432" s="97"/>
      <c r="AP1432" s="97"/>
      <c r="AQ1432" s="97"/>
    </row>
    <row r="1433" spans="2:43" s="101" customFormat="1" ht="15" customHeight="1">
      <c r="B1433" s="104"/>
      <c r="C1433" s="104"/>
      <c r="D1433" s="104"/>
      <c r="E1433" s="104"/>
      <c r="F1433" s="104"/>
      <c r="G1433" s="104"/>
      <c r="H1433" s="104"/>
      <c r="I1433" s="104"/>
      <c r="J1433" s="104"/>
      <c r="K1433" s="104"/>
      <c r="L1433" s="104"/>
      <c r="R1433" s="105"/>
      <c r="S1433" s="105"/>
      <c r="T1433" s="105"/>
      <c r="U1433" s="105"/>
      <c r="V1433" s="105"/>
      <c r="W1433" s="105"/>
      <c r="AD1433" s="106"/>
      <c r="AE1433" s="97"/>
      <c r="AF1433" s="97"/>
      <c r="AG1433" s="97"/>
      <c r="AH1433" s="97"/>
      <c r="AI1433" s="97"/>
      <c r="AJ1433" s="97"/>
      <c r="AK1433" s="97"/>
      <c r="AL1433" s="97"/>
      <c r="AM1433" s="97"/>
      <c r="AN1433" s="97"/>
      <c r="AO1433" s="97"/>
      <c r="AP1433" s="97"/>
      <c r="AQ1433" s="97"/>
    </row>
    <row r="1434" spans="2:43" s="101" customFormat="1" ht="15" customHeight="1">
      <c r="B1434" s="104"/>
      <c r="C1434" s="104"/>
      <c r="D1434" s="104"/>
      <c r="E1434" s="104"/>
      <c r="F1434" s="104"/>
      <c r="G1434" s="104"/>
      <c r="H1434" s="104"/>
      <c r="I1434" s="104"/>
      <c r="J1434" s="104"/>
      <c r="K1434" s="104"/>
      <c r="L1434" s="104"/>
      <c r="R1434" s="105"/>
      <c r="S1434" s="105"/>
      <c r="T1434" s="105"/>
      <c r="U1434" s="105"/>
      <c r="V1434" s="105"/>
      <c r="W1434" s="105"/>
      <c r="AD1434" s="106"/>
      <c r="AE1434" s="97"/>
      <c r="AF1434" s="97"/>
      <c r="AG1434" s="97"/>
      <c r="AH1434" s="97"/>
      <c r="AI1434" s="97"/>
      <c r="AJ1434" s="97"/>
      <c r="AK1434" s="97"/>
      <c r="AL1434" s="97"/>
      <c r="AM1434" s="97"/>
      <c r="AN1434" s="97"/>
      <c r="AO1434" s="97"/>
      <c r="AP1434" s="97"/>
      <c r="AQ1434" s="97"/>
    </row>
    <row r="1435" spans="2:43" s="101" customFormat="1" ht="15" customHeight="1">
      <c r="B1435" s="104"/>
      <c r="C1435" s="104"/>
      <c r="D1435" s="104"/>
      <c r="E1435" s="104"/>
      <c r="F1435" s="104"/>
      <c r="G1435" s="104"/>
      <c r="H1435" s="104"/>
      <c r="I1435" s="104"/>
      <c r="J1435" s="104"/>
      <c r="K1435" s="104"/>
      <c r="L1435" s="104"/>
      <c r="R1435" s="105"/>
      <c r="S1435" s="105"/>
      <c r="T1435" s="105"/>
      <c r="U1435" s="105"/>
      <c r="V1435" s="105"/>
      <c r="W1435" s="105"/>
      <c r="AD1435" s="106"/>
      <c r="AE1435" s="97"/>
      <c r="AF1435" s="97"/>
      <c r="AG1435" s="97"/>
      <c r="AH1435" s="97"/>
      <c r="AI1435" s="97"/>
      <c r="AJ1435" s="97"/>
      <c r="AK1435" s="97"/>
      <c r="AL1435" s="97"/>
      <c r="AM1435" s="97"/>
      <c r="AN1435" s="97"/>
      <c r="AO1435" s="97"/>
      <c r="AP1435" s="97"/>
      <c r="AQ1435" s="97"/>
    </row>
    <row r="1436" spans="2:43" s="101" customFormat="1" ht="15" customHeight="1">
      <c r="B1436" s="104"/>
      <c r="C1436" s="104"/>
      <c r="D1436" s="104"/>
      <c r="E1436" s="104"/>
      <c r="F1436" s="104"/>
      <c r="G1436" s="104"/>
      <c r="H1436" s="104"/>
      <c r="I1436" s="104"/>
      <c r="J1436" s="104"/>
      <c r="K1436" s="104"/>
      <c r="L1436" s="104"/>
      <c r="R1436" s="105"/>
      <c r="S1436" s="105"/>
      <c r="T1436" s="105"/>
      <c r="U1436" s="105"/>
      <c r="V1436" s="105"/>
      <c r="W1436" s="105"/>
      <c r="AD1436" s="106"/>
      <c r="AE1436" s="97"/>
      <c r="AF1436" s="97"/>
      <c r="AG1436" s="97"/>
      <c r="AH1436" s="97"/>
      <c r="AI1436" s="97"/>
      <c r="AJ1436" s="97"/>
      <c r="AK1436" s="97"/>
      <c r="AL1436" s="97"/>
      <c r="AM1436" s="97"/>
      <c r="AN1436" s="97"/>
      <c r="AO1436" s="97"/>
      <c r="AP1436" s="97"/>
      <c r="AQ1436" s="97"/>
    </row>
    <row r="1437" spans="2:43" s="101" customFormat="1" ht="15" customHeight="1">
      <c r="B1437" s="104"/>
      <c r="C1437" s="104"/>
      <c r="D1437" s="104"/>
      <c r="E1437" s="104"/>
      <c r="F1437" s="104"/>
      <c r="G1437" s="104"/>
      <c r="H1437" s="104"/>
      <c r="I1437" s="104"/>
      <c r="J1437" s="104"/>
      <c r="K1437" s="104"/>
      <c r="L1437" s="104"/>
      <c r="R1437" s="105"/>
      <c r="S1437" s="105"/>
      <c r="T1437" s="105"/>
      <c r="U1437" s="105"/>
      <c r="V1437" s="105"/>
      <c r="W1437" s="105"/>
      <c r="AD1437" s="106"/>
      <c r="AE1437" s="97"/>
      <c r="AF1437" s="97"/>
      <c r="AG1437" s="97"/>
      <c r="AH1437" s="97"/>
      <c r="AI1437" s="97"/>
      <c r="AJ1437" s="97"/>
      <c r="AK1437" s="97"/>
      <c r="AL1437" s="97"/>
      <c r="AM1437" s="97"/>
      <c r="AN1437" s="97"/>
      <c r="AO1437" s="97"/>
      <c r="AP1437" s="97"/>
      <c r="AQ1437" s="97"/>
    </row>
    <row r="1438" spans="2:43" s="101" customFormat="1" ht="15" customHeight="1">
      <c r="B1438" s="104"/>
      <c r="C1438" s="104"/>
      <c r="D1438" s="104"/>
      <c r="E1438" s="104"/>
      <c r="F1438" s="104"/>
      <c r="G1438" s="104"/>
      <c r="H1438" s="104"/>
      <c r="I1438" s="104"/>
      <c r="J1438" s="104"/>
      <c r="K1438" s="104"/>
      <c r="L1438" s="104"/>
      <c r="R1438" s="105"/>
      <c r="S1438" s="105"/>
      <c r="T1438" s="105"/>
      <c r="U1438" s="105"/>
      <c r="V1438" s="105"/>
      <c r="W1438" s="105"/>
      <c r="AD1438" s="106"/>
      <c r="AE1438" s="97"/>
      <c r="AF1438" s="97"/>
      <c r="AG1438" s="97"/>
      <c r="AH1438" s="97"/>
      <c r="AI1438" s="97"/>
      <c r="AJ1438" s="97"/>
      <c r="AK1438" s="97"/>
      <c r="AL1438" s="97"/>
      <c r="AM1438" s="97"/>
      <c r="AN1438" s="97"/>
      <c r="AO1438" s="97"/>
      <c r="AP1438" s="97"/>
      <c r="AQ1438" s="97"/>
    </row>
    <row r="1439" spans="2:43" s="101" customFormat="1" ht="15" customHeight="1">
      <c r="B1439" s="104"/>
      <c r="C1439" s="104"/>
      <c r="D1439" s="104"/>
      <c r="E1439" s="104"/>
      <c r="F1439" s="104"/>
      <c r="G1439" s="104"/>
      <c r="H1439" s="104"/>
      <c r="I1439" s="104"/>
      <c r="J1439" s="104"/>
      <c r="K1439" s="104"/>
      <c r="L1439" s="104"/>
      <c r="R1439" s="105"/>
      <c r="S1439" s="105"/>
      <c r="T1439" s="105"/>
      <c r="U1439" s="105"/>
      <c r="V1439" s="105"/>
      <c r="W1439" s="105"/>
      <c r="AD1439" s="106"/>
      <c r="AE1439" s="97"/>
      <c r="AF1439" s="97"/>
      <c r="AG1439" s="97"/>
      <c r="AH1439" s="97"/>
      <c r="AI1439" s="97"/>
      <c r="AJ1439" s="97"/>
      <c r="AK1439" s="97"/>
      <c r="AL1439" s="97"/>
      <c r="AM1439" s="97"/>
      <c r="AN1439" s="97"/>
      <c r="AO1439" s="97"/>
      <c r="AP1439" s="97"/>
      <c r="AQ1439" s="97"/>
    </row>
    <row r="1440" spans="2:43" s="101" customFormat="1" ht="15" customHeight="1">
      <c r="B1440" s="104"/>
      <c r="C1440" s="104"/>
      <c r="D1440" s="104"/>
      <c r="E1440" s="104"/>
      <c r="F1440" s="104"/>
      <c r="G1440" s="104"/>
      <c r="H1440" s="104"/>
      <c r="I1440" s="104"/>
      <c r="J1440" s="104"/>
      <c r="K1440" s="104"/>
      <c r="L1440" s="104"/>
      <c r="R1440" s="105"/>
      <c r="S1440" s="105"/>
      <c r="T1440" s="105"/>
      <c r="U1440" s="105"/>
      <c r="V1440" s="105"/>
      <c r="W1440" s="105"/>
      <c r="AD1440" s="106"/>
      <c r="AE1440" s="97"/>
      <c r="AF1440" s="97"/>
      <c r="AG1440" s="97"/>
      <c r="AH1440" s="97"/>
      <c r="AI1440" s="97"/>
      <c r="AJ1440" s="97"/>
      <c r="AK1440" s="97"/>
      <c r="AL1440" s="97"/>
      <c r="AM1440" s="97"/>
      <c r="AN1440" s="97"/>
      <c r="AO1440" s="97"/>
      <c r="AP1440" s="97"/>
      <c r="AQ1440" s="97"/>
    </row>
    <row r="1441" spans="2:43" s="101" customFormat="1" ht="15" customHeight="1">
      <c r="B1441" s="104"/>
      <c r="C1441" s="104"/>
      <c r="D1441" s="104"/>
      <c r="E1441" s="104"/>
      <c r="F1441" s="104"/>
      <c r="G1441" s="104"/>
      <c r="H1441" s="104"/>
      <c r="I1441" s="104"/>
      <c r="J1441" s="104"/>
      <c r="K1441" s="104"/>
      <c r="L1441" s="104"/>
      <c r="R1441" s="105"/>
      <c r="S1441" s="105"/>
      <c r="T1441" s="105"/>
      <c r="U1441" s="105"/>
      <c r="V1441" s="105"/>
      <c r="W1441" s="105"/>
      <c r="AD1441" s="106"/>
      <c r="AE1441" s="97"/>
      <c r="AF1441" s="97"/>
      <c r="AG1441" s="97"/>
      <c r="AH1441" s="97"/>
      <c r="AI1441" s="97"/>
      <c r="AJ1441" s="97"/>
      <c r="AK1441" s="97"/>
      <c r="AL1441" s="97"/>
      <c r="AM1441" s="97"/>
      <c r="AN1441" s="97"/>
      <c r="AO1441" s="97"/>
      <c r="AP1441" s="97"/>
      <c r="AQ1441" s="97"/>
    </row>
    <row r="1442" spans="2:43" s="101" customFormat="1" ht="15" customHeight="1">
      <c r="B1442" s="104"/>
      <c r="C1442" s="104"/>
      <c r="D1442" s="104"/>
      <c r="E1442" s="104"/>
      <c r="F1442" s="104"/>
      <c r="G1442" s="104"/>
      <c r="H1442" s="104"/>
      <c r="I1442" s="104"/>
      <c r="J1442" s="104"/>
      <c r="K1442" s="104"/>
      <c r="L1442" s="104"/>
      <c r="R1442" s="105"/>
      <c r="S1442" s="105"/>
      <c r="T1442" s="105"/>
      <c r="U1442" s="105"/>
      <c r="V1442" s="105"/>
      <c r="W1442" s="105"/>
      <c r="AD1442" s="106"/>
      <c r="AE1442" s="97"/>
      <c r="AF1442" s="97"/>
      <c r="AG1442" s="97"/>
      <c r="AH1442" s="97"/>
      <c r="AI1442" s="97"/>
      <c r="AJ1442" s="97"/>
      <c r="AK1442" s="97"/>
      <c r="AL1442" s="97"/>
      <c r="AM1442" s="97"/>
      <c r="AN1442" s="97"/>
      <c r="AO1442" s="97"/>
      <c r="AP1442" s="97"/>
      <c r="AQ1442" s="97"/>
    </row>
    <row r="1443" spans="2:43" s="101" customFormat="1" ht="15" customHeight="1">
      <c r="B1443" s="104"/>
      <c r="C1443" s="104"/>
      <c r="D1443" s="104"/>
      <c r="E1443" s="104"/>
      <c r="F1443" s="104"/>
      <c r="G1443" s="104"/>
      <c r="H1443" s="104"/>
      <c r="I1443" s="104"/>
      <c r="J1443" s="104"/>
      <c r="K1443" s="104"/>
      <c r="L1443" s="104"/>
      <c r="R1443" s="105"/>
      <c r="S1443" s="105"/>
      <c r="T1443" s="105"/>
      <c r="U1443" s="105"/>
      <c r="V1443" s="105"/>
      <c r="W1443" s="105"/>
      <c r="AD1443" s="106"/>
      <c r="AE1443" s="97"/>
      <c r="AF1443" s="97"/>
      <c r="AG1443" s="97"/>
      <c r="AH1443" s="97"/>
      <c r="AI1443" s="97"/>
      <c r="AJ1443" s="97"/>
      <c r="AK1443" s="97"/>
      <c r="AL1443" s="97"/>
      <c r="AM1443" s="97"/>
      <c r="AN1443" s="97"/>
      <c r="AO1443" s="97"/>
      <c r="AP1443" s="97"/>
      <c r="AQ1443" s="97"/>
    </row>
    <row r="1444" spans="2:43" s="101" customFormat="1" ht="15" customHeight="1">
      <c r="B1444" s="104"/>
      <c r="C1444" s="104"/>
      <c r="D1444" s="104"/>
      <c r="E1444" s="104"/>
      <c r="F1444" s="104"/>
      <c r="G1444" s="104"/>
      <c r="H1444" s="104"/>
      <c r="I1444" s="104"/>
      <c r="J1444" s="104"/>
      <c r="K1444" s="104"/>
      <c r="L1444" s="104"/>
      <c r="R1444" s="105"/>
      <c r="S1444" s="105"/>
      <c r="T1444" s="105"/>
      <c r="U1444" s="105"/>
      <c r="V1444" s="105"/>
      <c r="W1444" s="105"/>
      <c r="AD1444" s="106"/>
      <c r="AE1444" s="97"/>
      <c r="AF1444" s="97"/>
      <c r="AG1444" s="97"/>
      <c r="AH1444" s="97"/>
      <c r="AI1444" s="97"/>
      <c r="AJ1444" s="97"/>
      <c r="AK1444" s="97"/>
      <c r="AL1444" s="97"/>
      <c r="AM1444" s="97"/>
      <c r="AN1444" s="97"/>
      <c r="AO1444" s="97"/>
      <c r="AP1444" s="97"/>
      <c r="AQ1444" s="97"/>
    </row>
    <row r="1445" spans="2:43" s="101" customFormat="1" ht="15" customHeight="1">
      <c r="B1445" s="104"/>
      <c r="C1445" s="104"/>
      <c r="D1445" s="104"/>
      <c r="E1445" s="104"/>
      <c r="F1445" s="104"/>
      <c r="G1445" s="104"/>
      <c r="H1445" s="104"/>
      <c r="I1445" s="104"/>
      <c r="J1445" s="104"/>
      <c r="K1445" s="104"/>
      <c r="L1445" s="104"/>
      <c r="R1445" s="105"/>
      <c r="S1445" s="105"/>
      <c r="T1445" s="105"/>
      <c r="U1445" s="105"/>
      <c r="V1445" s="105"/>
      <c r="W1445" s="105"/>
      <c r="AD1445" s="106"/>
      <c r="AE1445" s="97"/>
      <c r="AF1445" s="97"/>
      <c r="AG1445" s="97"/>
      <c r="AH1445" s="97"/>
      <c r="AI1445" s="97"/>
      <c r="AJ1445" s="97"/>
      <c r="AK1445" s="97"/>
      <c r="AL1445" s="97"/>
      <c r="AM1445" s="97"/>
      <c r="AN1445" s="97"/>
      <c r="AO1445" s="97"/>
      <c r="AP1445" s="97"/>
      <c r="AQ1445" s="97"/>
    </row>
    <row r="1446" spans="2:43" s="101" customFormat="1" ht="15" customHeight="1">
      <c r="B1446" s="104"/>
      <c r="C1446" s="104"/>
      <c r="D1446" s="104"/>
      <c r="E1446" s="104"/>
      <c r="F1446" s="104"/>
      <c r="G1446" s="104"/>
      <c r="H1446" s="104"/>
      <c r="I1446" s="104"/>
      <c r="J1446" s="104"/>
      <c r="K1446" s="104"/>
      <c r="L1446" s="104"/>
      <c r="R1446" s="105"/>
      <c r="S1446" s="105"/>
      <c r="T1446" s="105"/>
      <c r="U1446" s="105"/>
      <c r="V1446" s="105"/>
      <c r="W1446" s="105"/>
      <c r="AD1446" s="106"/>
      <c r="AE1446" s="97"/>
      <c r="AF1446" s="97"/>
      <c r="AG1446" s="97"/>
      <c r="AH1446" s="97"/>
      <c r="AI1446" s="97"/>
      <c r="AJ1446" s="97"/>
      <c r="AK1446" s="97"/>
      <c r="AL1446" s="97"/>
      <c r="AM1446" s="97"/>
      <c r="AN1446" s="97"/>
      <c r="AO1446" s="97"/>
      <c r="AP1446" s="97"/>
      <c r="AQ1446" s="97"/>
    </row>
    <row r="1447" spans="2:43" s="101" customFormat="1" ht="15" customHeight="1">
      <c r="B1447" s="104"/>
      <c r="C1447" s="104"/>
      <c r="D1447" s="104"/>
      <c r="E1447" s="104"/>
      <c r="F1447" s="104"/>
      <c r="G1447" s="104"/>
      <c r="H1447" s="104"/>
      <c r="I1447" s="104"/>
      <c r="J1447" s="104"/>
      <c r="K1447" s="104"/>
      <c r="L1447" s="104"/>
      <c r="R1447" s="105"/>
      <c r="S1447" s="105"/>
      <c r="T1447" s="105"/>
      <c r="U1447" s="105"/>
      <c r="V1447" s="105"/>
      <c r="W1447" s="105"/>
      <c r="AD1447" s="106"/>
      <c r="AE1447" s="97"/>
      <c r="AF1447" s="97"/>
      <c r="AG1447" s="97"/>
      <c r="AH1447" s="97"/>
      <c r="AI1447" s="97"/>
      <c r="AJ1447" s="97"/>
      <c r="AK1447" s="97"/>
      <c r="AL1447" s="97"/>
      <c r="AM1447" s="97"/>
      <c r="AN1447" s="97"/>
      <c r="AO1447" s="97"/>
      <c r="AP1447" s="97"/>
      <c r="AQ1447" s="97"/>
    </row>
    <row r="1448" spans="2:43" s="101" customFormat="1" ht="15" customHeight="1">
      <c r="B1448" s="104"/>
      <c r="C1448" s="104"/>
      <c r="D1448" s="104"/>
      <c r="E1448" s="104"/>
      <c r="F1448" s="104"/>
      <c r="G1448" s="104"/>
      <c r="H1448" s="104"/>
      <c r="I1448" s="104"/>
      <c r="J1448" s="104"/>
      <c r="K1448" s="104"/>
      <c r="L1448" s="104"/>
      <c r="R1448" s="105"/>
      <c r="S1448" s="105"/>
      <c r="T1448" s="105"/>
      <c r="U1448" s="105"/>
      <c r="V1448" s="105"/>
      <c r="W1448" s="105"/>
      <c r="AD1448" s="106"/>
      <c r="AE1448" s="97"/>
      <c r="AF1448" s="97"/>
      <c r="AG1448" s="97"/>
      <c r="AH1448" s="97"/>
      <c r="AI1448" s="97"/>
      <c r="AJ1448" s="97"/>
      <c r="AK1448" s="97"/>
      <c r="AL1448" s="97"/>
      <c r="AM1448" s="97"/>
      <c r="AN1448" s="97"/>
      <c r="AO1448" s="97"/>
      <c r="AP1448" s="97"/>
      <c r="AQ1448" s="97"/>
    </row>
    <row r="1449" spans="2:43" s="101" customFormat="1" ht="15" customHeight="1">
      <c r="B1449" s="104"/>
      <c r="C1449" s="104"/>
      <c r="D1449" s="104"/>
      <c r="E1449" s="104"/>
      <c r="F1449" s="104"/>
      <c r="G1449" s="104"/>
      <c r="H1449" s="104"/>
      <c r="I1449" s="104"/>
      <c r="J1449" s="104"/>
      <c r="K1449" s="104"/>
      <c r="L1449" s="104"/>
      <c r="R1449" s="105"/>
      <c r="S1449" s="105"/>
      <c r="T1449" s="105"/>
      <c r="U1449" s="105"/>
      <c r="V1449" s="105"/>
      <c r="W1449" s="105"/>
      <c r="AD1449" s="106"/>
      <c r="AE1449" s="97"/>
      <c r="AF1449" s="97"/>
      <c r="AG1449" s="97"/>
      <c r="AH1449" s="97"/>
      <c r="AI1449" s="97"/>
      <c r="AJ1449" s="97"/>
      <c r="AK1449" s="97"/>
      <c r="AL1449" s="97"/>
      <c r="AM1449" s="97"/>
      <c r="AN1449" s="97"/>
      <c r="AO1449" s="97"/>
      <c r="AP1449" s="97"/>
      <c r="AQ1449" s="97"/>
    </row>
    <row r="1450" spans="2:43" s="101" customFormat="1" ht="15" customHeight="1">
      <c r="B1450" s="104"/>
      <c r="C1450" s="104"/>
      <c r="D1450" s="104"/>
      <c r="E1450" s="104"/>
      <c r="F1450" s="104"/>
      <c r="G1450" s="104"/>
      <c r="H1450" s="104"/>
      <c r="I1450" s="104"/>
      <c r="J1450" s="104"/>
      <c r="K1450" s="104"/>
      <c r="L1450" s="104"/>
      <c r="R1450" s="105"/>
      <c r="S1450" s="105"/>
      <c r="T1450" s="105"/>
      <c r="U1450" s="105"/>
      <c r="V1450" s="105"/>
      <c r="W1450" s="105"/>
      <c r="AD1450" s="106"/>
      <c r="AE1450" s="97"/>
      <c r="AF1450" s="97"/>
      <c r="AG1450" s="97"/>
      <c r="AH1450" s="97"/>
      <c r="AI1450" s="97"/>
      <c r="AJ1450" s="97"/>
      <c r="AK1450" s="97"/>
      <c r="AL1450" s="97"/>
      <c r="AM1450" s="97"/>
      <c r="AN1450" s="97"/>
      <c r="AO1450" s="97"/>
      <c r="AP1450" s="97"/>
      <c r="AQ1450" s="97"/>
    </row>
    <row r="1451" spans="2:43" s="101" customFormat="1" ht="15" customHeight="1">
      <c r="B1451" s="104"/>
      <c r="C1451" s="104"/>
      <c r="D1451" s="104"/>
      <c r="E1451" s="104"/>
      <c r="F1451" s="104"/>
      <c r="G1451" s="104"/>
      <c r="H1451" s="104"/>
      <c r="I1451" s="104"/>
      <c r="J1451" s="104"/>
      <c r="K1451" s="104"/>
      <c r="L1451" s="104"/>
      <c r="R1451" s="105"/>
      <c r="S1451" s="105"/>
      <c r="T1451" s="105"/>
      <c r="U1451" s="105"/>
      <c r="V1451" s="105"/>
      <c r="W1451" s="105"/>
      <c r="AD1451" s="106"/>
      <c r="AE1451" s="97"/>
      <c r="AF1451" s="97"/>
      <c r="AG1451" s="97"/>
      <c r="AH1451" s="97"/>
      <c r="AI1451" s="97"/>
      <c r="AJ1451" s="97"/>
      <c r="AK1451" s="97"/>
      <c r="AL1451" s="97"/>
      <c r="AM1451" s="97"/>
      <c r="AN1451" s="97"/>
      <c r="AO1451" s="97"/>
      <c r="AP1451" s="97"/>
      <c r="AQ1451" s="97"/>
    </row>
    <row r="1452" spans="2:43" s="101" customFormat="1" ht="15" customHeight="1">
      <c r="B1452" s="104"/>
      <c r="C1452" s="104"/>
      <c r="D1452" s="104"/>
      <c r="E1452" s="104"/>
      <c r="F1452" s="104"/>
      <c r="G1452" s="104"/>
      <c r="H1452" s="104"/>
      <c r="I1452" s="104"/>
      <c r="J1452" s="104"/>
      <c r="K1452" s="104"/>
      <c r="L1452" s="104"/>
      <c r="R1452" s="105"/>
      <c r="S1452" s="105"/>
      <c r="T1452" s="105"/>
      <c r="U1452" s="105"/>
      <c r="V1452" s="105"/>
      <c r="W1452" s="105"/>
      <c r="AD1452" s="106"/>
      <c r="AE1452" s="97"/>
      <c r="AF1452" s="97"/>
      <c r="AG1452" s="97"/>
      <c r="AH1452" s="97"/>
      <c r="AI1452" s="97"/>
      <c r="AJ1452" s="97"/>
      <c r="AK1452" s="97"/>
      <c r="AL1452" s="97"/>
      <c r="AM1452" s="97"/>
      <c r="AN1452" s="97"/>
      <c r="AO1452" s="97"/>
      <c r="AP1452" s="97"/>
      <c r="AQ1452" s="97"/>
    </row>
    <row r="1453" spans="2:43" s="101" customFormat="1" ht="15" customHeight="1">
      <c r="B1453" s="104"/>
      <c r="C1453" s="104"/>
      <c r="D1453" s="104"/>
      <c r="E1453" s="104"/>
      <c r="F1453" s="104"/>
      <c r="G1453" s="104"/>
      <c r="H1453" s="104"/>
      <c r="I1453" s="104"/>
      <c r="J1453" s="104"/>
      <c r="K1453" s="104"/>
      <c r="L1453" s="104"/>
      <c r="R1453" s="105"/>
      <c r="S1453" s="105"/>
      <c r="T1453" s="105"/>
      <c r="U1453" s="105"/>
      <c r="V1453" s="105"/>
      <c r="W1453" s="105"/>
      <c r="AD1453" s="106"/>
      <c r="AE1453" s="97"/>
      <c r="AF1453" s="97"/>
      <c r="AG1453" s="97"/>
      <c r="AH1453" s="97"/>
      <c r="AI1453" s="97"/>
      <c r="AJ1453" s="97"/>
      <c r="AK1453" s="97"/>
      <c r="AL1453" s="97"/>
      <c r="AM1453" s="97"/>
      <c r="AN1453" s="97"/>
      <c r="AO1453" s="97"/>
      <c r="AP1453" s="97"/>
      <c r="AQ1453" s="97"/>
    </row>
    <row r="1454" spans="2:43" s="101" customFormat="1" ht="15" customHeight="1">
      <c r="B1454" s="104"/>
      <c r="C1454" s="104"/>
      <c r="D1454" s="104"/>
      <c r="E1454" s="104"/>
      <c r="F1454" s="104"/>
      <c r="G1454" s="104"/>
      <c r="H1454" s="104"/>
      <c r="I1454" s="104"/>
      <c r="J1454" s="104"/>
      <c r="K1454" s="104"/>
      <c r="L1454" s="104"/>
      <c r="R1454" s="105"/>
      <c r="S1454" s="105"/>
      <c r="T1454" s="105"/>
      <c r="U1454" s="105"/>
      <c r="V1454" s="105"/>
      <c r="W1454" s="105"/>
      <c r="AD1454" s="106"/>
      <c r="AE1454" s="97"/>
      <c r="AF1454" s="97"/>
      <c r="AG1454" s="97"/>
      <c r="AH1454" s="97"/>
      <c r="AI1454" s="97"/>
      <c r="AJ1454" s="97"/>
      <c r="AK1454" s="97"/>
      <c r="AL1454" s="97"/>
      <c r="AM1454" s="97"/>
      <c r="AN1454" s="97"/>
      <c r="AO1454" s="97"/>
      <c r="AP1454" s="97"/>
      <c r="AQ1454" s="97"/>
    </row>
    <row r="1455" spans="2:43" s="101" customFormat="1" ht="15" customHeight="1">
      <c r="B1455" s="104"/>
      <c r="C1455" s="104"/>
      <c r="D1455" s="104"/>
      <c r="E1455" s="104"/>
      <c r="F1455" s="104"/>
      <c r="G1455" s="104"/>
      <c r="H1455" s="104"/>
      <c r="I1455" s="104"/>
      <c r="J1455" s="104"/>
      <c r="K1455" s="104"/>
      <c r="L1455" s="104"/>
      <c r="R1455" s="105"/>
      <c r="S1455" s="105"/>
      <c r="T1455" s="105"/>
      <c r="U1455" s="105"/>
      <c r="V1455" s="105"/>
      <c r="W1455" s="105"/>
      <c r="AD1455" s="106"/>
      <c r="AE1455" s="97"/>
      <c r="AF1455" s="97"/>
      <c r="AG1455" s="97"/>
      <c r="AH1455" s="97"/>
      <c r="AI1455" s="97"/>
      <c r="AJ1455" s="97"/>
      <c r="AK1455" s="97"/>
      <c r="AL1455" s="97"/>
      <c r="AM1455" s="97"/>
      <c r="AN1455" s="97"/>
      <c r="AO1455" s="97"/>
      <c r="AP1455" s="97"/>
      <c r="AQ1455" s="97"/>
    </row>
    <row r="1456" spans="2:43" s="101" customFormat="1" ht="15" customHeight="1">
      <c r="B1456" s="104"/>
      <c r="C1456" s="104"/>
      <c r="D1456" s="104"/>
      <c r="E1456" s="104"/>
      <c r="F1456" s="104"/>
      <c r="G1456" s="104"/>
      <c r="H1456" s="104"/>
      <c r="I1456" s="104"/>
      <c r="J1456" s="104"/>
      <c r="K1456" s="104"/>
      <c r="L1456" s="104"/>
      <c r="R1456" s="105"/>
      <c r="S1456" s="105"/>
      <c r="T1456" s="105"/>
      <c r="U1456" s="105"/>
      <c r="V1456" s="105"/>
      <c r="W1456" s="105"/>
      <c r="AD1456" s="106"/>
      <c r="AE1456" s="97"/>
      <c r="AF1456" s="97"/>
      <c r="AG1456" s="97"/>
      <c r="AH1456" s="97"/>
      <c r="AI1456" s="97"/>
      <c r="AJ1456" s="97"/>
      <c r="AK1456" s="97"/>
      <c r="AL1456" s="97"/>
      <c r="AM1456" s="97"/>
      <c r="AN1456" s="97"/>
      <c r="AO1456" s="97"/>
      <c r="AP1456" s="97"/>
      <c r="AQ1456" s="97"/>
    </row>
    <row r="1457" spans="2:43" s="101" customFormat="1" ht="15" customHeight="1">
      <c r="B1457" s="104"/>
      <c r="C1457" s="104"/>
      <c r="D1457" s="104"/>
      <c r="E1457" s="104"/>
      <c r="F1457" s="104"/>
      <c r="G1457" s="104"/>
      <c r="H1457" s="104"/>
      <c r="I1457" s="104"/>
      <c r="J1457" s="104"/>
      <c r="K1457" s="104"/>
      <c r="L1457" s="104"/>
      <c r="R1457" s="105"/>
      <c r="S1457" s="105"/>
      <c r="T1457" s="105"/>
      <c r="U1457" s="105"/>
      <c r="V1457" s="105"/>
      <c r="W1457" s="105"/>
      <c r="AD1457" s="106"/>
      <c r="AE1457" s="97"/>
      <c r="AF1457" s="97"/>
      <c r="AG1457" s="97"/>
      <c r="AH1457" s="97"/>
      <c r="AI1457" s="97"/>
      <c r="AJ1457" s="97"/>
      <c r="AK1457" s="97"/>
      <c r="AL1457" s="97"/>
      <c r="AM1457" s="97"/>
      <c r="AN1457" s="97"/>
      <c r="AO1457" s="97"/>
      <c r="AP1457" s="97"/>
      <c r="AQ1457" s="97"/>
    </row>
    <row r="1458" spans="2:43" s="101" customFormat="1" ht="15" customHeight="1">
      <c r="B1458" s="104"/>
      <c r="C1458" s="104"/>
      <c r="D1458" s="104"/>
      <c r="E1458" s="104"/>
      <c r="F1458" s="104"/>
      <c r="G1458" s="104"/>
      <c r="H1458" s="104"/>
      <c r="I1458" s="104"/>
      <c r="J1458" s="104"/>
      <c r="K1458" s="104"/>
      <c r="L1458" s="104"/>
      <c r="R1458" s="105"/>
      <c r="S1458" s="105"/>
      <c r="T1458" s="105"/>
      <c r="U1458" s="105"/>
      <c r="V1458" s="105"/>
      <c r="W1458" s="105"/>
      <c r="AD1458" s="106"/>
      <c r="AE1458" s="97"/>
      <c r="AF1458" s="97"/>
      <c r="AG1458" s="97"/>
      <c r="AH1458" s="97"/>
      <c r="AI1458" s="97"/>
      <c r="AJ1458" s="97"/>
      <c r="AK1458" s="97"/>
      <c r="AL1458" s="97"/>
      <c r="AM1458" s="97"/>
      <c r="AN1458" s="97"/>
      <c r="AO1458" s="97"/>
      <c r="AP1458" s="97"/>
      <c r="AQ1458" s="97"/>
    </row>
    <row r="1459" spans="2:43" s="101" customFormat="1" ht="15" customHeight="1">
      <c r="B1459" s="104"/>
      <c r="C1459" s="104"/>
      <c r="D1459" s="104"/>
      <c r="E1459" s="104"/>
      <c r="F1459" s="104"/>
      <c r="G1459" s="104"/>
      <c r="H1459" s="104"/>
      <c r="I1459" s="104"/>
      <c r="J1459" s="104"/>
      <c r="K1459" s="104"/>
      <c r="L1459" s="104"/>
      <c r="R1459" s="105"/>
      <c r="S1459" s="105"/>
      <c r="T1459" s="105"/>
      <c r="U1459" s="105"/>
      <c r="V1459" s="105"/>
      <c r="W1459" s="105"/>
      <c r="AD1459" s="106"/>
      <c r="AE1459" s="97"/>
      <c r="AF1459" s="97"/>
      <c r="AG1459" s="97"/>
      <c r="AH1459" s="97"/>
      <c r="AI1459" s="97"/>
      <c r="AJ1459" s="97"/>
      <c r="AK1459" s="97"/>
      <c r="AL1459" s="97"/>
      <c r="AM1459" s="97"/>
      <c r="AN1459" s="97"/>
      <c r="AO1459" s="97"/>
      <c r="AP1459" s="97"/>
      <c r="AQ1459" s="97"/>
    </row>
    <row r="1460" spans="2:43" s="101" customFormat="1" ht="15" customHeight="1">
      <c r="B1460" s="104"/>
      <c r="C1460" s="104"/>
      <c r="D1460" s="104"/>
      <c r="E1460" s="104"/>
      <c r="F1460" s="104"/>
      <c r="G1460" s="104"/>
      <c r="H1460" s="104"/>
      <c r="I1460" s="104"/>
      <c r="J1460" s="104"/>
      <c r="K1460" s="104"/>
      <c r="L1460" s="104"/>
      <c r="R1460" s="105"/>
      <c r="S1460" s="105"/>
      <c r="T1460" s="105"/>
      <c r="U1460" s="105"/>
      <c r="V1460" s="105"/>
      <c r="W1460" s="105"/>
      <c r="AD1460" s="106"/>
      <c r="AE1460" s="97"/>
      <c r="AF1460" s="97"/>
      <c r="AG1460" s="97"/>
      <c r="AH1460" s="97"/>
      <c r="AI1460" s="97"/>
      <c r="AJ1460" s="97"/>
      <c r="AK1460" s="97"/>
      <c r="AL1460" s="97"/>
      <c r="AM1460" s="97"/>
      <c r="AN1460" s="97"/>
      <c r="AO1460" s="97"/>
      <c r="AP1460" s="97"/>
      <c r="AQ1460" s="97"/>
    </row>
    <row r="1461" spans="2:43" s="101" customFormat="1" ht="15" customHeight="1">
      <c r="B1461" s="104"/>
      <c r="C1461" s="104"/>
      <c r="D1461" s="104"/>
      <c r="E1461" s="104"/>
      <c r="F1461" s="104"/>
      <c r="G1461" s="104"/>
      <c r="H1461" s="104"/>
      <c r="I1461" s="104"/>
      <c r="J1461" s="104"/>
      <c r="K1461" s="104"/>
      <c r="L1461" s="104"/>
      <c r="R1461" s="105"/>
      <c r="S1461" s="105"/>
      <c r="T1461" s="105"/>
      <c r="U1461" s="105"/>
      <c r="V1461" s="105"/>
      <c r="W1461" s="105"/>
      <c r="AD1461" s="106"/>
      <c r="AE1461" s="97"/>
      <c r="AF1461" s="97"/>
      <c r="AG1461" s="97"/>
      <c r="AH1461" s="97"/>
      <c r="AI1461" s="97"/>
      <c r="AJ1461" s="97"/>
      <c r="AK1461" s="97"/>
      <c r="AL1461" s="97"/>
      <c r="AM1461" s="97"/>
      <c r="AN1461" s="97"/>
      <c r="AO1461" s="97"/>
      <c r="AP1461" s="97"/>
      <c r="AQ1461" s="97"/>
    </row>
    <row r="1462" spans="2:43" s="101" customFormat="1" ht="15" customHeight="1">
      <c r="B1462" s="104"/>
      <c r="C1462" s="104"/>
      <c r="D1462" s="104"/>
      <c r="E1462" s="104"/>
      <c r="F1462" s="104"/>
      <c r="G1462" s="104"/>
      <c r="H1462" s="104"/>
      <c r="I1462" s="104"/>
      <c r="J1462" s="104"/>
      <c r="K1462" s="104"/>
      <c r="L1462" s="104"/>
      <c r="R1462" s="105"/>
      <c r="S1462" s="105"/>
      <c r="T1462" s="105"/>
      <c r="U1462" s="105"/>
      <c r="V1462" s="105"/>
      <c r="W1462" s="105"/>
      <c r="AD1462" s="106"/>
      <c r="AE1462" s="97"/>
      <c r="AF1462" s="97"/>
      <c r="AG1462" s="97"/>
      <c r="AH1462" s="97"/>
      <c r="AI1462" s="97"/>
      <c r="AJ1462" s="97"/>
      <c r="AK1462" s="97"/>
      <c r="AL1462" s="97"/>
      <c r="AM1462" s="97"/>
      <c r="AN1462" s="97"/>
      <c r="AO1462" s="97"/>
      <c r="AP1462" s="97"/>
      <c r="AQ1462" s="97"/>
    </row>
    <row r="1463" spans="2:43" s="101" customFormat="1" ht="15" customHeight="1">
      <c r="B1463" s="104"/>
      <c r="C1463" s="104"/>
      <c r="D1463" s="104"/>
      <c r="E1463" s="104"/>
      <c r="F1463" s="104"/>
      <c r="G1463" s="104"/>
      <c r="H1463" s="104"/>
      <c r="I1463" s="104"/>
      <c r="J1463" s="104"/>
      <c r="K1463" s="104"/>
      <c r="L1463" s="104"/>
      <c r="R1463" s="105"/>
      <c r="S1463" s="105"/>
      <c r="T1463" s="105"/>
      <c r="U1463" s="105"/>
      <c r="V1463" s="105"/>
      <c r="W1463" s="105"/>
      <c r="AD1463" s="106"/>
      <c r="AE1463" s="97"/>
      <c r="AF1463" s="97"/>
      <c r="AG1463" s="97"/>
      <c r="AH1463" s="97"/>
      <c r="AI1463" s="97"/>
      <c r="AJ1463" s="97"/>
      <c r="AK1463" s="97"/>
      <c r="AL1463" s="97"/>
      <c r="AM1463" s="97"/>
      <c r="AN1463" s="97"/>
      <c r="AO1463" s="97"/>
      <c r="AP1463" s="97"/>
      <c r="AQ1463" s="97"/>
    </row>
    <row r="1464" spans="2:43" s="101" customFormat="1" ht="15" customHeight="1">
      <c r="B1464" s="104"/>
      <c r="C1464" s="104"/>
      <c r="D1464" s="104"/>
      <c r="E1464" s="104"/>
      <c r="F1464" s="104"/>
      <c r="G1464" s="104"/>
      <c r="H1464" s="104"/>
      <c r="I1464" s="104"/>
      <c r="J1464" s="104"/>
      <c r="K1464" s="104"/>
      <c r="L1464" s="104"/>
      <c r="R1464" s="105"/>
      <c r="S1464" s="105"/>
      <c r="T1464" s="105"/>
      <c r="U1464" s="105"/>
      <c r="V1464" s="105"/>
      <c r="W1464" s="105"/>
      <c r="AD1464" s="106"/>
      <c r="AE1464" s="97"/>
      <c r="AF1464" s="97"/>
      <c r="AG1464" s="97"/>
      <c r="AH1464" s="97"/>
      <c r="AI1464" s="97"/>
      <c r="AJ1464" s="97"/>
      <c r="AK1464" s="97"/>
      <c r="AL1464" s="97"/>
      <c r="AM1464" s="97"/>
      <c r="AN1464" s="97"/>
      <c r="AO1464" s="97"/>
      <c r="AP1464" s="97"/>
      <c r="AQ1464" s="97"/>
    </row>
    <row r="1465" spans="2:43" s="101" customFormat="1" ht="15" customHeight="1">
      <c r="B1465" s="104"/>
      <c r="C1465" s="104"/>
      <c r="D1465" s="104"/>
      <c r="E1465" s="104"/>
      <c r="F1465" s="104"/>
      <c r="G1465" s="104"/>
      <c r="H1465" s="104"/>
      <c r="I1465" s="104"/>
      <c r="J1465" s="104"/>
      <c r="K1465" s="104"/>
      <c r="L1465" s="104"/>
      <c r="R1465" s="105"/>
      <c r="S1465" s="105"/>
      <c r="T1465" s="105"/>
      <c r="U1465" s="105"/>
      <c r="V1465" s="105"/>
      <c r="W1465" s="105"/>
      <c r="AD1465" s="106"/>
      <c r="AE1465" s="97"/>
      <c r="AF1465" s="97"/>
      <c r="AG1465" s="97"/>
      <c r="AH1465" s="97"/>
      <c r="AI1465" s="97"/>
      <c r="AJ1465" s="97"/>
      <c r="AK1465" s="97"/>
      <c r="AL1465" s="97"/>
      <c r="AM1465" s="97"/>
      <c r="AN1465" s="97"/>
      <c r="AO1465" s="97"/>
      <c r="AP1465" s="97"/>
      <c r="AQ1465" s="97"/>
    </row>
    <row r="1466" spans="2:43" s="101" customFormat="1" ht="15" customHeight="1">
      <c r="B1466" s="104"/>
      <c r="C1466" s="104"/>
      <c r="D1466" s="104"/>
      <c r="E1466" s="104"/>
      <c r="F1466" s="104"/>
      <c r="G1466" s="104"/>
      <c r="H1466" s="104"/>
      <c r="I1466" s="104"/>
      <c r="J1466" s="104"/>
      <c r="K1466" s="104"/>
      <c r="L1466" s="104"/>
      <c r="R1466" s="105"/>
      <c r="S1466" s="105"/>
      <c r="T1466" s="105"/>
      <c r="U1466" s="105"/>
      <c r="V1466" s="105"/>
      <c r="W1466" s="105"/>
      <c r="AD1466" s="106"/>
      <c r="AE1466" s="97"/>
      <c r="AF1466" s="97"/>
      <c r="AG1466" s="97"/>
      <c r="AH1466" s="97"/>
      <c r="AI1466" s="97"/>
      <c r="AJ1466" s="97"/>
      <c r="AK1466" s="97"/>
      <c r="AL1466" s="97"/>
      <c r="AM1466" s="97"/>
      <c r="AN1466" s="97"/>
      <c r="AO1466" s="97"/>
      <c r="AP1466" s="97"/>
      <c r="AQ1466" s="97"/>
    </row>
    <row r="1467" spans="2:43" s="101" customFormat="1" ht="15" customHeight="1">
      <c r="B1467" s="104"/>
      <c r="C1467" s="104"/>
      <c r="D1467" s="104"/>
      <c r="E1467" s="104"/>
      <c r="F1467" s="104"/>
      <c r="G1467" s="104"/>
      <c r="H1467" s="104"/>
      <c r="I1467" s="104"/>
      <c r="J1467" s="104"/>
      <c r="K1467" s="104"/>
      <c r="L1467" s="104"/>
      <c r="R1467" s="105"/>
      <c r="S1467" s="105"/>
      <c r="T1467" s="105"/>
      <c r="U1467" s="105"/>
      <c r="V1467" s="105"/>
      <c r="W1467" s="105"/>
      <c r="AD1467" s="106"/>
      <c r="AE1467" s="97"/>
      <c r="AF1467" s="97"/>
      <c r="AG1467" s="97"/>
      <c r="AH1467" s="97"/>
      <c r="AI1467" s="97"/>
      <c r="AJ1467" s="97"/>
      <c r="AK1467" s="97"/>
      <c r="AL1467" s="97"/>
      <c r="AM1467" s="97"/>
      <c r="AN1467" s="97"/>
      <c r="AO1467" s="97"/>
      <c r="AP1467" s="97"/>
      <c r="AQ1467" s="97"/>
    </row>
    <row r="1468" spans="2:43" s="101" customFormat="1" ht="15" customHeight="1">
      <c r="B1468" s="104"/>
      <c r="C1468" s="104"/>
      <c r="D1468" s="104"/>
      <c r="E1468" s="104"/>
      <c r="F1468" s="104"/>
      <c r="G1468" s="104"/>
      <c r="H1468" s="104"/>
      <c r="I1468" s="104"/>
      <c r="J1468" s="104"/>
      <c r="K1468" s="104"/>
      <c r="L1468" s="104"/>
      <c r="R1468" s="105"/>
      <c r="S1468" s="105"/>
      <c r="T1468" s="105"/>
      <c r="U1468" s="105"/>
      <c r="V1468" s="105"/>
      <c r="W1468" s="105"/>
      <c r="AD1468" s="106"/>
      <c r="AE1468" s="97"/>
      <c r="AF1468" s="97"/>
      <c r="AG1468" s="97"/>
      <c r="AH1468" s="97"/>
      <c r="AI1468" s="97"/>
      <c r="AJ1468" s="97"/>
      <c r="AK1468" s="97"/>
      <c r="AL1468" s="97"/>
      <c r="AM1468" s="97"/>
      <c r="AN1468" s="97"/>
      <c r="AO1468" s="97"/>
      <c r="AP1468" s="97"/>
      <c r="AQ1468" s="97"/>
    </row>
    <row r="1469" spans="2:43" s="101" customFormat="1" ht="15" customHeight="1">
      <c r="B1469" s="104"/>
      <c r="C1469" s="104"/>
      <c r="D1469" s="104"/>
      <c r="E1469" s="104"/>
      <c r="F1469" s="104"/>
      <c r="G1469" s="104"/>
      <c r="H1469" s="104"/>
      <c r="I1469" s="104"/>
      <c r="J1469" s="104"/>
      <c r="K1469" s="104"/>
      <c r="L1469" s="104"/>
      <c r="R1469" s="105"/>
      <c r="S1469" s="105"/>
      <c r="T1469" s="105"/>
      <c r="U1469" s="105"/>
      <c r="V1469" s="105"/>
      <c r="W1469" s="105"/>
      <c r="AD1469" s="106"/>
      <c r="AE1469" s="97"/>
      <c r="AF1469" s="97"/>
      <c r="AG1469" s="97"/>
      <c r="AH1469" s="97"/>
      <c r="AI1469" s="97"/>
      <c r="AJ1469" s="97"/>
      <c r="AK1469" s="97"/>
      <c r="AL1469" s="97"/>
      <c r="AM1469" s="97"/>
      <c r="AN1469" s="97"/>
      <c r="AO1469" s="97"/>
      <c r="AP1469" s="97"/>
      <c r="AQ1469" s="97"/>
    </row>
    <row r="1470" spans="2:43" s="101" customFormat="1" ht="15" customHeight="1">
      <c r="B1470" s="104"/>
      <c r="C1470" s="104"/>
      <c r="D1470" s="104"/>
      <c r="E1470" s="104"/>
      <c r="F1470" s="104"/>
      <c r="G1470" s="104"/>
      <c r="H1470" s="104"/>
      <c r="I1470" s="104"/>
      <c r="J1470" s="104"/>
      <c r="K1470" s="104"/>
      <c r="L1470" s="104"/>
      <c r="R1470" s="105"/>
      <c r="S1470" s="105"/>
      <c r="T1470" s="105"/>
      <c r="U1470" s="105"/>
      <c r="V1470" s="105"/>
      <c r="W1470" s="105"/>
      <c r="AD1470" s="106"/>
      <c r="AE1470" s="97"/>
      <c r="AF1470" s="97"/>
      <c r="AG1470" s="97"/>
      <c r="AH1470" s="97"/>
      <c r="AI1470" s="97"/>
      <c r="AJ1470" s="97"/>
      <c r="AK1470" s="97"/>
      <c r="AL1470" s="97"/>
      <c r="AM1470" s="97"/>
      <c r="AN1470" s="97"/>
      <c r="AO1470" s="97"/>
      <c r="AP1470" s="97"/>
      <c r="AQ1470" s="97"/>
    </row>
    <row r="1471" spans="2:43" s="101" customFormat="1" ht="15" customHeight="1">
      <c r="B1471" s="104"/>
      <c r="C1471" s="104"/>
      <c r="D1471" s="104"/>
      <c r="E1471" s="104"/>
      <c r="F1471" s="104"/>
      <c r="G1471" s="104"/>
      <c r="H1471" s="104"/>
      <c r="I1471" s="104"/>
      <c r="J1471" s="104"/>
      <c r="K1471" s="104"/>
      <c r="L1471" s="104"/>
      <c r="R1471" s="105"/>
      <c r="S1471" s="105"/>
      <c r="T1471" s="105"/>
      <c r="U1471" s="105"/>
      <c r="V1471" s="105"/>
      <c r="W1471" s="105"/>
      <c r="AD1471" s="106"/>
      <c r="AE1471" s="97"/>
      <c r="AF1471" s="97"/>
      <c r="AG1471" s="97"/>
      <c r="AH1471" s="97"/>
      <c r="AI1471" s="97"/>
      <c r="AJ1471" s="97"/>
      <c r="AK1471" s="97"/>
      <c r="AL1471" s="97"/>
      <c r="AM1471" s="97"/>
      <c r="AN1471" s="97"/>
      <c r="AO1471" s="97"/>
      <c r="AP1471" s="97"/>
      <c r="AQ1471" s="97"/>
    </row>
    <row r="1472" spans="2:43" s="101" customFormat="1" ht="15" customHeight="1">
      <c r="B1472" s="104"/>
      <c r="C1472" s="104"/>
      <c r="D1472" s="104"/>
      <c r="E1472" s="104"/>
      <c r="F1472" s="104"/>
      <c r="G1472" s="104"/>
      <c r="H1472" s="104"/>
      <c r="I1472" s="104"/>
      <c r="J1472" s="104"/>
      <c r="K1472" s="104"/>
      <c r="L1472" s="104"/>
      <c r="R1472" s="105"/>
      <c r="S1472" s="105"/>
      <c r="T1472" s="105"/>
      <c r="U1472" s="105"/>
      <c r="V1472" s="105"/>
      <c r="W1472" s="105"/>
      <c r="AD1472" s="106"/>
      <c r="AE1472" s="97"/>
      <c r="AF1472" s="97"/>
      <c r="AG1472" s="97"/>
      <c r="AH1472" s="97"/>
      <c r="AI1472" s="97"/>
      <c r="AJ1472" s="97"/>
      <c r="AK1472" s="97"/>
      <c r="AL1472" s="97"/>
      <c r="AM1472" s="97"/>
      <c r="AN1472" s="97"/>
      <c r="AO1472" s="97"/>
      <c r="AP1472" s="97"/>
      <c r="AQ1472" s="97"/>
    </row>
    <row r="1473" spans="2:43" s="101" customFormat="1" ht="15" customHeight="1">
      <c r="B1473" s="104"/>
      <c r="C1473" s="104"/>
      <c r="D1473" s="104"/>
      <c r="E1473" s="104"/>
      <c r="F1473" s="104"/>
      <c r="G1473" s="104"/>
      <c r="H1473" s="104"/>
      <c r="I1473" s="104"/>
      <c r="J1473" s="104"/>
      <c r="K1473" s="104"/>
      <c r="L1473" s="104"/>
      <c r="R1473" s="105"/>
      <c r="S1473" s="105"/>
      <c r="T1473" s="105"/>
      <c r="U1473" s="105"/>
      <c r="V1473" s="105"/>
      <c r="W1473" s="105"/>
      <c r="AD1473" s="106"/>
      <c r="AE1473" s="97"/>
      <c r="AF1473" s="97"/>
      <c r="AG1473" s="97"/>
      <c r="AH1473" s="97"/>
      <c r="AI1473" s="97"/>
      <c r="AJ1473" s="97"/>
      <c r="AK1473" s="97"/>
      <c r="AL1473" s="97"/>
      <c r="AM1473" s="97"/>
      <c r="AN1473" s="97"/>
      <c r="AO1473" s="97"/>
      <c r="AP1473" s="97"/>
      <c r="AQ1473" s="97"/>
    </row>
    <row r="1474" spans="2:43" s="101" customFormat="1" ht="15" customHeight="1">
      <c r="B1474" s="104"/>
      <c r="C1474" s="104"/>
      <c r="D1474" s="104"/>
      <c r="E1474" s="104"/>
      <c r="F1474" s="104"/>
      <c r="G1474" s="104"/>
      <c r="H1474" s="104"/>
      <c r="I1474" s="104"/>
      <c r="J1474" s="104"/>
      <c r="K1474" s="104"/>
      <c r="L1474" s="104"/>
      <c r="R1474" s="105"/>
      <c r="S1474" s="105"/>
      <c r="T1474" s="105"/>
      <c r="U1474" s="105"/>
      <c r="V1474" s="105"/>
      <c r="W1474" s="105"/>
      <c r="AD1474" s="106"/>
      <c r="AE1474" s="97"/>
      <c r="AF1474" s="97"/>
      <c r="AG1474" s="97"/>
      <c r="AH1474" s="97"/>
      <c r="AI1474" s="97"/>
      <c r="AJ1474" s="97"/>
      <c r="AK1474" s="97"/>
      <c r="AL1474" s="97"/>
      <c r="AM1474" s="97"/>
      <c r="AN1474" s="97"/>
      <c r="AO1474" s="97"/>
      <c r="AP1474" s="97"/>
      <c r="AQ1474" s="97"/>
    </row>
    <row r="1475" spans="2:43" s="101" customFormat="1" ht="15" customHeight="1">
      <c r="B1475" s="104"/>
      <c r="C1475" s="104"/>
      <c r="D1475" s="104"/>
      <c r="E1475" s="104"/>
      <c r="F1475" s="104"/>
      <c r="G1475" s="104"/>
      <c r="H1475" s="104"/>
      <c r="I1475" s="104"/>
      <c r="J1475" s="104"/>
      <c r="K1475" s="104"/>
      <c r="L1475" s="104"/>
      <c r="R1475" s="105"/>
      <c r="S1475" s="105"/>
      <c r="T1475" s="105"/>
      <c r="U1475" s="105"/>
      <c r="V1475" s="105"/>
      <c r="W1475" s="105"/>
      <c r="AD1475" s="106"/>
      <c r="AE1475" s="97"/>
      <c r="AF1475" s="97"/>
      <c r="AG1475" s="97"/>
      <c r="AH1475" s="97"/>
      <c r="AI1475" s="97"/>
      <c r="AJ1475" s="97"/>
      <c r="AK1475" s="97"/>
      <c r="AL1475" s="97"/>
      <c r="AM1475" s="97"/>
      <c r="AN1475" s="97"/>
      <c r="AO1475" s="97"/>
      <c r="AP1475" s="97"/>
      <c r="AQ1475" s="97"/>
    </row>
    <row r="1476" spans="2:43" s="101" customFormat="1" ht="15" customHeight="1">
      <c r="B1476" s="104"/>
      <c r="C1476" s="104"/>
      <c r="D1476" s="104"/>
      <c r="E1476" s="104"/>
      <c r="F1476" s="104"/>
      <c r="G1476" s="104"/>
      <c r="H1476" s="104"/>
      <c r="I1476" s="104"/>
      <c r="J1476" s="104"/>
      <c r="K1476" s="104"/>
      <c r="L1476" s="104"/>
      <c r="R1476" s="105"/>
      <c r="S1476" s="105"/>
      <c r="T1476" s="105"/>
      <c r="U1476" s="105"/>
      <c r="V1476" s="105"/>
      <c r="W1476" s="105"/>
      <c r="AD1476" s="106"/>
      <c r="AE1476" s="97"/>
      <c r="AF1476" s="97"/>
      <c r="AG1476" s="97"/>
      <c r="AH1476" s="97"/>
      <c r="AI1476" s="97"/>
      <c r="AJ1476" s="97"/>
      <c r="AK1476" s="97"/>
      <c r="AL1476" s="97"/>
      <c r="AM1476" s="97"/>
      <c r="AN1476" s="97"/>
      <c r="AO1476" s="97"/>
      <c r="AP1476" s="97"/>
      <c r="AQ1476" s="97"/>
    </row>
    <row r="1477" spans="2:43" s="101" customFormat="1" ht="15" customHeight="1">
      <c r="B1477" s="104"/>
      <c r="C1477" s="104"/>
      <c r="D1477" s="104"/>
      <c r="E1477" s="104"/>
      <c r="F1477" s="104"/>
      <c r="G1477" s="104"/>
      <c r="H1477" s="104"/>
      <c r="I1477" s="104"/>
      <c r="J1477" s="104"/>
      <c r="K1477" s="104"/>
      <c r="L1477" s="104"/>
      <c r="R1477" s="105"/>
      <c r="S1477" s="105"/>
      <c r="T1477" s="105"/>
      <c r="U1477" s="105"/>
      <c r="V1477" s="105"/>
      <c r="W1477" s="105"/>
      <c r="AD1477" s="106"/>
      <c r="AE1477" s="97"/>
      <c r="AF1477" s="97"/>
      <c r="AG1477" s="97"/>
      <c r="AH1477" s="97"/>
      <c r="AI1477" s="97"/>
      <c r="AJ1477" s="97"/>
      <c r="AK1477" s="97"/>
      <c r="AL1477" s="97"/>
      <c r="AM1477" s="97"/>
      <c r="AN1477" s="97"/>
      <c r="AO1477" s="97"/>
      <c r="AP1477" s="97"/>
      <c r="AQ1477" s="97"/>
    </row>
    <row r="1478" spans="2:43" s="101" customFormat="1" ht="15" customHeight="1">
      <c r="B1478" s="104"/>
      <c r="C1478" s="104"/>
      <c r="D1478" s="104"/>
      <c r="E1478" s="104"/>
      <c r="F1478" s="104"/>
      <c r="G1478" s="104"/>
      <c r="H1478" s="104"/>
      <c r="I1478" s="104"/>
      <c r="J1478" s="104"/>
      <c r="K1478" s="104"/>
      <c r="L1478" s="104"/>
      <c r="R1478" s="105"/>
      <c r="S1478" s="105"/>
      <c r="T1478" s="105"/>
      <c r="U1478" s="105"/>
      <c r="V1478" s="105"/>
      <c r="W1478" s="105"/>
      <c r="AD1478" s="106"/>
      <c r="AE1478" s="97"/>
      <c r="AF1478" s="97"/>
      <c r="AG1478" s="97"/>
      <c r="AH1478" s="97"/>
      <c r="AI1478" s="97"/>
      <c r="AJ1478" s="97"/>
      <c r="AK1478" s="97"/>
      <c r="AL1478" s="97"/>
      <c r="AM1478" s="97"/>
      <c r="AN1478" s="97"/>
      <c r="AO1478" s="97"/>
      <c r="AP1478" s="97"/>
      <c r="AQ1478" s="97"/>
    </row>
    <row r="1479" spans="2:43" s="101" customFormat="1" ht="15" customHeight="1">
      <c r="B1479" s="104"/>
      <c r="C1479" s="104"/>
      <c r="D1479" s="104"/>
      <c r="E1479" s="104"/>
      <c r="F1479" s="104"/>
      <c r="G1479" s="104"/>
      <c r="H1479" s="104"/>
      <c r="I1479" s="104"/>
      <c r="J1479" s="104"/>
      <c r="K1479" s="104"/>
      <c r="L1479" s="104"/>
      <c r="R1479" s="105"/>
      <c r="S1479" s="105"/>
      <c r="T1479" s="105"/>
      <c r="U1479" s="105"/>
      <c r="V1479" s="105"/>
      <c r="W1479" s="105"/>
      <c r="AD1479" s="106"/>
      <c r="AE1479" s="97"/>
      <c r="AF1479" s="97"/>
      <c r="AG1479" s="97"/>
      <c r="AH1479" s="97"/>
      <c r="AI1479" s="97"/>
      <c r="AJ1479" s="97"/>
      <c r="AK1479" s="97"/>
      <c r="AL1479" s="97"/>
      <c r="AM1479" s="97"/>
      <c r="AN1479" s="97"/>
      <c r="AO1479" s="97"/>
      <c r="AP1479" s="97"/>
      <c r="AQ1479" s="97"/>
    </row>
    <row r="1480" spans="2:43" s="101" customFormat="1" ht="15" customHeight="1">
      <c r="B1480" s="104"/>
      <c r="C1480" s="104"/>
      <c r="D1480" s="104"/>
      <c r="E1480" s="104"/>
      <c r="F1480" s="104"/>
      <c r="G1480" s="104"/>
      <c r="H1480" s="104"/>
      <c r="I1480" s="104"/>
      <c r="J1480" s="104"/>
      <c r="K1480" s="104"/>
      <c r="L1480" s="104"/>
      <c r="R1480" s="105"/>
      <c r="S1480" s="105"/>
      <c r="T1480" s="105"/>
      <c r="U1480" s="105"/>
      <c r="V1480" s="105"/>
      <c r="W1480" s="105"/>
      <c r="AD1480" s="106"/>
      <c r="AE1480" s="97"/>
      <c r="AF1480" s="97"/>
      <c r="AG1480" s="97"/>
      <c r="AH1480" s="97"/>
      <c r="AI1480" s="97"/>
      <c r="AJ1480" s="97"/>
      <c r="AK1480" s="97"/>
      <c r="AL1480" s="97"/>
      <c r="AM1480" s="97"/>
      <c r="AN1480" s="97"/>
      <c r="AO1480" s="97"/>
      <c r="AP1480" s="97"/>
      <c r="AQ1480" s="97"/>
    </row>
    <row r="1481" spans="2:43" s="101" customFormat="1" ht="15" customHeight="1">
      <c r="B1481" s="104"/>
      <c r="C1481" s="104"/>
      <c r="D1481" s="104"/>
      <c r="E1481" s="104"/>
      <c r="F1481" s="104"/>
      <c r="G1481" s="104"/>
      <c r="H1481" s="104"/>
      <c r="I1481" s="104"/>
      <c r="J1481" s="104"/>
      <c r="K1481" s="104"/>
      <c r="L1481" s="104"/>
      <c r="R1481" s="105"/>
      <c r="S1481" s="105"/>
      <c r="T1481" s="105"/>
      <c r="U1481" s="105"/>
      <c r="V1481" s="105"/>
      <c r="W1481" s="105"/>
      <c r="AD1481" s="106"/>
      <c r="AE1481" s="97"/>
      <c r="AF1481" s="97"/>
      <c r="AG1481" s="97"/>
      <c r="AH1481" s="97"/>
      <c r="AI1481" s="97"/>
      <c r="AJ1481" s="97"/>
      <c r="AK1481" s="97"/>
      <c r="AL1481" s="97"/>
      <c r="AM1481" s="97"/>
      <c r="AN1481" s="97"/>
      <c r="AO1481" s="97"/>
      <c r="AP1481" s="97"/>
      <c r="AQ1481" s="97"/>
    </row>
    <row r="1482" spans="2:43" s="101" customFormat="1" ht="15" customHeight="1">
      <c r="B1482" s="104"/>
      <c r="C1482" s="104"/>
      <c r="D1482" s="104"/>
      <c r="E1482" s="104"/>
      <c r="F1482" s="104"/>
      <c r="G1482" s="104"/>
      <c r="H1482" s="104"/>
      <c r="I1482" s="104"/>
      <c r="J1482" s="104"/>
      <c r="K1482" s="104"/>
      <c r="L1482" s="104"/>
      <c r="R1482" s="105"/>
      <c r="S1482" s="105"/>
      <c r="T1482" s="105"/>
      <c r="U1482" s="105"/>
      <c r="V1482" s="105"/>
      <c r="W1482" s="105"/>
      <c r="AD1482" s="106"/>
      <c r="AE1482" s="97"/>
      <c r="AF1482" s="97"/>
      <c r="AG1482" s="97"/>
      <c r="AH1482" s="97"/>
      <c r="AI1482" s="97"/>
      <c r="AJ1482" s="97"/>
      <c r="AK1482" s="97"/>
      <c r="AL1482" s="97"/>
      <c r="AM1482" s="97"/>
      <c r="AN1482" s="97"/>
      <c r="AO1482" s="97"/>
      <c r="AP1482" s="97"/>
      <c r="AQ1482" s="97"/>
    </row>
    <row r="1483" spans="2:43" s="101" customFormat="1" ht="15" customHeight="1">
      <c r="B1483" s="104"/>
      <c r="C1483" s="104"/>
      <c r="D1483" s="104"/>
      <c r="E1483" s="104"/>
      <c r="F1483" s="104"/>
      <c r="G1483" s="104"/>
      <c r="H1483" s="104"/>
      <c r="I1483" s="104"/>
      <c r="J1483" s="104"/>
      <c r="K1483" s="104"/>
      <c r="L1483" s="104"/>
      <c r="R1483" s="105"/>
      <c r="S1483" s="105"/>
      <c r="T1483" s="105"/>
      <c r="U1483" s="105"/>
      <c r="V1483" s="105"/>
      <c r="W1483" s="105"/>
      <c r="AD1483" s="106"/>
      <c r="AE1483" s="97"/>
      <c r="AF1483" s="97"/>
      <c r="AG1483" s="97"/>
      <c r="AH1483" s="97"/>
      <c r="AI1483" s="97"/>
      <c r="AJ1483" s="97"/>
      <c r="AK1483" s="97"/>
      <c r="AL1483" s="97"/>
      <c r="AM1483" s="97"/>
      <c r="AN1483" s="97"/>
      <c r="AO1483" s="97"/>
      <c r="AP1483" s="97"/>
      <c r="AQ1483" s="97"/>
    </row>
    <row r="1484" spans="2:43" s="101" customFormat="1" ht="15" customHeight="1">
      <c r="B1484" s="104"/>
      <c r="C1484" s="104"/>
      <c r="D1484" s="104"/>
      <c r="E1484" s="104"/>
      <c r="F1484" s="104"/>
      <c r="G1484" s="104"/>
      <c r="H1484" s="104"/>
      <c r="I1484" s="104"/>
      <c r="J1484" s="104"/>
      <c r="K1484" s="104"/>
      <c r="L1484" s="104"/>
      <c r="R1484" s="105"/>
      <c r="S1484" s="105"/>
      <c r="T1484" s="105"/>
      <c r="U1484" s="105"/>
      <c r="V1484" s="105"/>
      <c r="W1484" s="105"/>
      <c r="AD1484" s="106"/>
      <c r="AE1484" s="97"/>
      <c r="AF1484" s="97"/>
      <c r="AG1484" s="97"/>
      <c r="AH1484" s="97"/>
      <c r="AI1484" s="97"/>
      <c r="AJ1484" s="97"/>
      <c r="AK1484" s="97"/>
      <c r="AL1484" s="97"/>
      <c r="AM1484" s="97"/>
      <c r="AN1484" s="97"/>
      <c r="AO1484" s="97"/>
      <c r="AP1484" s="97"/>
      <c r="AQ1484" s="97"/>
    </row>
    <row r="1485" spans="2:43" s="101" customFormat="1" ht="15" customHeight="1">
      <c r="B1485" s="104"/>
      <c r="C1485" s="104"/>
      <c r="D1485" s="104"/>
      <c r="E1485" s="104"/>
      <c r="F1485" s="104"/>
      <c r="G1485" s="104"/>
      <c r="H1485" s="104"/>
      <c r="I1485" s="104"/>
      <c r="J1485" s="104"/>
      <c r="K1485" s="104"/>
      <c r="L1485" s="104"/>
      <c r="R1485" s="105"/>
      <c r="S1485" s="105"/>
      <c r="T1485" s="105"/>
      <c r="U1485" s="105"/>
      <c r="V1485" s="105"/>
      <c r="W1485" s="105"/>
      <c r="AD1485" s="106"/>
      <c r="AE1485" s="97"/>
      <c r="AF1485" s="97"/>
      <c r="AG1485" s="97"/>
      <c r="AH1485" s="97"/>
      <c r="AI1485" s="97"/>
      <c r="AJ1485" s="97"/>
      <c r="AK1485" s="97"/>
      <c r="AL1485" s="97"/>
      <c r="AM1485" s="97"/>
      <c r="AN1485" s="97"/>
      <c r="AO1485" s="97"/>
      <c r="AP1485" s="97"/>
      <c r="AQ1485" s="97"/>
    </row>
    <row r="1486" spans="2:43" s="101" customFormat="1" ht="15" customHeight="1">
      <c r="B1486" s="104"/>
      <c r="C1486" s="104"/>
      <c r="D1486" s="104"/>
      <c r="E1486" s="104"/>
      <c r="F1486" s="104"/>
      <c r="G1486" s="104"/>
      <c r="H1486" s="104"/>
      <c r="I1486" s="104"/>
      <c r="J1486" s="104"/>
      <c r="K1486" s="104"/>
      <c r="L1486" s="104"/>
      <c r="R1486" s="105"/>
      <c r="S1486" s="105"/>
      <c r="T1486" s="105"/>
      <c r="U1486" s="105"/>
      <c r="V1486" s="105"/>
      <c r="W1486" s="105"/>
      <c r="AD1486" s="106"/>
      <c r="AE1486" s="97"/>
      <c r="AF1486" s="97"/>
      <c r="AG1486" s="97"/>
      <c r="AH1486" s="97"/>
      <c r="AI1486" s="97"/>
      <c r="AJ1486" s="97"/>
      <c r="AK1486" s="97"/>
      <c r="AL1486" s="97"/>
      <c r="AM1486" s="97"/>
      <c r="AN1486" s="97"/>
      <c r="AO1486" s="97"/>
      <c r="AP1486" s="97"/>
      <c r="AQ1486" s="97"/>
    </row>
    <row r="1487" spans="2:43" s="101" customFormat="1" ht="15" customHeight="1">
      <c r="B1487" s="104"/>
      <c r="C1487" s="104"/>
      <c r="D1487" s="104"/>
      <c r="E1487" s="104"/>
      <c r="F1487" s="104"/>
      <c r="G1487" s="104"/>
      <c r="H1487" s="104"/>
      <c r="I1487" s="104"/>
      <c r="J1487" s="104"/>
      <c r="K1487" s="104"/>
      <c r="L1487" s="104"/>
      <c r="R1487" s="105"/>
      <c r="S1487" s="105"/>
      <c r="T1487" s="105"/>
      <c r="U1487" s="105"/>
      <c r="V1487" s="105"/>
      <c r="W1487" s="105"/>
      <c r="AD1487" s="106"/>
      <c r="AE1487" s="97"/>
      <c r="AF1487" s="97"/>
      <c r="AG1487" s="97"/>
      <c r="AH1487" s="97"/>
      <c r="AI1487" s="97"/>
      <c r="AJ1487" s="97"/>
      <c r="AK1487" s="97"/>
      <c r="AL1487" s="97"/>
      <c r="AM1487" s="97"/>
      <c r="AN1487" s="97"/>
      <c r="AO1487" s="97"/>
      <c r="AP1487" s="97"/>
      <c r="AQ1487" s="97"/>
    </row>
    <row r="1488" spans="2:43" s="101" customFormat="1" ht="15" customHeight="1">
      <c r="B1488" s="104"/>
      <c r="C1488" s="104"/>
      <c r="D1488" s="104"/>
      <c r="E1488" s="104"/>
      <c r="F1488" s="104"/>
      <c r="G1488" s="104"/>
      <c r="H1488" s="104"/>
      <c r="I1488" s="104"/>
      <c r="J1488" s="104"/>
      <c r="K1488" s="104"/>
      <c r="L1488" s="104"/>
      <c r="R1488" s="105"/>
      <c r="S1488" s="105"/>
      <c r="T1488" s="105"/>
      <c r="U1488" s="105"/>
      <c r="V1488" s="105"/>
      <c r="W1488" s="105"/>
      <c r="AD1488" s="106"/>
      <c r="AE1488" s="97"/>
      <c r="AF1488" s="97"/>
      <c r="AG1488" s="97"/>
      <c r="AH1488" s="97"/>
      <c r="AI1488" s="97"/>
      <c r="AJ1488" s="97"/>
      <c r="AK1488" s="97"/>
      <c r="AL1488" s="97"/>
      <c r="AM1488" s="97"/>
      <c r="AN1488" s="97"/>
      <c r="AO1488" s="97"/>
      <c r="AP1488" s="97"/>
      <c r="AQ1488" s="97"/>
    </row>
    <row r="1489" spans="2:43" s="101" customFormat="1" ht="15" customHeight="1">
      <c r="B1489" s="104"/>
      <c r="C1489" s="104"/>
      <c r="D1489" s="104"/>
      <c r="E1489" s="104"/>
      <c r="F1489" s="104"/>
      <c r="G1489" s="104"/>
      <c r="H1489" s="104"/>
      <c r="I1489" s="104"/>
      <c r="J1489" s="104"/>
      <c r="K1489" s="104"/>
      <c r="L1489" s="104"/>
      <c r="R1489" s="105"/>
      <c r="S1489" s="105"/>
      <c r="T1489" s="105"/>
      <c r="U1489" s="105"/>
      <c r="V1489" s="105"/>
      <c r="W1489" s="105"/>
      <c r="AD1489" s="106"/>
      <c r="AE1489" s="97"/>
      <c r="AF1489" s="97"/>
      <c r="AG1489" s="97"/>
      <c r="AH1489" s="97"/>
      <c r="AI1489" s="97"/>
      <c r="AJ1489" s="97"/>
      <c r="AK1489" s="97"/>
      <c r="AL1489" s="97"/>
      <c r="AM1489" s="97"/>
      <c r="AN1489" s="97"/>
      <c r="AO1489" s="97"/>
      <c r="AP1489" s="97"/>
      <c r="AQ1489" s="97"/>
    </row>
    <row r="1490" spans="2:43" s="101" customFormat="1" ht="15" customHeight="1">
      <c r="B1490" s="104"/>
      <c r="C1490" s="104"/>
      <c r="D1490" s="104"/>
      <c r="E1490" s="104"/>
      <c r="F1490" s="104"/>
      <c r="G1490" s="104"/>
      <c r="H1490" s="104"/>
      <c r="I1490" s="104"/>
      <c r="J1490" s="104"/>
      <c r="K1490" s="104"/>
      <c r="L1490" s="104"/>
      <c r="R1490" s="105"/>
      <c r="S1490" s="105"/>
      <c r="T1490" s="105"/>
      <c r="U1490" s="105"/>
      <c r="V1490" s="105"/>
      <c r="W1490" s="105"/>
      <c r="AD1490" s="106"/>
      <c r="AE1490" s="97"/>
      <c r="AF1490" s="97"/>
      <c r="AG1490" s="97"/>
      <c r="AH1490" s="97"/>
      <c r="AI1490" s="97"/>
      <c r="AJ1490" s="97"/>
      <c r="AK1490" s="97"/>
      <c r="AL1490" s="97"/>
      <c r="AM1490" s="97"/>
      <c r="AN1490" s="97"/>
      <c r="AO1490" s="97"/>
      <c r="AP1490" s="97"/>
      <c r="AQ1490" s="97"/>
    </row>
    <row r="1491" spans="2:43" s="101" customFormat="1" ht="15" customHeight="1">
      <c r="B1491" s="104"/>
      <c r="C1491" s="104"/>
      <c r="D1491" s="104"/>
      <c r="E1491" s="104"/>
      <c r="F1491" s="104"/>
      <c r="G1491" s="104"/>
      <c r="H1491" s="104"/>
      <c r="I1491" s="104"/>
      <c r="J1491" s="104"/>
      <c r="K1491" s="104"/>
      <c r="L1491" s="104"/>
      <c r="R1491" s="105"/>
      <c r="S1491" s="105"/>
      <c r="T1491" s="105"/>
      <c r="U1491" s="105"/>
      <c r="V1491" s="105"/>
      <c r="W1491" s="105"/>
      <c r="AD1491" s="106"/>
      <c r="AE1491" s="97"/>
      <c r="AF1491" s="97"/>
      <c r="AG1491" s="97"/>
      <c r="AH1491" s="97"/>
      <c r="AI1491" s="97"/>
      <c r="AJ1491" s="97"/>
      <c r="AK1491" s="97"/>
      <c r="AL1491" s="97"/>
      <c r="AM1491" s="97"/>
      <c r="AN1491" s="97"/>
      <c r="AO1491" s="97"/>
      <c r="AP1491" s="97"/>
      <c r="AQ1491" s="97"/>
    </row>
    <row r="1492" spans="2:43" s="101" customFormat="1" ht="15" customHeight="1">
      <c r="B1492" s="104"/>
      <c r="C1492" s="104"/>
      <c r="D1492" s="104"/>
      <c r="E1492" s="104"/>
      <c r="F1492" s="104"/>
      <c r="G1492" s="104"/>
      <c r="H1492" s="104"/>
      <c r="I1492" s="104"/>
      <c r="J1492" s="104"/>
      <c r="K1492" s="104"/>
      <c r="L1492" s="104"/>
      <c r="R1492" s="105"/>
      <c r="S1492" s="105"/>
      <c r="T1492" s="105"/>
      <c r="U1492" s="105"/>
      <c r="V1492" s="105"/>
      <c r="W1492" s="105"/>
      <c r="AD1492" s="106"/>
      <c r="AE1492" s="97"/>
      <c r="AF1492" s="97"/>
      <c r="AG1492" s="97"/>
      <c r="AH1492" s="97"/>
      <c r="AI1492" s="97"/>
      <c r="AJ1492" s="97"/>
      <c r="AK1492" s="97"/>
      <c r="AL1492" s="97"/>
      <c r="AM1492" s="97"/>
      <c r="AN1492" s="97"/>
      <c r="AO1492" s="97"/>
      <c r="AP1492" s="97"/>
      <c r="AQ1492" s="97"/>
    </row>
    <row r="1493" spans="2:43" s="101" customFormat="1" ht="15" customHeight="1">
      <c r="B1493" s="104"/>
      <c r="C1493" s="104"/>
      <c r="D1493" s="104"/>
      <c r="E1493" s="104"/>
      <c r="F1493" s="104"/>
      <c r="G1493" s="104"/>
      <c r="H1493" s="104"/>
      <c r="I1493" s="104"/>
      <c r="J1493" s="104"/>
      <c r="K1493" s="104"/>
      <c r="L1493" s="104"/>
      <c r="R1493" s="105"/>
      <c r="S1493" s="105"/>
      <c r="T1493" s="105"/>
      <c r="U1493" s="105"/>
      <c r="V1493" s="105"/>
      <c r="W1493" s="105"/>
      <c r="AD1493" s="106"/>
      <c r="AE1493" s="97"/>
      <c r="AF1493" s="97"/>
      <c r="AG1493" s="97"/>
      <c r="AH1493" s="97"/>
      <c r="AI1493" s="97"/>
      <c r="AJ1493" s="97"/>
      <c r="AK1493" s="97"/>
      <c r="AL1493" s="97"/>
      <c r="AM1493" s="97"/>
      <c r="AN1493" s="97"/>
      <c r="AO1493" s="97"/>
      <c r="AP1493" s="97"/>
      <c r="AQ1493" s="97"/>
    </row>
    <row r="1494" spans="2:43" s="101" customFormat="1" ht="15" customHeight="1">
      <c r="B1494" s="104"/>
      <c r="C1494" s="104"/>
      <c r="D1494" s="104"/>
      <c r="E1494" s="104"/>
      <c r="F1494" s="104"/>
      <c r="G1494" s="104"/>
      <c r="H1494" s="104"/>
      <c r="I1494" s="104"/>
      <c r="J1494" s="104"/>
      <c r="K1494" s="104"/>
      <c r="L1494" s="104"/>
      <c r="R1494" s="105"/>
      <c r="S1494" s="105"/>
      <c r="T1494" s="105"/>
      <c r="U1494" s="105"/>
      <c r="V1494" s="105"/>
      <c r="W1494" s="105"/>
      <c r="AD1494" s="106"/>
      <c r="AE1494" s="97"/>
      <c r="AF1494" s="97"/>
      <c r="AG1494" s="97"/>
      <c r="AH1494" s="97"/>
      <c r="AI1494" s="97"/>
      <c r="AJ1494" s="97"/>
      <c r="AK1494" s="97"/>
      <c r="AL1494" s="97"/>
      <c r="AM1494" s="97"/>
      <c r="AN1494" s="97"/>
      <c r="AO1494" s="97"/>
      <c r="AP1494" s="97"/>
      <c r="AQ1494" s="97"/>
    </row>
    <row r="1495" spans="2:43" s="101" customFormat="1" ht="15" customHeight="1">
      <c r="B1495" s="104"/>
      <c r="C1495" s="104"/>
      <c r="D1495" s="104"/>
      <c r="E1495" s="104"/>
      <c r="F1495" s="104"/>
      <c r="G1495" s="104"/>
      <c r="H1495" s="104"/>
      <c r="I1495" s="104"/>
      <c r="J1495" s="104"/>
      <c r="K1495" s="104"/>
      <c r="L1495" s="104"/>
      <c r="R1495" s="105"/>
      <c r="S1495" s="105"/>
      <c r="T1495" s="105"/>
      <c r="U1495" s="105"/>
      <c r="V1495" s="105"/>
      <c r="W1495" s="105"/>
      <c r="AD1495" s="106"/>
      <c r="AE1495" s="97"/>
      <c r="AF1495" s="97"/>
      <c r="AG1495" s="97"/>
      <c r="AH1495" s="97"/>
      <c r="AI1495" s="97"/>
      <c r="AJ1495" s="97"/>
      <c r="AK1495" s="97"/>
      <c r="AL1495" s="97"/>
      <c r="AM1495" s="97"/>
      <c r="AN1495" s="97"/>
      <c r="AO1495" s="97"/>
      <c r="AP1495" s="97"/>
      <c r="AQ1495" s="97"/>
    </row>
    <row r="1496" spans="2:43" s="101" customFormat="1" ht="15" customHeight="1">
      <c r="B1496" s="104"/>
      <c r="C1496" s="104"/>
      <c r="D1496" s="104"/>
      <c r="E1496" s="104"/>
      <c r="F1496" s="104"/>
      <c r="G1496" s="104"/>
      <c r="H1496" s="104"/>
      <c r="I1496" s="104"/>
      <c r="J1496" s="104"/>
      <c r="K1496" s="104"/>
      <c r="L1496" s="104"/>
      <c r="R1496" s="105"/>
      <c r="S1496" s="105"/>
      <c r="T1496" s="105"/>
      <c r="U1496" s="105"/>
      <c r="V1496" s="105"/>
      <c r="W1496" s="105"/>
      <c r="AD1496" s="106"/>
      <c r="AE1496" s="97"/>
      <c r="AF1496" s="97"/>
      <c r="AG1496" s="97"/>
      <c r="AH1496" s="97"/>
      <c r="AI1496" s="97"/>
      <c r="AJ1496" s="97"/>
      <c r="AK1496" s="97"/>
      <c r="AL1496" s="97"/>
      <c r="AM1496" s="97"/>
      <c r="AN1496" s="97"/>
      <c r="AO1496" s="97"/>
      <c r="AP1496" s="97"/>
      <c r="AQ1496" s="97"/>
    </row>
    <row r="1497" spans="2:43" s="101" customFormat="1" ht="15" customHeight="1">
      <c r="B1497" s="104"/>
      <c r="C1497" s="104"/>
      <c r="D1497" s="104"/>
      <c r="E1497" s="104"/>
      <c r="F1497" s="104"/>
      <c r="G1497" s="104"/>
      <c r="H1497" s="104"/>
      <c r="I1497" s="104"/>
      <c r="J1497" s="104"/>
      <c r="K1497" s="104"/>
      <c r="L1497" s="104"/>
      <c r="R1497" s="105"/>
      <c r="S1497" s="105"/>
      <c r="T1497" s="105"/>
      <c r="U1497" s="105"/>
      <c r="V1497" s="105"/>
      <c r="W1497" s="105"/>
      <c r="AD1497" s="106"/>
      <c r="AE1497" s="97"/>
      <c r="AF1497" s="97"/>
      <c r="AG1497" s="97"/>
      <c r="AH1497" s="97"/>
      <c r="AI1497" s="97"/>
      <c r="AJ1497" s="97"/>
      <c r="AK1497" s="97"/>
      <c r="AL1497" s="97"/>
      <c r="AM1497" s="97"/>
      <c r="AN1497" s="97"/>
      <c r="AO1497" s="97"/>
      <c r="AP1497" s="97"/>
      <c r="AQ1497" s="97"/>
    </row>
    <row r="1498" spans="2:43" s="101" customFormat="1" ht="15" customHeight="1">
      <c r="B1498" s="104"/>
      <c r="C1498" s="104"/>
      <c r="D1498" s="104"/>
      <c r="E1498" s="104"/>
      <c r="F1498" s="104"/>
      <c r="G1498" s="104"/>
      <c r="H1498" s="104"/>
      <c r="I1498" s="104"/>
      <c r="J1498" s="104"/>
      <c r="K1498" s="104"/>
      <c r="L1498" s="104"/>
      <c r="R1498" s="105"/>
      <c r="S1498" s="105"/>
      <c r="T1498" s="105"/>
      <c r="U1498" s="105"/>
      <c r="V1498" s="105"/>
      <c r="W1498" s="105"/>
      <c r="AD1498" s="106"/>
      <c r="AE1498" s="97"/>
      <c r="AF1498" s="97"/>
      <c r="AG1498" s="97"/>
      <c r="AH1498" s="97"/>
      <c r="AI1498" s="97"/>
      <c r="AJ1498" s="97"/>
      <c r="AK1498" s="97"/>
      <c r="AL1498" s="97"/>
      <c r="AM1498" s="97"/>
      <c r="AN1498" s="97"/>
      <c r="AO1498" s="97"/>
      <c r="AP1498" s="97"/>
      <c r="AQ1498" s="97"/>
    </row>
    <row r="1499" spans="2:43" s="101" customFormat="1" ht="15" customHeight="1">
      <c r="B1499" s="104"/>
      <c r="C1499" s="104"/>
      <c r="D1499" s="104"/>
      <c r="E1499" s="104"/>
      <c r="F1499" s="104"/>
      <c r="G1499" s="104"/>
      <c r="H1499" s="104"/>
      <c r="I1499" s="104"/>
      <c r="J1499" s="104"/>
      <c r="K1499" s="104"/>
      <c r="L1499" s="104"/>
      <c r="R1499" s="105"/>
      <c r="S1499" s="105"/>
      <c r="T1499" s="105"/>
      <c r="U1499" s="105"/>
      <c r="V1499" s="105"/>
      <c r="W1499" s="105"/>
      <c r="AD1499" s="106"/>
      <c r="AE1499" s="97"/>
      <c r="AF1499" s="97"/>
      <c r="AG1499" s="97"/>
      <c r="AH1499" s="97"/>
      <c r="AI1499" s="97"/>
      <c r="AJ1499" s="97"/>
      <c r="AK1499" s="97"/>
      <c r="AL1499" s="97"/>
      <c r="AM1499" s="97"/>
      <c r="AN1499" s="97"/>
      <c r="AO1499" s="97"/>
      <c r="AP1499" s="97"/>
      <c r="AQ1499" s="97"/>
    </row>
    <row r="1500" spans="2:43" s="101" customFormat="1" ht="15" customHeight="1">
      <c r="B1500" s="104"/>
      <c r="C1500" s="104"/>
      <c r="D1500" s="104"/>
      <c r="E1500" s="104"/>
      <c r="F1500" s="104"/>
      <c r="G1500" s="104"/>
      <c r="H1500" s="104"/>
      <c r="I1500" s="104"/>
      <c r="J1500" s="104"/>
      <c r="K1500" s="104"/>
      <c r="L1500" s="104"/>
      <c r="R1500" s="105"/>
      <c r="S1500" s="105"/>
      <c r="T1500" s="105"/>
      <c r="U1500" s="105"/>
      <c r="V1500" s="105"/>
      <c r="W1500" s="105"/>
      <c r="AD1500" s="106"/>
      <c r="AE1500" s="97"/>
      <c r="AF1500" s="97"/>
      <c r="AG1500" s="97"/>
      <c r="AH1500" s="97"/>
      <c r="AI1500" s="97"/>
      <c r="AJ1500" s="97"/>
      <c r="AK1500" s="97"/>
      <c r="AL1500" s="97"/>
      <c r="AM1500" s="97"/>
      <c r="AN1500" s="97"/>
      <c r="AO1500" s="97"/>
      <c r="AP1500" s="97"/>
      <c r="AQ1500" s="97"/>
    </row>
    <row r="1501" spans="2:43" s="101" customFormat="1" ht="15" customHeight="1">
      <c r="B1501" s="104"/>
      <c r="C1501" s="104"/>
      <c r="D1501" s="104"/>
      <c r="E1501" s="104"/>
      <c r="F1501" s="104"/>
      <c r="G1501" s="104"/>
      <c r="H1501" s="104"/>
      <c r="I1501" s="104"/>
      <c r="J1501" s="104"/>
      <c r="K1501" s="104"/>
      <c r="L1501" s="104"/>
      <c r="R1501" s="105"/>
      <c r="S1501" s="105"/>
      <c r="T1501" s="105"/>
      <c r="U1501" s="105"/>
      <c r="V1501" s="105"/>
      <c r="W1501" s="105"/>
      <c r="AD1501" s="106"/>
      <c r="AE1501" s="97"/>
      <c r="AF1501" s="97"/>
      <c r="AG1501" s="97"/>
      <c r="AH1501" s="97"/>
      <c r="AI1501" s="97"/>
      <c r="AJ1501" s="97"/>
      <c r="AK1501" s="97"/>
      <c r="AL1501" s="97"/>
      <c r="AM1501" s="97"/>
      <c r="AN1501" s="97"/>
      <c r="AO1501" s="97"/>
      <c r="AP1501" s="97"/>
      <c r="AQ1501" s="97"/>
    </row>
    <row r="1502" spans="2:43" s="101" customFormat="1" ht="15" customHeight="1">
      <c r="B1502" s="104"/>
      <c r="C1502" s="104"/>
      <c r="D1502" s="104"/>
      <c r="E1502" s="104"/>
      <c r="F1502" s="104"/>
      <c r="G1502" s="104"/>
      <c r="H1502" s="104"/>
      <c r="I1502" s="104"/>
      <c r="J1502" s="104"/>
      <c r="K1502" s="104"/>
      <c r="L1502" s="104"/>
      <c r="R1502" s="105"/>
      <c r="S1502" s="105"/>
      <c r="T1502" s="105"/>
      <c r="U1502" s="105"/>
      <c r="V1502" s="105"/>
      <c r="W1502" s="105"/>
      <c r="AD1502" s="106"/>
      <c r="AE1502" s="97"/>
      <c r="AF1502" s="97"/>
      <c r="AG1502" s="97"/>
      <c r="AH1502" s="97"/>
      <c r="AI1502" s="97"/>
      <c r="AJ1502" s="97"/>
      <c r="AK1502" s="97"/>
      <c r="AL1502" s="97"/>
      <c r="AM1502" s="97"/>
      <c r="AN1502" s="97"/>
      <c r="AO1502" s="97"/>
      <c r="AP1502" s="97"/>
      <c r="AQ1502" s="97"/>
    </row>
    <row r="1503" spans="2:43" s="101" customFormat="1" ht="15" customHeight="1">
      <c r="B1503" s="104"/>
      <c r="C1503" s="104"/>
      <c r="D1503" s="104"/>
      <c r="E1503" s="104"/>
      <c r="F1503" s="104"/>
      <c r="G1503" s="104"/>
      <c r="H1503" s="104"/>
      <c r="I1503" s="104"/>
      <c r="J1503" s="104"/>
      <c r="K1503" s="104"/>
      <c r="L1503" s="104"/>
      <c r="R1503" s="105"/>
      <c r="S1503" s="105"/>
      <c r="T1503" s="105"/>
      <c r="U1503" s="105"/>
      <c r="V1503" s="105"/>
      <c r="W1503" s="105"/>
      <c r="AD1503" s="106"/>
      <c r="AE1503" s="97"/>
      <c r="AF1503" s="97"/>
      <c r="AG1503" s="97"/>
      <c r="AH1503" s="97"/>
      <c r="AI1503" s="97"/>
      <c r="AJ1503" s="97"/>
      <c r="AK1503" s="97"/>
      <c r="AL1503" s="97"/>
      <c r="AM1503" s="97"/>
      <c r="AN1503" s="97"/>
      <c r="AO1503" s="97"/>
      <c r="AP1503" s="97"/>
      <c r="AQ1503" s="97"/>
    </row>
    <row r="1504" spans="2:43" s="101" customFormat="1" ht="15" customHeight="1">
      <c r="B1504" s="104"/>
      <c r="C1504" s="104"/>
      <c r="D1504" s="104"/>
      <c r="E1504" s="104"/>
      <c r="F1504" s="104"/>
      <c r="G1504" s="104"/>
      <c r="H1504" s="104"/>
      <c r="I1504" s="104"/>
      <c r="J1504" s="104"/>
      <c r="K1504" s="104"/>
      <c r="L1504" s="104"/>
      <c r="R1504" s="105"/>
      <c r="S1504" s="105"/>
      <c r="T1504" s="105"/>
      <c r="U1504" s="105"/>
      <c r="V1504" s="105"/>
      <c r="W1504" s="105"/>
      <c r="AD1504" s="106"/>
      <c r="AE1504" s="97"/>
      <c r="AF1504" s="97"/>
      <c r="AG1504" s="97"/>
      <c r="AH1504" s="97"/>
      <c r="AI1504" s="97"/>
      <c r="AJ1504" s="97"/>
      <c r="AK1504" s="97"/>
      <c r="AL1504" s="97"/>
      <c r="AM1504" s="97"/>
      <c r="AN1504" s="97"/>
      <c r="AO1504" s="97"/>
      <c r="AP1504" s="97"/>
      <c r="AQ1504" s="97"/>
    </row>
    <row r="1505" spans="2:43" s="101" customFormat="1" ht="15" customHeight="1">
      <c r="B1505" s="104"/>
      <c r="C1505" s="104"/>
      <c r="D1505" s="104"/>
      <c r="E1505" s="104"/>
      <c r="F1505" s="104"/>
      <c r="G1505" s="104"/>
      <c r="H1505" s="104"/>
      <c r="I1505" s="104"/>
      <c r="J1505" s="104"/>
      <c r="K1505" s="104"/>
      <c r="L1505" s="104"/>
      <c r="R1505" s="105"/>
      <c r="S1505" s="105"/>
      <c r="T1505" s="105"/>
      <c r="U1505" s="105"/>
      <c r="V1505" s="105"/>
      <c r="W1505" s="105"/>
      <c r="AD1505" s="106"/>
      <c r="AE1505" s="97"/>
      <c r="AF1505" s="97"/>
      <c r="AG1505" s="97"/>
      <c r="AH1505" s="97"/>
      <c r="AI1505" s="97"/>
      <c r="AJ1505" s="97"/>
      <c r="AK1505" s="97"/>
      <c r="AL1505" s="97"/>
      <c r="AM1505" s="97"/>
      <c r="AN1505" s="97"/>
      <c r="AO1505" s="97"/>
      <c r="AP1505" s="97"/>
      <c r="AQ1505" s="97"/>
    </row>
    <row r="1506" spans="2:43" s="101" customFormat="1" ht="15" customHeight="1">
      <c r="B1506" s="104"/>
      <c r="C1506" s="104"/>
      <c r="D1506" s="104"/>
      <c r="E1506" s="104"/>
      <c r="F1506" s="104"/>
      <c r="G1506" s="104"/>
      <c r="H1506" s="104"/>
      <c r="I1506" s="104"/>
      <c r="J1506" s="104"/>
      <c r="K1506" s="104"/>
      <c r="L1506" s="104"/>
      <c r="R1506" s="105"/>
      <c r="S1506" s="105"/>
      <c r="T1506" s="105"/>
      <c r="U1506" s="105"/>
      <c r="V1506" s="105"/>
      <c r="W1506" s="105"/>
      <c r="AD1506" s="106"/>
      <c r="AE1506" s="97"/>
      <c r="AF1506" s="97"/>
      <c r="AG1506" s="97"/>
      <c r="AH1506" s="97"/>
      <c r="AI1506" s="97"/>
      <c r="AJ1506" s="97"/>
      <c r="AK1506" s="97"/>
      <c r="AL1506" s="97"/>
      <c r="AM1506" s="97"/>
      <c r="AN1506" s="97"/>
      <c r="AO1506" s="97"/>
      <c r="AP1506" s="97"/>
      <c r="AQ1506" s="97"/>
    </row>
    <row r="1507" spans="2:43" s="101" customFormat="1" ht="15" customHeight="1">
      <c r="B1507" s="104"/>
      <c r="C1507" s="104"/>
      <c r="D1507" s="104"/>
      <c r="E1507" s="104"/>
      <c r="F1507" s="104"/>
      <c r="G1507" s="104"/>
      <c r="H1507" s="104"/>
      <c r="I1507" s="104"/>
      <c r="J1507" s="104"/>
      <c r="K1507" s="104"/>
      <c r="L1507" s="104"/>
      <c r="R1507" s="105"/>
      <c r="S1507" s="105"/>
      <c r="T1507" s="105"/>
      <c r="U1507" s="105"/>
      <c r="V1507" s="105"/>
      <c r="W1507" s="105"/>
      <c r="AD1507" s="106"/>
      <c r="AE1507" s="97"/>
      <c r="AF1507" s="97"/>
      <c r="AG1507" s="97"/>
      <c r="AH1507" s="97"/>
      <c r="AI1507" s="97"/>
      <c r="AJ1507" s="97"/>
      <c r="AK1507" s="97"/>
      <c r="AL1507" s="97"/>
      <c r="AM1507" s="97"/>
      <c r="AN1507" s="97"/>
      <c r="AO1507" s="97"/>
      <c r="AP1507" s="97"/>
      <c r="AQ1507" s="97"/>
    </row>
    <row r="1508" spans="2:43" s="101" customFormat="1" ht="15" customHeight="1">
      <c r="B1508" s="104"/>
      <c r="C1508" s="104"/>
      <c r="D1508" s="104"/>
      <c r="E1508" s="104"/>
      <c r="F1508" s="104"/>
      <c r="G1508" s="104"/>
      <c r="H1508" s="104"/>
      <c r="I1508" s="104"/>
      <c r="J1508" s="104"/>
      <c r="K1508" s="104"/>
      <c r="L1508" s="104"/>
      <c r="R1508" s="105"/>
      <c r="S1508" s="105"/>
      <c r="T1508" s="105"/>
      <c r="U1508" s="105"/>
      <c r="V1508" s="105"/>
      <c r="W1508" s="105"/>
      <c r="AD1508" s="106"/>
      <c r="AE1508" s="97"/>
      <c r="AF1508" s="97"/>
      <c r="AG1508" s="97"/>
      <c r="AH1508" s="97"/>
      <c r="AI1508" s="97"/>
      <c r="AJ1508" s="97"/>
      <c r="AK1508" s="97"/>
      <c r="AL1508" s="97"/>
      <c r="AM1508" s="97"/>
      <c r="AN1508" s="97"/>
      <c r="AO1508" s="97"/>
      <c r="AP1508" s="97"/>
      <c r="AQ1508" s="97"/>
    </row>
    <row r="1509" spans="2:43" s="101" customFormat="1" ht="15" customHeight="1">
      <c r="B1509" s="104"/>
      <c r="C1509" s="104"/>
      <c r="D1509" s="104"/>
      <c r="E1509" s="104"/>
      <c r="F1509" s="104"/>
      <c r="G1509" s="104"/>
      <c r="H1509" s="104"/>
      <c r="I1509" s="104"/>
      <c r="J1509" s="104"/>
      <c r="K1509" s="104"/>
      <c r="L1509" s="104"/>
      <c r="R1509" s="105"/>
      <c r="S1509" s="105"/>
      <c r="T1509" s="105"/>
      <c r="U1509" s="105"/>
      <c r="V1509" s="105"/>
      <c r="W1509" s="105"/>
      <c r="AD1509" s="106"/>
      <c r="AE1509" s="97"/>
      <c r="AF1509" s="97"/>
      <c r="AG1509" s="97"/>
      <c r="AH1509" s="97"/>
      <c r="AI1509" s="97"/>
      <c r="AJ1509" s="97"/>
      <c r="AK1509" s="97"/>
      <c r="AL1509" s="97"/>
      <c r="AM1509" s="97"/>
      <c r="AN1509" s="97"/>
      <c r="AO1509" s="97"/>
      <c r="AP1509" s="97"/>
      <c r="AQ1509" s="97"/>
    </row>
    <row r="1510" spans="2:43" s="101" customFormat="1" ht="15" customHeight="1">
      <c r="B1510" s="104"/>
      <c r="C1510" s="104"/>
      <c r="D1510" s="104"/>
      <c r="E1510" s="104"/>
      <c r="F1510" s="104"/>
      <c r="G1510" s="104"/>
      <c r="H1510" s="104"/>
      <c r="I1510" s="104"/>
      <c r="J1510" s="104"/>
      <c r="K1510" s="104"/>
      <c r="L1510" s="104"/>
      <c r="R1510" s="105"/>
      <c r="S1510" s="105"/>
      <c r="T1510" s="105"/>
      <c r="U1510" s="105"/>
      <c r="V1510" s="105"/>
      <c r="W1510" s="105"/>
      <c r="AD1510" s="106"/>
      <c r="AE1510" s="97"/>
      <c r="AF1510" s="97"/>
      <c r="AG1510" s="97"/>
      <c r="AH1510" s="97"/>
      <c r="AI1510" s="97"/>
      <c r="AJ1510" s="97"/>
      <c r="AK1510" s="97"/>
      <c r="AL1510" s="97"/>
      <c r="AM1510" s="97"/>
      <c r="AN1510" s="97"/>
      <c r="AO1510" s="97"/>
      <c r="AP1510" s="97"/>
      <c r="AQ1510" s="97"/>
    </row>
    <row r="1511" spans="2:43" s="101" customFormat="1" ht="15" customHeight="1">
      <c r="B1511" s="104"/>
      <c r="C1511" s="104"/>
      <c r="D1511" s="104"/>
      <c r="E1511" s="104"/>
      <c r="F1511" s="104"/>
      <c r="G1511" s="104"/>
      <c r="H1511" s="104"/>
      <c r="I1511" s="104"/>
      <c r="J1511" s="104"/>
      <c r="K1511" s="104"/>
      <c r="L1511" s="104"/>
      <c r="R1511" s="105"/>
      <c r="S1511" s="105"/>
      <c r="T1511" s="105"/>
      <c r="U1511" s="105"/>
      <c r="V1511" s="105"/>
      <c r="W1511" s="105"/>
      <c r="AD1511" s="106"/>
      <c r="AE1511" s="97"/>
      <c r="AF1511" s="97"/>
      <c r="AG1511" s="97"/>
      <c r="AH1511" s="97"/>
      <c r="AI1511" s="97"/>
      <c r="AJ1511" s="97"/>
      <c r="AK1511" s="97"/>
      <c r="AL1511" s="97"/>
      <c r="AM1511" s="97"/>
      <c r="AN1511" s="97"/>
      <c r="AO1511" s="97"/>
      <c r="AP1511" s="97"/>
      <c r="AQ1511" s="97"/>
    </row>
    <row r="1512" spans="2:43" s="101" customFormat="1" ht="15" customHeight="1">
      <c r="B1512" s="104"/>
      <c r="C1512" s="104"/>
      <c r="D1512" s="104"/>
      <c r="E1512" s="104"/>
      <c r="F1512" s="104"/>
      <c r="G1512" s="104"/>
      <c r="H1512" s="104"/>
      <c r="I1512" s="104"/>
      <c r="J1512" s="104"/>
      <c r="K1512" s="104"/>
      <c r="L1512" s="104"/>
      <c r="R1512" s="105"/>
      <c r="S1512" s="105"/>
      <c r="T1512" s="105"/>
      <c r="U1512" s="105"/>
      <c r="V1512" s="105"/>
      <c r="W1512" s="105"/>
      <c r="AD1512" s="106"/>
      <c r="AE1512" s="97"/>
      <c r="AF1512" s="97"/>
      <c r="AG1512" s="97"/>
      <c r="AH1512" s="97"/>
      <c r="AI1512" s="97"/>
      <c r="AJ1512" s="97"/>
      <c r="AK1512" s="97"/>
      <c r="AL1512" s="97"/>
      <c r="AM1512" s="97"/>
      <c r="AN1512" s="97"/>
      <c r="AO1512" s="97"/>
      <c r="AP1512" s="97"/>
      <c r="AQ1512" s="97"/>
    </row>
    <row r="1513" spans="2:43" s="101" customFormat="1" ht="15" customHeight="1">
      <c r="B1513" s="104"/>
      <c r="C1513" s="104"/>
      <c r="D1513" s="104"/>
      <c r="E1513" s="104"/>
      <c r="F1513" s="104"/>
      <c r="G1513" s="104"/>
      <c r="H1513" s="104"/>
      <c r="I1513" s="104"/>
      <c r="J1513" s="104"/>
      <c r="K1513" s="104"/>
      <c r="L1513" s="104"/>
      <c r="R1513" s="105"/>
      <c r="S1513" s="105"/>
      <c r="T1513" s="105"/>
      <c r="U1513" s="105"/>
      <c r="V1513" s="105"/>
      <c r="W1513" s="105"/>
      <c r="AD1513" s="106"/>
      <c r="AE1513" s="97"/>
      <c r="AF1513" s="97"/>
      <c r="AG1513" s="97"/>
      <c r="AH1513" s="97"/>
      <c r="AI1513" s="97"/>
      <c r="AJ1513" s="97"/>
      <c r="AK1513" s="97"/>
      <c r="AL1513" s="97"/>
      <c r="AM1513" s="97"/>
      <c r="AN1513" s="97"/>
      <c r="AO1513" s="97"/>
      <c r="AP1513" s="97"/>
      <c r="AQ1513" s="97"/>
    </row>
    <row r="1514" spans="2:43" s="101" customFormat="1" ht="15" customHeight="1">
      <c r="B1514" s="104"/>
      <c r="C1514" s="104"/>
      <c r="D1514" s="104"/>
      <c r="E1514" s="104"/>
      <c r="F1514" s="104"/>
      <c r="G1514" s="104"/>
      <c r="H1514" s="104"/>
      <c r="I1514" s="104"/>
      <c r="J1514" s="104"/>
      <c r="K1514" s="104"/>
      <c r="L1514" s="104"/>
      <c r="R1514" s="105"/>
      <c r="S1514" s="105"/>
      <c r="T1514" s="105"/>
      <c r="U1514" s="105"/>
      <c r="V1514" s="105"/>
      <c r="W1514" s="105"/>
      <c r="AD1514" s="106"/>
      <c r="AE1514" s="97"/>
      <c r="AF1514" s="97"/>
      <c r="AG1514" s="97"/>
      <c r="AH1514" s="97"/>
      <c r="AI1514" s="97"/>
      <c r="AJ1514" s="97"/>
      <c r="AK1514" s="97"/>
      <c r="AL1514" s="97"/>
      <c r="AM1514" s="97"/>
      <c r="AN1514" s="97"/>
      <c r="AO1514" s="97"/>
      <c r="AP1514" s="97"/>
      <c r="AQ1514" s="97"/>
    </row>
    <row r="1515" spans="2:43" s="101" customFormat="1" ht="15" customHeight="1">
      <c r="B1515" s="104"/>
      <c r="C1515" s="104"/>
      <c r="D1515" s="104"/>
      <c r="E1515" s="104"/>
      <c r="F1515" s="104"/>
      <c r="G1515" s="104"/>
      <c r="H1515" s="104"/>
      <c r="I1515" s="104"/>
      <c r="J1515" s="104"/>
      <c r="K1515" s="104"/>
      <c r="L1515" s="104"/>
      <c r="R1515" s="105"/>
      <c r="S1515" s="105"/>
      <c r="T1515" s="105"/>
      <c r="U1515" s="105"/>
      <c r="V1515" s="105"/>
      <c r="W1515" s="105"/>
      <c r="AD1515" s="106"/>
      <c r="AE1515" s="97"/>
      <c r="AF1515" s="97"/>
      <c r="AG1515" s="97"/>
      <c r="AH1515" s="97"/>
      <c r="AI1515" s="97"/>
      <c r="AJ1515" s="97"/>
      <c r="AK1515" s="97"/>
      <c r="AL1515" s="97"/>
      <c r="AM1515" s="97"/>
      <c r="AN1515" s="97"/>
      <c r="AO1515" s="97"/>
      <c r="AP1515" s="97"/>
      <c r="AQ1515" s="97"/>
    </row>
    <row r="1516" spans="2:43" s="101" customFormat="1" ht="15" customHeight="1">
      <c r="B1516" s="104"/>
      <c r="C1516" s="104"/>
      <c r="D1516" s="104"/>
      <c r="E1516" s="104"/>
      <c r="F1516" s="104"/>
      <c r="G1516" s="104"/>
      <c r="H1516" s="104"/>
      <c r="I1516" s="104"/>
      <c r="J1516" s="104"/>
      <c r="K1516" s="104"/>
      <c r="L1516" s="104"/>
      <c r="R1516" s="105"/>
      <c r="S1516" s="105"/>
      <c r="T1516" s="105"/>
      <c r="U1516" s="105"/>
      <c r="V1516" s="105"/>
      <c r="W1516" s="105"/>
      <c r="AD1516" s="106"/>
      <c r="AE1516" s="97"/>
      <c r="AF1516" s="97"/>
      <c r="AG1516" s="97"/>
      <c r="AH1516" s="97"/>
      <c r="AI1516" s="97"/>
      <c r="AJ1516" s="97"/>
      <c r="AK1516" s="97"/>
      <c r="AL1516" s="97"/>
      <c r="AM1516" s="97"/>
      <c r="AN1516" s="97"/>
      <c r="AO1516" s="97"/>
      <c r="AP1516" s="97"/>
      <c r="AQ1516" s="97"/>
    </row>
    <row r="1517" spans="2:43" s="101" customFormat="1" ht="15" customHeight="1">
      <c r="B1517" s="104"/>
      <c r="C1517" s="104"/>
      <c r="D1517" s="104"/>
      <c r="E1517" s="104"/>
      <c r="F1517" s="104"/>
      <c r="G1517" s="104"/>
      <c r="H1517" s="104"/>
      <c r="I1517" s="104"/>
      <c r="J1517" s="104"/>
      <c r="K1517" s="104"/>
      <c r="L1517" s="104"/>
      <c r="R1517" s="105"/>
      <c r="S1517" s="105"/>
      <c r="T1517" s="105"/>
      <c r="U1517" s="105"/>
      <c r="V1517" s="105"/>
      <c r="W1517" s="105"/>
      <c r="AD1517" s="106"/>
      <c r="AE1517" s="97"/>
      <c r="AF1517" s="97"/>
      <c r="AG1517" s="97"/>
      <c r="AH1517" s="97"/>
      <c r="AI1517" s="97"/>
      <c r="AJ1517" s="97"/>
      <c r="AK1517" s="97"/>
      <c r="AL1517" s="97"/>
      <c r="AM1517" s="97"/>
      <c r="AN1517" s="97"/>
      <c r="AO1517" s="97"/>
      <c r="AP1517" s="97"/>
      <c r="AQ1517" s="97"/>
    </row>
    <row r="1518" spans="2:43" s="101" customFormat="1" ht="15" customHeight="1">
      <c r="B1518" s="104"/>
      <c r="C1518" s="104"/>
      <c r="D1518" s="104"/>
      <c r="E1518" s="104"/>
      <c r="F1518" s="104"/>
      <c r="G1518" s="104"/>
      <c r="H1518" s="104"/>
      <c r="I1518" s="104"/>
      <c r="J1518" s="104"/>
      <c r="K1518" s="104"/>
      <c r="L1518" s="104"/>
      <c r="R1518" s="105"/>
      <c r="S1518" s="105"/>
      <c r="T1518" s="105"/>
      <c r="U1518" s="105"/>
      <c r="V1518" s="105"/>
      <c r="W1518" s="105"/>
      <c r="AD1518" s="106"/>
      <c r="AE1518" s="97"/>
      <c r="AF1518" s="97"/>
      <c r="AG1518" s="97"/>
      <c r="AH1518" s="97"/>
      <c r="AI1518" s="97"/>
      <c r="AJ1518" s="97"/>
      <c r="AK1518" s="97"/>
      <c r="AL1518" s="97"/>
      <c r="AM1518" s="97"/>
      <c r="AN1518" s="97"/>
      <c r="AO1518" s="97"/>
      <c r="AP1518" s="97"/>
      <c r="AQ1518" s="97"/>
    </row>
    <row r="1519" spans="2:43" s="101" customFormat="1" ht="15" customHeight="1">
      <c r="B1519" s="104"/>
      <c r="C1519" s="104"/>
      <c r="D1519" s="104"/>
      <c r="E1519" s="104"/>
      <c r="F1519" s="104"/>
      <c r="G1519" s="104"/>
      <c r="H1519" s="104"/>
      <c r="I1519" s="104"/>
      <c r="J1519" s="104"/>
      <c r="K1519" s="104"/>
      <c r="L1519" s="104"/>
      <c r="R1519" s="105"/>
      <c r="S1519" s="105"/>
      <c r="T1519" s="105"/>
      <c r="U1519" s="105"/>
      <c r="V1519" s="105"/>
      <c r="W1519" s="105"/>
      <c r="AD1519" s="106"/>
      <c r="AE1519" s="97"/>
      <c r="AF1519" s="97"/>
      <c r="AG1519" s="97"/>
      <c r="AH1519" s="97"/>
      <c r="AI1519" s="97"/>
      <c r="AJ1519" s="97"/>
      <c r="AK1519" s="97"/>
      <c r="AL1519" s="97"/>
      <c r="AM1519" s="97"/>
      <c r="AN1519" s="97"/>
      <c r="AO1519" s="97"/>
      <c r="AP1519" s="97"/>
      <c r="AQ1519" s="97"/>
    </row>
    <row r="1520" spans="2:43" s="101" customFormat="1" ht="15" customHeight="1">
      <c r="B1520" s="104"/>
      <c r="C1520" s="104"/>
      <c r="D1520" s="104"/>
      <c r="E1520" s="104"/>
      <c r="F1520" s="104"/>
      <c r="G1520" s="104"/>
      <c r="H1520" s="104"/>
      <c r="I1520" s="104"/>
      <c r="J1520" s="104"/>
      <c r="K1520" s="104"/>
      <c r="L1520" s="104"/>
      <c r="R1520" s="105"/>
      <c r="S1520" s="105"/>
      <c r="T1520" s="105"/>
      <c r="U1520" s="105"/>
      <c r="V1520" s="105"/>
      <c r="W1520" s="105"/>
      <c r="AD1520" s="106"/>
      <c r="AE1520" s="97"/>
      <c r="AF1520" s="97"/>
      <c r="AG1520" s="97"/>
      <c r="AH1520" s="97"/>
      <c r="AI1520" s="97"/>
      <c r="AJ1520" s="97"/>
      <c r="AK1520" s="97"/>
      <c r="AL1520" s="97"/>
      <c r="AM1520" s="97"/>
      <c r="AN1520" s="97"/>
      <c r="AO1520" s="97"/>
      <c r="AP1520" s="97"/>
      <c r="AQ1520" s="97"/>
    </row>
    <row r="1521" spans="2:43" s="101" customFormat="1" ht="15" customHeight="1">
      <c r="B1521" s="104"/>
      <c r="C1521" s="104"/>
      <c r="D1521" s="104"/>
      <c r="E1521" s="104"/>
      <c r="F1521" s="104"/>
      <c r="G1521" s="104"/>
      <c r="H1521" s="104"/>
      <c r="I1521" s="104"/>
      <c r="J1521" s="104"/>
      <c r="K1521" s="104"/>
      <c r="L1521" s="104"/>
      <c r="R1521" s="105"/>
      <c r="S1521" s="105"/>
      <c r="T1521" s="105"/>
      <c r="U1521" s="105"/>
      <c r="V1521" s="105"/>
      <c r="W1521" s="105"/>
      <c r="AD1521" s="106"/>
      <c r="AE1521" s="97"/>
      <c r="AF1521" s="97"/>
      <c r="AG1521" s="97"/>
      <c r="AH1521" s="97"/>
      <c r="AI1521" s="97"/>
      <c r="AJ1521" s="97"/>
      <c r="AK1521" s="97"/>
      <c r="AL1521" s="97"/>
      <c r="AM1521" s="97"/>
      <c r="AN1521" s="97"/>
      <c r="AO1521" s="97"/>
      <c r="AP1521" s="97"/>
      <c r="AQ1521" s="97"/>
    </row>
    <row r="1522" spans="2:43" s="101" customFormat="1" ht="15" customHeight="1">
      <c r="B1522" s="104"/>
      <c r="C1522" s="104"/>
      <c r="D1522" s="104"/>
      <c r="E1522" s="104"/>
      <c r="F1522" s="104"/>
      <c r="G1522" s="104"/>
      <c r="H1522" s="104"/>
      <c r="I1522" s="104"/>
      <c r="J1522" s="104"/>
      <c r="K1522" s="104"/>
      <c r="L1522" s="104"/>
      <c r="R1522" s="105"/>
      <c r="S1522" s="105"/>
      <c r="T1522" s="105"/>
      <c r="U1522" s="105"/>
      <c r="V1522" s="105"/>
      <c r="W1522" s="105"/>
      <c r="AD1522" s="106"/>
      <c r="AE1522" s="97"/>
      <c r="AF1522" s="97"/>
      <c r="AG1522" s="97"/>
      <c r="AH1522" s="97"/>
      <c r="AI1522" s="97"/>
      <c r="AJ1522" s="97"/>
      <c r="AK1522" s="97"/>
      <c r="AL1522" s="97"/>
      <c r="AM1522" s="97"/>
      <c r="AN1522" s="97"/>
      <c r="AO1522" s="97"/>
      <c r="AP1522" s="97"/>
      <c r="AQ1522" s="97"/>
    </row>
    <row r="1523" spans="2:43" s="101" customFormat="1" ht="15" customHeight="1">
      <c r="B1523" s="104"/>
      <c r="C1523" s="104"/>
      <c r="D1523" s="104"/>
      <c r="E1523" s="104"/>
      <c r="F1523" s="104"/>
      <c r="G1523" s="104"/>
      <c r="H1523" s="104"/>
      <c r="I1523" s="104"/>
      <c r="J1523" s="104"/>
      <c r="K1523" s="104"/>
      <c r="L1523" s="104"/>
      <c r="R1523" s="105"/>
      <c r="S1523" s="105"/>
      <c r="T1523" s="105"/>
      <c r="U1523" s="105"/>
      <c r="V1523" s="105"/>
      <c r="W1523" s="105"/>
      <c r="AD1523" s="106"/>
      <c r="AE1523" s="97"/>
      <c r="AF1523" s="97"/>
      <c r="AG1523" s="97"/>
      <c r="AH1523" s="97"/>
      <c r="AI1523" s="97"/>
      <c r="AJ1523" s="97"/>
      <c r="AK1523" s="97"/>
      <c r="AL1523" s="97"/>
      <c r="AM1523" s="97"/>
      <c r="AN1523" s="97"/>
      <c r="AO1523" s="97"/>
      <c r="AP1523" s="97"/>
      <c r="AQ1523" s="97"/>
    </row>
    <row r="1524" spans="2:43" s="101" customFormat="1" ht="15" customHeight="1">
      <c r="B1524" s="104"/>
      <c r="C1524" s="104"/>
      <c r="D1524" s="104"/>
      <c r="E1524" s="104"/>
      <c r="F1524" s="104"/>
      <c r="G1524" s="104"/>
      <c r="H1524" s="104"/>
      <c r="I1524" s="104"/>
      <c r="J1524" s="104"/>
      <c r="K1524" s="104"/>
      <c r="L1524" s="104"/>
      <c r="R1524" s="105"/>
      <c r="S1524" s="105"/>
      <c r="T1524" s="105"/>
      <c r="U1524" s="105"/>
      <c r="V1524" s="105"/>
      <c r="W1524" s="105"/>
      <c r="AD1524" s="106"/>
      <c r="AE1524" s="97"/>
      <c r="AF1524" s="97"/>
      <c r="AG1524" s="97"/>
      <c r="AH1524" s="97"/>
      <c r="AI1524" s="97"/>
      <c r="AJ1524" s="97"/>
      <c r="AK1524" s="97"/>
      <c r="AL1524" s="97"/>
      <c r="AM1524" s="97"/>
      <c r="AN1524" s="97"/>
      <c r="AO1524" s="97"/>
      <c r="AP1524" s="97"/>
      <c r="AQ1524" s="97"/>
    </row>
    <row r="1525" spans="2:43" s="101" customFormat="1" ht="15" customHeight="1">
      <c r="B1525" s="104"/>
      <c r="C1525" s="104"/>
      <c r="D1525" s="104"/>
      <c r="E1525" s="104"/>
      <c r="F1525" s="104"/>
      <c r="G1525" s="104"/>
      <c r="H1525" s="104"/>
      <c r="I1525" s="104"/>
      <c r="J1525" s="104"/>
      <c r="K1525" s="104"/>
      <c r="L1525" s="104"/>
      <c r="R1525" s="105"/>
      <c r="S1525" s="105"/>
      <c r="T1525" s="105"/>
      <c r="U1525" s="105"/>
      <c r="V1525" s="105"/>
      <c r="W1525" s="105"/>
      <c r="AD1525" s="106"/>
      <c r="AE1525" s="97"/>
      <c r="AF1525" s="97"/>
      <c r="AG1525" s="97"/>
      <c r="AH1525" s="97"/>
      <c r="AI1525" s="97"/>
      <c r="AJ1525" s="97"/>
      <c r="AK1525" s="97"/>
      <c r="AL1525" s="97"/>
      <c r="AM1525" s="97"/>
      <c r="AN1525" s="97"/>
      <c r="AO1525" s="97"/>
      <c r="AP1525" s="97"/>
      <c r="AQ1525" s="97"/>
    </row>
    <row r="1526" spans="2:43" s="101" customFormat="1" ht="15" customHeight="1">
      <c r="B1526" s="104"/>
      <c r="C1526" s="104"/>
      <c r="D1526" s="104"/>
      <c r="E1526" s="104"/>
      <c r="F1526" s="104"/>
      <c r="G1526" s="104"/>
      <c r="H1526" s="104"/>
      <c r="I1526" s="104"/>
      <c r="J1526" s="104"/>
      <c r="K1526" s="104"/>
      <c r="L1526" s="104"/>
      <c r="R1526" s="105"/>
      <c r="S1526" s="105"/>
      <c r="T1526" s="105"/>
      <c r="U1526" s="105"/>
      <c r="V1526" s="105"/>
      <c r="W1526" s="105"/>
      <c r="AD1526" s="106"/>
      <c r="AE1526" s="97"/>
      <c r="AF1526" s="97"/>
      <c r="AG1526" s="97"/>
      <c r="AH1526" s="97"/>
      <c r="AI1526" s="97"/>
      <c r="AJ1526" s="97"/>
      <c r="AK1526" s="97"/>
      <c r="AL1526" s="97"/>
      <c r="AM1526" s="97"/>
      <c r="AN1526" s="97"/>
      <c r="AO1526" s="97"/>
      <c r="AP1526" s="97"/>
      <c r="AQ1526" s="97"/>
    </row>
    <row r="1527" spans="2:43" s="101" customFormat="1" ht="15" customHeight="1">
      <c r="B1527" s="104"/>
      <c r="C1527" s="104"/>
      <c r="D1527" s="104"/>
      <c r="E1527" s="104"/>
      <c r="F1527" s="104"/>
      <c r="G1527" s="104"/>
      <c r="H1527" s="104"/>
      <c r="I1527" s="104"/>
      <c r="J1527" s="104"/>
      <c r="K1527" s="104"/>
      <c r="L1527" s="104"/>
      <c r="R1527" s="105"/>
      <c r="S1527" s="105"/>
      <c r="T1527" s="105"/>
      <c r="U1527" s="105"/>
      <c r="V1527" s="105"/>
      <c r="W1527" s="105"/>
      <c r="AD1527" s="106"/>
      <c r="AE1527" s="97"/>
      <c r="AF1527" s="97"/>
      <c r="AG1527" s="97"/>
      <c r="AH1527" s="97"/>
      <c r="AI1527" s="97"/>
      <c r="AJ1527" s="97"/>
      <c r="AK1527" s="97"/>
      <c r="AL1527" s="97"/>
      <c r="AM1527" s="97"/>
      <c r="AN1527" s="97"/>
      <c r="AO1527" s="97"/>
      <c r="AP1527" s="97"/>
      <c r="AQ1527" s="97"/>
    </row>
    <row r="1528" spans="2:43" s="101" customFormat="1" ht="15" customHeight="1">
      <c r="B1528" s="104"/>
      <c r="C1528" s="104"/>
      <c r="D1528" s="104"/>
      <c r="E1528" s="104"/>
      <c r="F1528" s="104"/>
      <c r="G1528" s="104"/>
      <c r="H1528" s="104"/>
      <c r="I1528" s="104"/>
      <c r="J1528" s="104"/>
      <c r="K1528" s="104"/>
      <c r="L1528" s="104"/>
      <c r="R1528" s="105"/>
      <c r="S1528" s="105"/>
      <c r="T1528" s="105"/>
      <c r="U1528" s="105"/>
      <c r="V1528" s="105"/>
      <c r="W1528" s="105"/>
      <c r="AD1528" s="106"/>
      <c r="AE1528" s="97"/>
      <c r="AF1528" s="97"/>
      <c r="AG1528" s="97"/>
      <c r="AH1528" s="97"/>
      <c r="AI1528" s="97"/>
      <c r="AJ1528" s="97"/>
      <c r="AK1528" s="97"/>
      <c r="AL1528" s="97"/>
      <c r="AM1528" s="97"/>
      <c r="AN1528" s="97"/>
      <c r="AO1528" s="97"/>
      <c r="AP1528" s="97"/>
      <c r="AQ1528" s="97"/>
    </row>
    <row r="1529" spans="2:43" s="101" customFormat="1" ht="15" customHeight="1">
      <c r="B1529" s="104"/>
      <c r="C1529" s="104"/>
      <c r="D1529" s="104"/>
      <c r="E1529" s="104"/>
      <c r="F1529" s="104"/>
      <c r="G1529" s="104"/>
      <c r="H1529" s="104"/>
      <c r="I1529" s="104"/>
      <c r="J1529" s="104"/>
      <c r="K1529" s="104"/>
      <c r="L1529" s="104"/>
      <c r="R1529" s="105"/>
      <c r="S1529" s="105"/>
      <c r="T1529" s="105"/>
      <c r="U1529" s="105"/>
      <c r="V1529" s="105"/>
      <c r="W1529" s="105"/>
      <c r="AD1529" s="106"/>
      <c r="AE1529" s="97"/>
      <c r="AF1529" s="97"/>
      <c r="AG1529" s="97"/>
      <c r="AH1529" s="97"/>
      <c r="AI1529" s="97"/>
      <c r="AJ1529" s="97"/>
      <c r="AK1529" s="97"/>
      <c r="AL1529" s="97"/>
      <c r="AM1529" s="97"/>
      <c r="AN1529" s="97"/>
      <c r="AO1529" s="97"/>
      <c r="AP1529" s="97"/>
      <c r="AQ1529" s="97"/>
    </row>
    <row r="1530" spans="2:43" s="101" customFormat="1" ht="15" customHeight="1">
      <c r="B1530" s="104"/>
      <c r="C1530" s="104"/>
      <c r="D1530" s="104"/>
      <c r="E1530" s="104"/>
      <c r="F1530" s="104"/>
      <c r="G1530" s="104"/>
      <c r="H1530" s="104"/>
      <c r="I1530" s="104"/>
      <c r="J1530" s="104"/>
      <c r="K1530" s="104"/>
      <c r="L1530" s="104"/>
      <c r="R1530" s="105"/>
      <c r="S1530" s="105"/>
      <c r="T1530" s="105"/>
      <c r="U1530" s="105"/>
      <c r="V1530" s="105"/>
      <c r="W1530" s="105"/>
      <c r="AD1530" s="106"/>
      <c r="AE1530" s="97"/>
      <c r="AF1530" s="97"/>
      <c r="AG1530" s="97"/>
      <c r="AH1530" s="97"/>
      <c r="AI1530" s="97"/>
      <c r="AJ1530" s="97"/>
      <c r="AK1530" s="97"/>
      <c r="AL1530" s="97"/>
      <c r="AM1530" s="97"/>
      <c r="AN1530" s="97"/>
      <c r="AO1530" s="97"/>
      <c r="AP1530" s="97"/>
      <c r="AQ1530" s="97"/>
    </row>
    <row r="1531" spans="2:43" s="101" customFormat="1" ht="15" customHeight="1">
      <c r="B1531" s="104"/>
      <c r="C1531" s="104"/>
      <c r="D1531" s="104"/>
      <c r="E1531" s="104"/>
      <c r="F1531" s="104"/>
      <c r="G1531" s="104"/>
      <c r="H1531" s="104"/>
      <c r="I1531" s="104"/>
      <c r="J1531" s="104"/>
      <c r="K1531" s="104"/>
      <c r="L1531" s="104"/>
      <c r="R1531" s="105"/>
      <c r="S1531" s="105"/>
      <c r="T1531" s="105"/>
      <c r="U1531" s="105"/>
      <c r="V1531" s="105"/>
      <c r="W1531" s="105"/>
      <c r="AD1531" s="106"/>
      <c r="AE1531" s="97"/>
      <c r="AF1531" s="97"/>
      <c r="AG1531" s="97"/>
      <c r="AH1531" s="97"/>
      <c r="AI1531" s="97"/>
      <c r="AJ1531" s="97"/>
      <c r="AK1531" s="97"/>
      <c r="AL1531" s="97"/>
      <c r="AM1531" s="97"/>
      <c r="AN1531" s="97"/>
      <c r="AO1531" s="97"/>
      <c r="AP1531" s="97"/>
      <c r="AQ1531" s="97"/>
    </row>
    <row r="1532" spans="2:43" s="101" customFormat="1" ht="15" customHeight="1">
      <c r="B1532" s="104"/>
      <c r="C1532" s="104"/>
      <c r="D1532" s="104"/>
      <c r="E1532" s="104"/>
      <c r="F1532" s="104"/>
      <c r="G1532" s="104"/>
      <c r="H1532" s="104"/>
      <c r="I1532" s="104"/>
      <c r="J1532" s="104"/>
      <c r="K1532" s="104"/>
      <c r="L1532" s="104"/>
      <c r="R1532" s="105"/>
      <c r="S1532" s="105"/>
      <c r="T1532" s="105"/>
      <c r="U1532" s="105"/>
      <c r="V1532" s="105"/>
      <c r="W1532" s="105"/>
      <c r="AD1532" s="106"/>
      <c r="AE1532" s="97"/>
      <c r="AF1532" s="97"/>
      <c r="AG1532" s="97"/>
      <c r="AH1532" s="97"/>
      <c r="AI1532" s="97"/>
      <c r="AJ1532" s="97"/>
      <c r="AK1532" s="97"/>
      <c r="AL1532" s="97"/>
      <c r="AM1532" s="97"/>
      <c r="AN1532" s="97"/>
      <c r="AO1532" s="97"/>
      <c r="AP1532" s="97"/>
      <c r="AQ1532" s="97"/>
    </row>
    <row r="1533" spans="2:43" s="101" customFormat="1" ht="15" customHeight="1">
      <c r="B1533" s="104"/>
      <c r="C1533" s="104"/>
      <c r="D1533" s="104"/>
      <c r="E1533" s="104"/>
      <c r="F1533" s="104"/>
      <c r="G1533" s="104"/>
      <c r="H1533" s="104"/>
      <c r="I1533" s="104"/>
      <c r="J1533" s="104"/>
      <c r="K1533" s="104"/>
      <c r="L1533" s="104"/>
      <c r="R1533" s="105"/>
      <c r="S1533" s="105"/>
      <c r="T1533" s="105"/>
      <c r="U1533" s="105"/>
      <c r="V1533" s="105"/>
      <c r="W1533" s="105"/>
      <c r="AD1533" s="106"/>
      <c r="AE1533" s="97"/>
      <c r="AF1533" s="97"/>
      <c r="AG1533" s="97"/>
      <c r="AH1533" s="97"/>
      <c r="AI1533" s="97"/>
      <c r="AJ1533" s="97"/>
      <c r="AK1533" s="97"/>
      <c r="AL1533" s="97"/>
      <c r="AM1533" s="97"/>
      <c r="AN1533" s="97"/>
      <c r="AO1533" s="97"/>
      <c r="AP1533" s="97"/>
      <c r="AQ1533" s="97"/>
    </row>
    <row r="1534" spans="2:43" s="101" customFormat="1" ht="15" customHeight="1">
      <c r="B1534" s="104"/>
      <c r="C1534" s="104"/>
      <c r="D1534" s="104"/>
      <c r="E1534" s="104"/>
      <c r="F1534" s="104"/>
      <c r="G1534" s="104"/>
      <c r="H1534" s="104"/>
      <c r="I1534" s="104"/>
      <c r="J1534" s="104"/>
      <c r="K1534" s="104"/>
      <c r="L1534" s="104"/>
      <c r="R1534" s="105"/>
      <c r="S1534" s="105"/>
      <c r="T1534" s="105"/>
      <c r="U1534" s="105"/>
      <c r="V1534" s="105"/>
      <c r="W1534" s="105"/>
      <c r="AD1534" s="106"/>
      <c r="AE1534" s="97"/>
      <c r="AF1534" s="97"/>
      <c r="AG1534" s="97"/>
      <c r="AH1534" s="97"/>
      <c r="AI1534" s="97"/>
      <c r="AJ1534" s="97"/>
      <c r="AK1534" s="97"/>
      <c r="AL1534" s="97"/>
      <c r="AM1534" s="97"/>
      <c r="AN1534" s="97"/>
      <c r="AO1534" s="97"/>
      <c r="AP1534" s="97"/>
      <c r="AQ1534" s="97"/>
    </row>
    <row r="1535" spans="2:43" s="101" customFormat="1" ht="15" customHeight="1">
      <c r="B1535" s="104"/>
      <c r="C1535" s="104"/>
      <c r="D1535" s="104"/>
      <c r="E1535" s="104"/>
      <c r="F1535" s="104"/>
      <c r="G1535" s="104"/>
      <c r="H1535" s="104"/>
      <c r="I1535" s="104"/>
      <c r="J1535" s="104"/>
      <c r="K1535" s="104"/>
      <c r="L1535" s="104"/>
      <c r="R1535" s="105"/>
      <c r="S1535" s="105"/>
      <c r="T1535" s="105"/>
      <c r="U1535" s="105"/>
      <c r="V1535" s="105"/>
      <c r="W1535" s="105"/>
      <c r="AD1535" s="106"/>
      <c r="AE1535" s="97"/>
      <c r="AF1535" s="97"/>
      <c r="AG1535" s="97"/>
      <c r="AH1535" s="97"/>
      <c r="AI1535" s="97"/>
      <c r="AJ1535" s="97"/>
      <c r="AK1535" s="97"/>
      <c r="AL1535" s="97"/>
      <c r="AM1535" s="97"/>
      <c r="AN1535" s="97"/>
      <c r="AO1535" s="97"/>
      <c r="AP1535" s="97"/>
      <c r="AQ1535" s="97"/>
    </row>
    <row r="1536" spans="2:43" s="101" customFormat="1" ht="15" customHeight="1">
      <c r="B1536" s="104"/>
      <c r="C1536" s="104"/>
      <c r="D1536" s="104"/>
      <c r="E1536" s="104"/>
      <c r="F1536" s="104"/>
      <c r="G1536" s="104"/>
      <c r="H1536" s="104"/>
      <c r="I1536" s="104"/>
      <c r="J1536" s="104"/>
      <c r="K1536" s="104"/>
      <c r="L1536" s="104"/>
      <c r="R1536" s="105"/>
      <c r="S1536" s="105"/>
      <c r="T1536" s="105"/>
      <c r="U1536" s="105"/>
      <c r="V1536" s="105"/>
      <c r="W1536" s="105"/>
      <c r="AD1536" s="106"/>
      <c r="AE1536" s="97"/>
      <c r="AF1536" s="97"/>
      <c r="AG1536" s="97"/>
      <c r="AH1536" s="97"/>
      <c r="AI1536" s="97"/>
      <c r="AJ1536" s="97"/>
      <c r="AK1536" s="97"/>
      <c r="AL1536" s="97"/>
      <c r="AM1536" s="97"/>
      <c r="AN1536" s="97"/>
      <c r="AO1536" s="97"/>
      <c r="AP1536" s="97"/>
      <c r="AQ1536" s="97"/>
    </row>
    <row r="1537" spans="2:43" s="101" customFormat="1" ht="15" customHeight="1">
      <c r="B1537" s="104"/>
      <c r="C1537" s="104"/>
      <c r="D1537" s="104"/>
      <c r="E1537" s="104"/>
      <c r="F1537" s="104"/>
      <c r="G1537" s="104"/>
      <c r="H1537" s="104"/>
      <c r="I1537" s="104"/>
      <c r="J1537" s="104"/>
      <c r="K1537" s="104"/>
      <c r="L1537" s="104"/>
      <c r="R1537" s="105"/>
      <c r="S1537" s="105"/>
      <c r="T1537" s="105"/>
      <c r="U1537" s="105"/>
      <c r="V1537" s="105"/>
      <c r="W1537" s="105"/>
      <c r="AD1537" s="106"/>
      <c r="AE1537" s="97"/>
      <c r="AF1537" s="97"/>
      <c r="AG1537" s="97"/>
      <c r="AH1537" s="97"/>
      <c r="AI1537" s="97"/>
      <c r="AJ1537" s="97"/>
      <c r="AK1537" s="97"/>
      <c r="AL1537" s="97"/>
      <c r="AM1537" s="97"/>
      <c r="AN1537" s="97"/>
      <c r="AO1537" s="97"/>
      <c r="AP1537" s="97"/>
      <c r="AQ1537" s="97"/>
    </row>
    <row r="1538" spans="2:43" s="101" customFormat="1" ht="15" customHeight="1">
      <c r="B1538" s="104"/>
      <c r="C1538" s="104"/>
      <c r="D1538" s="104"/>
      <c r="E1538" s="104"/>
      <c r="F1538" s="104"/>
      <c r="G1538" s="104"/>
      <c r="H1538" s="104"/>
      <c r="I1538" s="104"/>
      <c r="J1538" s="104"/>
      <c r="K1538" s="104"/>
      <c r="L1538" s="104"/>
      <c r="R1538" s="105"/>
      <c r="S1538" s="105"/>
      <c r="T1538" s="105"/>
      <c r="U1538" s="105"/>
      <c r="V1538" s="105"/>
      <c r="W1538" s="105"/>
      <c r="AD1538" s="106"/>
      <c r="AE1538" s="97"/>
      <c r="AF1538" s="97"/>
      <c r="AG1538" s="97"/>
      <c r="AH1538" s="97"/>
      <c r="AI1538" s="97"/>
      <c r="AJ1538" s="97"/>
      <c r="AK1538" s="97"/>
      <c r="AL1538" s="97"/>
      <c r="AM1538" s="97"/>
      <c r="AN1538" s="97"/>
      <c r="AO1538" s="97"/>
      <c r="AP1538" s="97"/>
      <c r="AQ1538" s="97"/>
    </row>
    <row r="1539" spans="2:43" s="101" customFormat="1" ht="15" customHeight="1">
      <c r="B1539" s="104"/>
      <c r="C1539" s="104"/>
      <c r="D1539" s="104"/>
      <c r="E1539" s="104"/>
      <c r="F1539" s="104"/>
      <c r="G1539" s="104"/>
      <c r="H1539" s="104"/>
      <c r="I1539" s="104"/>
      <c r="J1539" s="104"/>
      <c r="K1539" s="104"/>
      <c r="L1539" s="104"/>
      <c r="R1539" s="105"/>
      <c r="S1539" s="105"/>
      <c r="T1539" s="105"/>
      <c r="U1539" s="105"/>
      <c r="V1539" s="105"/>
      <c r="W1539" s="105"/>
      <c r="AD1539" s="106"/>
      <c r="AE1539" s="97"/>
      <c r="AF1539" s="97"/>
      <c r="AG1539" s="97"/>
      <c r="AH1539" s="97"/>
      <c r="AI1539" s="97"/>
      <c r="AJ1539" s="97"/>
      <c r="AK1539" s="97"/>
      <c r="AL1539" s="97"/>
      <c r="AM1539" s="97"/>
      <c r="AN1539" s="97"/>
      <c r="AO1539" s="97"/>
      <c r="AP1539" s="97"/>
      <c r="AQ1539" s="97"/>
    </row>
    <row r="1540" spans="2:43" s="101" customFormat="1" ht="15" customHeight="1">
      <c r="B1540" s="104"/>
      <c r="C1540" s="104"/>
      <c r="D1540" s="104"/>
      <c r="E1540" s="104"/>
      <c r="F1540" s="104"/>
      <c r="G1540" s="104"/>
      <c r="H1540" s="104"/>
      <c r="I1540" s="104"/>
      <c r="J1540" s="104"/>
      <c r="K1540" s="104"/>
      <c r="L1540" s="104"/>
      <c r="R1540" s="105"/>
      <c r="S1540" s="105"/>
      <c r="T1540" s="105"/>
      <c r="U1540" s="105"/>
      <c r="V1540" s="105"/>
      <c r="W1540" s="105"/>
      <c r="AD1540" s="106"/>
      <c r="AE1540" s="97"/>
      <c r="AF1540" s="97"/>
      <c r="AG1540" s="97"/>
      <c r="AH1540" s="97"/>
      <c r="AI1540" s="97"/>
      <c r="AJ1540" s="97"/>
      <c r="AK1540" s="97"/>
      <c r="AL1540" s="97"/>
      <c r="AM1540" s="97"/>
      <c r="AN1540" s="97"/>
      <c r="AO1540" s="97"/>
      <c r="AP1540" s="97"/>
      <c r="AQ1540" s="97"/>
    </row>
    <row r="1541" spans="2:43" s="101" customFormat="1" ht="15" customHeight="1">
      <c r="B1541" s="104"/>
      <c r="C1541" s="104"/>
      <c r="D1541" s="104"/>
      <c r="E1541" s="104"/>
      <c r="F1541" s="104"/>
      <c r="G1541" s="104"/>
      <c r="H1541" s="104"/>
      <c r="I1541" s="104"/>
      <c r="J1541" s="104"/>
      <c r="K1541" s="104"/>
      <c r="L1541" s="104"/>
      <c r="R1541" s="105"/>
      <c r="S1541" s="105"/>
      <c r="T1541" s="105"/>
      <c r="U1541" s="105"/>
      <c r="V1541" s="105"/>
      <c r="W1541" s="105"/>
      <c r="AD1541" s="106"/>
      <c r="AE1541" s="97"/>
      <c r="AF1541" s="97"/>
      <c r="AG1541" s="97"/>
      <c r="AH1541" s="97"/>
      <c r="AI1541" s="97"/>
      <c r="AJ1541" s="97"/>
      <c r="AK1541" s="97"/>
      <c r="AL1541" s="97"/>
      <c r="AM1541" s="97"/>
      <c r="AN1541" s="97"/>
      <c r="AO1541" s="97"/>
      <c r="AP1541" s="97"/>
      <c r="AQ1541" s="97"/>
    </row>
    <row r="1542" spans="2:43" s="101" customFormat="1" ht="15" customHeight="1">
      <c r="B1542" s="104"/>
      <c r="C1542" s="104"/>
      <c r="D1542" s="104"/>
      <c r="E1542" s="104"/>
      <c r="F1542" s="104"/>
      <c r="G1542" s="104"/>
      <c r="H1542" s="104"/>
      <c r="I1542" s="104"/>
      <c r="J1542" s="104"/>
      <c r="K1542" s="104"/>
      <c r="L1542" s="104"/>
      <c r="R1542" s="105"/>
      <c r="S1542" s="105"/>
      <c r="T1542" s="105"/>
      <c r="U1542" s="105"/>
      <c r="V1542" s="105"/>
      <c r="W1542" s="105"/>
      <c r="AD1542" s="106"/>
      <c r="AE1542" s="97"/>
      <c r="AF1542" s="97"/>
      <c r="AG1542" s="97"/>
      <c r="AH1542" s="97"/>
      <c r="AI1542" s="97"/>
      <c r="AJ1542" s="97"/>
      <c r="AK1542" s="97"/>
      <c r="AL1542" s="97"/>
      <c r="AM1542" s="97"/>
      <c r="AN1542" s="97"/>
      <c r="AO1542" s="97"/>
      <c r="AP1542" s="97"/>
      <c r="AQ1542" s="97"/>
    </row>
    <row r="1543" spans="2:43" s="101" customFormat="1" ht="15" customHeight="1">
      <c r="B1543" s="104"/>
      <c r="C1543" s="104"/>
      <c r="D1543" s="104"/>
      <c r="E1543" s="104"/>
      <c r="F1543" s="104"/>
      <c r="G1543" s="104"/>
      <c r="H1543" s="104"/>
      <c r="I1543" s="104"/>
      <c r="J1543" s="104"/>
      <c r="K1543" s="104"/>
      <c r="L1543" s="104"/>
      <c r="R1543" s="105"/>
      <c r="S1543" s="105"/>
      <c r="T1543" s="105"/>
      <c r="U1543" s="105"/>
      <c r="V1543" s="105"/>
      <c r="W1543" s="105"/>
      <c r="AD1543" s="106"/>
      <c r="AE1543" s="97"/>
      <c r="AF1543" s="97"/>
      <c r="AG1543" s="97"/>
      <c r="AH1543" s="97"/>
      <c r="AI1543" s="97"/>
      <c r="AJ1543" s="97"/>
      <c r="AK1543" s="97"/>
      <c r="AL1543" s="97"/>
      <c r="AM1543" s="97"/>
      <c r="AN1543" s="97"/>
      <c r="AO1543" s="97"/>
      <c r="AP1543" s="97"/>
      <c r="AQ1543" s="97"/>
    </row>
    <row r="1544" spans="2:43" s="101" customFormat="1" ht="15" customHeight="1">
      <c r="B1544" s="104"/>
      <c r="C1544" s="104"/>
      <c r="D1544" s="104"/>
      <c r="E1544" s="104"/>
      <c r="F1544" s="104"/>
      <c r="G1544" s="104"/>
      <c r="H1544" s="104"/>
      <c r="I1544" s="104"/>
      <c r="J1544" s="104"/>
      <c r="K1544" s="104"/>
      <c r="L1544" s="104"/>
      <c r="R1544" s="105"/>
      <c r="S1544" s="105"/>
      <c r="T1544" s="105"/>
      <c r="U1544" s="105"/>
      <c r="V1544" s="105"/>
      <c r="W1544" s="105"/>
      <c r="AD1544" s="106"/>
      <c r="AE1544" s="97"/>
      <c r="AF1544" s="97"/>
      <c r="AG1544" s="97"/>
      <c r="AH1544" s="97"/>
      <c r="AI1544" s="97"/>
      <c r="AJ1544" s="97"/>
      <c r="AK1544" s="97"/>
      <c r="AL1544" s="97"/>
      <c r="AM1544" s="97"/>
      <c r="AN1544" s="97"/>
      <c r="AO1544" s="97"/>
      <c r="AP1544" s="97"/>
      <c r="AQ1544" s="97"/>
    </row>
    <row r="1545" spans="2:43" s="101" customFormat="1" ht="15" customHeight="1">
      <c r="B1545" s="104"/>
      <c r="C1545" s="104"/>
      <c r="D1545" s="104"/>
      <c r="E1545" s="104"/>
      <c r="F1545" s="104"/>
      <c r="G1545" s="104"/>
      <c r="H1545" s="104"/>
      <c r="I1545" s="104"/>
      <c r="J1545" s="104"/>
      <c r="K1545" s="104"/>
      <c r="L1545" s="104"/>
      <c r="R1545" s="105"/>
      <c r="S1545" s="105"/>
      <c r="T1545" s="105"/>
      <c r="U1545" s="105"/>
      <c r="V1545" s="105"/>
      <c r="W1545" s="105"/>
      <c r="AD1545" s="106"/>
      <c r="AE1545" s="97"/>
      <c r="AF1545" s="97"/>
      <c r="AG1545" s="97"/>
      <c r="AH1545" s="97"/>
      <c r="AI1545" s="97"/>
      <c r="AJ1545" s="97"/>
      <c r="AK1545" s="97"/>
      <c r="AL1545" s="97"/>
      <c r="AM1545" s="97"/>
      <c r="AN1545" s="97"/>
      <c r="AO1545" s="97"/>
      <c r="AP1545" s="97"/>
      <c r="AQ1545" s="97"/>
    </row>
    <row r="1546" spans="2:43" s="101" customFormat="1" ht="15" customHeight="1">
      <c r="B1546" s="104"/>
      <c r="C1546" s="104"/>
      <c r="D1546" s="104"/>
      <c r="E1546" s="104"/>
      <c r="F1546" s="104"/>
      <c r="G1546" s="104"/>
      <c r="H1546" s="104"/>
      <c r="I1546" s="104"/>
      <c r="J1546" s="104"/>
      <c r="K1546" s="104"/>
      <c r="L1546" s="104"/>
      <c r="R1546" s="105"/>
      <c r="S1546" s="105"/>
      <c r="T1546" s="105"/>
      <c r="U1546" s="105"/>
      <c r="V1546" s="105"/>
      <c r="W1546" s="105"/>
      <c r="AD1546" s="106"/>
      <c r="AE1546" s="97"/>
      <c r="AF1546" s="97"/>
      <c r="AG1546" s="97"/>
      <c r="AH1546" s="97"/>
      <c r="AI1546" s="97"/>
      <c r="AJ1546" s="97"/>
      <c r="AK1546" s="97"/>
      <c r="AL1546" s="97"/>
      <c r="AM1546" s="97"/>
      <c r="AN1546" s="97"/>
      <c r="AO1546" s="97"/>
      <c r="AP1546" s="97"/>
      <c r="AQ1546" s="97"/>
    </row>
    <row r="1547" spans="2:43" s="101" customFormat="1" ht="15" customHeight="1">
      <c r="B1547" s="104"/>
      <c r="C1547" s="104"/>
      <c r="D1547" s="104"/>
      <c r="E1547" s="104"/>
      <c r="F1547" s="104"/>
      <c r="G1547" s="104"/>
      <c r="H1547" s="104"/>
      <c r="I1547" s="104"/>
      <c r="J1547" s="104"/>
      <c r="K1547" s="104"/>
      <c r="L1547" s="104"/>
      <c r="R1547" s="105"/>
      <c r="S1547" s="105"/>
      <c r="T1547" s="105"/>
      <c r="U1547" s="105"/>
      <c r="V1547" s="105"/>
      <c r="W1547" s="105"/>
      <c r="AD1547" s="106"/>
      <c r="AE1547" s="97"/>
      <c r="AF1547" s="97"/>
      <c r="AG1547" s="97"/>
      <c r="AH1547" s="97"/>
      <c r="AI1547" s="97"/>
      <c r="AJ1547" s="97"/>
      <c r="AK1547" s="97"/>
      <c r="AL1547" s="97"/>
      <c r="AM1547" s="97"/>
      <c r="AN1547" s="97"/>
      <c r="AO1547" s="97"/>
      <c r="AP1547" s="97"/>
      <c r="AQ1547" s="97"/>
    </row>
    <row r="1548" spans="2:43" s="101" customFormat="1" ht="15" customHeight="1">
      <c r="B1548" s="104"/>
      <c r="C1548" s="104"/>
      <c r="D1548" s="104"/>
      <c r="E1548" s="104"/>
      <c r="F1548" s="104"/>
      <c r="G1548" s="104"/>
      <c r="H1548" s="104"/>
      <c r="I1548" s="104"/>
      <c r="J1548" s="104"/>
      <c r="K1548" s="104"/>
      <c r="L1548" s="104"/>
      <c r="R1548" s="105"/>
      <c r="S1548" s="105"/>
      <c r="T1548" s="105"/>
      <c r="U1548" s="105"/>
      <c r="V1548" s="105"/>
      <c r="W1548" s="105"/>
      <c r="AD1548" s="106"/>
      <c r="AE1548" s="97"/>
      <c r="AF1548" s="97"/>
      <c r="AG1548" s="97"/>
      <c r="AH1548" s="97"/>
      <c r="AI1548" s="97"/>
      <c r="AJ1548" s="97"/>
      <c r="AK1548" s="97"/>
      <c r="AL1548" s="97"/>
      <c r="AM1548" s="97"/>
      <c r="AN1548" s="97"/>
      <c r="AO1548" s="97"/>
      <c r="AP1548" s="97"/>
      <c r="AQ1548" s="97"/>
    </row>
    <row r="1549" spans="2:43" s="101" customFormat="1" ht="15" customHeight="1">
      <c r="B1549" s="104"/>
      <c r="C1549" s="104"/>
      <c r="D1549" s="104"/>
      <c r="E1549" s="104"/>
      <c r="F1549" s="104"/>
      <c r="G1549" s="104"/>
      <c r="H1549" s="104"/>
      <c r="I1549" s="104"/>
      <c r="J1549" s="104"/>
      <c r="K1549" s="104"/>
      <c r="L1549" s="104"/>
      <c r="R1549" s="105"/>
      <c r="S1549" s="105"/>
      <c r="T1549" s="105"/>
      <c r="U1549" s="105"/>
      <c r="V1549" s="105"/>
      <c r="W1549" s="105"/>
      <c r="AD1549" s="106"/>
      <c r="AE1549" s="97"/>
      <c r="AF1549" s="97"/>
      <c r="AG1549" s="97"/>
      <c r="AH1549" s="97"/>
      <c r="AI1549" s="97"/>
      <c r="AJ1549" s="97"/>
      <c r="AK1549" s="97"/>
      <c r="AL1549" s="97"/>
      <c r="AM1549" s="97"/>
      <c r="AN1549" s="97"/>
      <c r="AO1549" s="97"/>
      <c r="AP1549" s="97"/>
      <c r="AQ1549" s="97"/>
    </row>
    <row r="1550" spans="2:43" s="101" customFormat="1" ht="15" customHeight="1">
      <c r="B1550" s="104"/>
      <c r="C1550" s="104"/>
      <c r="D1550" s="104"/>
      <c r="E1550" s="104"/>
      <c r="F1550" s="104"/>
      <c r="G1550" s="104"/>
      <c r="H1550" s="104"/>
      <c r="I1550" s="104"/>
      <c r="J1550" s="104"/>
      <c r="K1550" s="104"/>
      <c r="L1550" s="104"/>
      <c r="R1550" s="105"/>
      <c r="S1550" s="105"/>
      <c r="T1550" s="105"/>
      <c r="U1550" s="105"/>
      <c r="V1550" s="105"/>
      <c r="W1550" s="105"/>
      <c r="AD1550" s="106"/>
      <c r="AE1550" s="97"/>
      <c r="AF1550" s="97"/>
      <c r="AG1550" s="97"/>
      <c r="AH1550" s="97"/>
      <c r="AI1550" s="97"/>
      <c r="AJ1550" s="97"/>
      <c r="AK1550" s="97"/>
      <c r="AL1550" s="97"/>
      <c r="AM1550" s="97"/>
      <c r="AN1550" s="97"/>
      <c r="AO1550" s="97"/>
      <c r="AP1550" s="97"/>
      <c r="AQ1550" s="97"/>
    </row>
    <row r="1551" spans="2:43" s="101" customFormat="1" ht="15" customHeight="1">
      <c r="B1551" s="104"/>
      <c r="C1551" s="104"/>
      <c r="D1551" s="104"/>
      <c r="E1551" s="104"/>
      <c r="F1551" s="104"/>
      <c r="G1551" s="104"/>
      <c r="H1551" s="104"/>
      <c r="I1551" s="104"/>
      <c r="J1551" s="104"/>
      <c r="K1551" s="104"/>
      <c r="L1551" s="104"/>
      <c r="R1551" s="105"/>
      <c r="S1551" s="105"/>
      <c r="T1551" s="105"/>
      <c r="U1551" s="105"/>
      <c r="V1551" s="105"/>
      <c r="W1551" s="105"/>
      <c r="AD1551" s="106"/>
      <c r="AE1551" s="97"/>
      <c r="AF1551" s="97"/>
      <c r="AG1551" s="97"/>
      <c r="AH1551" s="97"/>
      <c r="AI1551" s="97"/>
      <c r="AJ1551" s="97"/>
      <c r="AK1551" s="97"/>
      <c r="AL1551" s="97"/>
      <c r="AM1551" s="97"/>
      <c r="AN1551" s="97"/>
      <c r="AO1551" s="97"/>
      <c r="AP1551" s="97"/>
      <c r="AQ1551" s="97"/>
    </row>
    <row r="1552" spans="2:43" s="101" customFormat="1" ht="15" customHeight="1">
      <c r="B1552" s="104"/>
      <c r="C1552" s="104"/>
      <c r="D1552" s="104"/>
      <c r="E1552" s="104"/>
      <c r="F1552" s="104"/>
      <c r="G1552" s="104"/>
      <c r="H1552" s="104"/>
      <c r="I1552" s="104"/>
      <c r="J1552" s="104"/>
      <c r="K1552" s="104"/>
      <c r="L1552" s="104"/>
      <c r="R1552" s="105"/>
      <c r="S1552" s="105"/>
      <c r="T1552" s="105"/>
      <c r="U1552" s="105"/>
      <c r="V1552" s="105"/>
      <c r="W1552" s="105"/>
      <c r="AD1552" s="106"/>
      <c r="AE1552" s="97"/>
      <c r="AF1552" s="97"/>
      <c r="AG1552" s="97"/>
      <c r="AH1552" s="97"/>
      <c r="AI1552" s="97"/>
      <c r="AJ1552" s="97"/>
      <c r="AK1552" s="97"/>
      <c r="AL1552" s="97"/>
      <c r="AM1552" s="97"/>
      <c r="AN1552" s="97"/>
      <c r="AO1552" s="97"/>
      <c r="AP1552" s="97"/>
      <c r="AQ1552" s="97"/>
    </row>
    <row r="1553" spans="2:43" s="101" customFormat="1" ht="15" customHeight="1">
      <c r="B1553" s="104"/>
      <c r="C1553" s="104"/>
      <c r="D1553" s="104"/>
      <c r="E1553" s="104"/>
      <c r="F1553" s="104"/>
      <c r="G1553" s="104"/>
      <c r="H1553" s="104"/>
      <c r="I1553" s="104"/>
      <c r="J1553" s="104"/>
      <c r="K1553" s="104"/>
      <c r="L1553" s="104"/>
      <c r="R1553" s="105"/>
      <c r="S1553" s="105"/>
      <c r="T1553" s="105"/>
      <c r="U1553" s="105"/>
      <c r="V1553" s="105"/>
      <c r="W1553" s="105"/>
      <c r="AD1553" s="106"/>
      <c r="AE1553" s="97"/>
      <c r="AF1553" s="97"/>
      <c r="AG1553" s="97"/>
      <c r="AH1553" s="97"/>
      <c r="AI1553" s="97"/>
      <c r="AJ1553" s="97"/>
      <c r="AK1553" s="97"/>
      <c r="AL1553" s="97"/>
      <c r="AM1553" s="97"/>
      <c r="AN1553" s="97"/>
      <c r="AO1553" s="97"/>
      <c r="AP1553" s="97"/>
      <c r="AQ1553" s="97"/>
    </row>
    <row r="1554" spans="2:43" s="101" customFormat="1" ht="15" customHeight="1">
      <c r="B1554" s="104"/>
      <c r="C1554" s="104"/>
      <c r="D1554" s="104"/>
      <c r="E1554" s="104"/>
      <c r="F1554" s="104"/>
      <c r="G1554" s="104"/>
      <c r="H1554" s="104"/>
      <c r="I1554" s="104"/>
      <c r="J1554" s="104"/>
      <c r="K1554" s="104"/>
      <c r="L1554" s="104"/>
      <c r="R1554" s="105"/>
      <c r="S1554" s="105"/>
      <c r="T1554" s="105"/>
      <c r="U1554" s="105"/>
      <c r="V1554" s="105"/>
      <c r="W1554" s="105"/>
      <c r="AD1554" s="106"/>
      <c r="AE1554" s="97"/>
      <c r="AF1554" s="97"/>
      <c r="AG1554" s="97"/>
      <c r="AH1554" s="97"/>
      <c r="AI1554" s="97"/>
      <c r="AJ1554" s="97"/>
      <c r="AK1554" s="97"/>
      <c r="AL1554" s="97"/>
      <c r="AM1554" s="97"/>
      <c r="AN1554" s="97"/>
      <c r="AO1554" s="97"/>
      <c r="AP1554" s="97"/>
      <c r="AQ1554" s="97"/>
    </row>
    <row r="1555" spans="2:43" s="101" customFormat="1" ht="15" customHeight="1">
      <c r="B1555" s="104"/>
      <c r="C1555" s="104"/>
      <c r="D1555" s="104"/>
      <c r="E1555" s="104"/>
      <c r="F1555" s="104"/>
      <c r="G1555" s="104"/>
      <c r="H1555" s="104"/>
      <c r="I1555" s="104"/>
      <c r="J1555" s="104"/>
      <c r="K1555" s="104"/>
      <c r="L1555" s="104"/>
      <c r="R1555" s="105"/>
      <c r="S1555" s="105"/>
      <c r="T1555" s="105"/>
      <c r="U1555" s="105"/>
      <c r="V1555" s="105"/>
      <c r="W1555" s="105"/>
      <c r="AD1555" s="106"/>
      <c r="AE1555" s="97"/>
      <c r="AF1555" s="97"/>
      <c r="AG1555" s="97"/>
      <c r="AH1555" s="97"/>
      <c r="AI1555" s="97"/>
      <c r="AJ1555" s="97"/>
      <c r="AK1555" s="97"/>
      <c r="AL1555" s="97"/>
      <c r="AM1555" s="97"/>
      <c r="AN1555" s="97"/>
      <c r="AO1555" s="97"/>
      <c r="AP1555" s="97"/>
      <c r="AQ1555" s="97"/>
    </row>
    <row r="1556" spans="2:43" s="101" customFormat="1" ht="15" customHeight="1">
      <c r="B1556" s="104"/>
      <c r="C1556" s="104"/>
      <c r="D1556" s="104"/>
      <c r="E1556" s="104"/>
      <c r="F1556" s="104"/>
      <c r="G1556" s="104"/>
      <c r="H1556" s="104"/>
      <c r="I1556" s="104"/>
      <c r="J1556" s="104"/>
      <c r="K1556" s="104"/>
      <c r="L1556" s="104"/>
      <c r="R1556" s="105"/>
      <c r="S1556" s="105"/>
      <c r="T1556" s="105"/>
      <c r="U1556" s="105"/>
      <c r="V1556" s="105"/>
      <c r="W1556" s="105"/>
      <c r="AD1556" s="106"/>
      <c r="AE1556" s="97"/>
      <c r="AF1556" s="97"/>
      <c r="AG1556" s="97"/>
      <c r="AH1556" s="97"/>
      <c r="AI1556" s="97"/>
      <c r="AJ1556" s="97"/>
      <c r="AK1556" s="97"/>
      <c r="AL1556" s="97"/>
      <c r="AM1556" s="97"/>
      <c r="AN1556" s="97"/>
      <c r="AO1556" s="97"/>
      <c r="AP1556" s="97"/>
      <c r="AQ1556" s="97"/>
    </row>
    <row r="1557" spans="2:43" s="101" customFormat="1" ht="15" customHeight="1">
      <c r="B1557" s="104"/>
      <c r="C1557" s="104"/>
      <c r="D1557" s="104"/>
      <c r="E1557" s="104"/>
      <c r="F1557" s="104"/>
      <c r="G1557" s="104"/>
      <c r="H1557" s="104"/>
      <c r="I1557" s="104"/>
      <c r="J1557" s="104"/>
      <c r="K1557" s="104"/>
      <c r="L1557" s="104"/>
      <c r="R1557" s="105"/>
      <c r="S1557" s="105"/>
      <c r="T1557" s="105"/>
      <c r="U1557" s="105"/>
      <c r="V1557" s="105"/>
      <c r="W1557" s="105"/>
      <c r="AD1557" s="106"/>
      <c r="AE1557" s="97"/>
      <c r="AF1557" s="97"/>
      <c r="AG1557" s="97"/>
      <c r="AH1557" s="97"/>
      <c r="AI1557" s="97"/>
      <c r="AJ1557" s="97"/>
      <c r="AK1557" s="97"/>
      <c r="AL1557" s="97"/>
      <c r="AM1557" s="97"/>
      <c r="AN1557" s="97"/>
      <c r="AO1557" s="97"/>
      <c r="AP1557" s="97"/>
      <c r="AQ1557" s="97"/>
    </row>
    <row r="1558" spans="2:43" s="101" customFormat="1" ht="15" customHeight="1">
      <c r="B1558" s="104"/>
      <c r="C1558" s="104"/>
      <c r="D1558" s="104"/>
      <c r="E1558" s="104"/>
      <c r="F1558" s="104"/>
      <c r="G1558" s="104"/>
      <c r="H1558" s="104"/>
      <c r="I1558" s="104"/>
      <c r="J1558" s="104"/>
      <c r="K1558" s="104"/>
      <c r="L1558" s="104"/>
      <c r="R1558" s="105"/>
      <c r="S1558" s="105"/>
      <c r="T1558" s="105"/>
      <c r="U1558" s="105"/>
      <c r="V1558" s="105"/>
      <c r="W1558" s="105"/>
      <c r="AD1558" s="106"/>
      <c r="AE1558" s="97"/>
      <c r="AF1558" s="97"/>
      <c r="AG1558" s="97"/>
      <c r="AH1558" s="97"/>
      <c r="AI1558" s="97"/>
      <c r="AJ1558" s="97"/>
      <c r="AK1558" s="97"/>
      <c r="AL1558" s="97"/>
      <c r="AM1558" s="97"/>
      <c r="AN1558" s="97"/>
      <c r="AO1558" s="97"/>
      <c r="AP1558" s="97"/>
      <c r="AQ1558" s="97"/>
    </row>
    <row r="1559" spans="2:43" s="101" customFormat="1" ht="15" customHeight="1">
      <c r="B1559" s="104"/>
      <c r="C1559" s="104"/>
      <c r="D1559" s="104"/>
      <c r="E1559" s="104"/>
      <c r="F1559" s="104"/>
      <c r="G1559" s="104"/>
      <c r="H1559" s="104"/>
      <c r="I1559" s="104"/>
      <c r="J1559" s="104"/>
      <c r="K1559" s="104"/>
      <c r="L1559" s="104"/>
      <c r="R1559" s="105"/>
      <c r="S1559" s="105"/>
      <c r="T1559" s="105"/>
      <c r="U1559" s="105"/>
      <c r="V1559" s="105"/>
      <c r="W1559" s="105"/>
      <c r="AD1559" s="106"/>
      <c r="AE1559" s="97"/>
      <c r="AF1559" s="97"/>
      <c r="AG1559" s="97"/>
      <c r="AH1559" s="97"/>
      <c r="AI1559" s="97"/>
      <c r="AJ1559" s="97"/>
      <c r="AK1559" s="97"/>
      <c r="AL1559" s="97"/>
      <c r="AM1559" s="97"/>
      <c r="AN1559" s="97"/>
      <c r="AO1559" s="97"/>
      <c r="AP1559" s="97"/>
      <c r="AQ1559" s="97"/>
    </row>
    <row r="1560" spans="2:43" s="101" customFormat="1" ht="15" customHeight="1">
      <c r="B1560" s="104"/>
      <c r="C1560" s="104"/>
      <c r="D1560" s="104"/>
      <c r="E1560" s="104"/>
      <c r="F1560" s="104"/>
      <c r="G1560" s="104"/>
      <c r="H1560" s="104"/>
      <c r="I1560" s="104"/>
      <c r="J1560" s="104"/>
      <c r="K1560" s="104"/>
      <c r="L1560" s="104"/>
      <c r="R1560" s="105"/>
      <c r="S1560" s="105"/>
      <c r="T1560" s="105"/>
      <c r="U1560" s="105"/>
      <c r="V1560" s="105"/>
      <c r="W1560" s="105"/>
      <c r="AD1560" s="106"/>
      <c r="AE1560" s="97"/>
      <c r="AF1560" s="97"/>
      <c r="AG1560" s="97"/>
      <c r="AH1560" s="97"/>
      <c r="AI1560" s="97"/>
      <c r="AJ1560" s="97"/>
      <c r="AK1560" s="97"/>
      <c r="AL1560" s="97"/>
      <c r="AM1560" s="97"/>
      <c r="AN1560" s="97"/>
      <c r="AO1560" s="97"/>
      <c r="AP1560" s="97"/>
      <c r="AQ1560" s="97"/>
    </row>
    <row r="1561" spans="2:43" s="101" customFormat="1" ht="15" customHeight="1">
      <c r="B1561" s="104"/>
      <c r="C1561" s="104"/>
      <c r="D1561" s="104"/>
      <c r="E1561" s="104"/>
      <c r="F1561" s="104"/>
      <c r="G1561" s="104"/>
      <c r="H1561" s="104"/>
      <c r="I1561" s="104"/>
      <c r="J1561" s="104"/>
      <c r="K1561" s="104"/>
      <c r="L1561" s="104"/>
      <c r="R1561" s="105"/>
      <c r="S1561" s="105"/>
      <c r="T1561" s="105"/>
      <c r="U1561" s="105"/>
      <c r="V1561" s="105"/>
      <c r="W1561" s="105"/>
      <c r="AD1561" s="106"/>
      <c r="AE1561" s="97"/>
      <c r="AF1561" s="97"/>
      <c r="AG1561" s="97"/>
      <c r="AH1561" s="97"/>
      <c r="AI1561" s="97"/>
      <c r="AJ1561" s="97"/>
      <c r="AK1561" s="97"/>
      <c r="AL1561" s="97"/>
      <c r="AM1561" s="97"/>
      <c r="AN1561" s="97"/>
      <c r="AO1561" s="97"/>
      <c r="AP1561" s="97"/>
      <c r="AQ1561" s="97"/>
    </row>
    <row r="1562" spans="2:43" s="101" customFormat="1" ht="15" customHeight="1">
      <c r="B1562" s="104"/>
      <c r="C1562" s="104"/>
      <c r="D1562" s="104"/>
      <c r="E1562" s="104"/>
      <c r="F1562" s="104"/>
      <c r="G1562" s="104"/>
      <c r="H1562" s="104"/>
      <c r="I1562" s="104"/>
      <c r="J1562" s="104"/>
      <c r="K1562" s="104"/>
      <c r="L1562" s="104"/>
      <c r="R1562" s="105"/>
      <c r="S1562" s="105"/>
      <c r="T1562" s="105"/>
      <c r="U1562" s="105"/>
      <c r="V1562" s="105"/>
      <c r="W1562" s="105"/>
      <c r="AD1562" s="106"/>
      <c r="AE1562" s="97"/>
      <c r="AF1562" s="97"/>
      <c r="AG1562" s="97"/>
      <c r="AH1562" s="97"/>
      <c r="AI1562" s="97"/>
      <c r="AJ1562" s="97"/>
      <c r="AK1562" s="97"/>
      <c r="AL1562" s="97"/>
      <c r="AM1562" s="97"/>
      <c r="AN1562" s="97"/>
      <c r="AO1562" s="97"/>
      <c r="AP1562" s="97"/>
      <c r="AQ1562" s="97"/>
    </row>
    <row r="1563" spans="2:43" s="101" customFormat="1" ht="15" customHeight="1">
      <c r="B1563" s="104"/>
      <c r="C1563" s="104"/>
      <c r="D1563" s="104"/>
      <c r="E1563" s="104"/>
      <c r="F1563" s="104"/>
      <c r="G1563" s="104"/>
      <c r="H1563" s="104"/>
      <c r="I1563" s="104"/>
      <c r="J1563" s="104"/>
      <c r="K1563" s="104"/>
      <c r="L1563" s="104"/>
      <c r="R1563" s="105"/>
      <c r="S1563" s="105"/>
      <c r="T1563" s="105"/>
      <c r="U1563" s="105"/>
      <c r="V1563" s="105"/>
      <c r="W1563" s="105"/>
      <c r="AD1563" s="106"/>
      <c r="AE1563" s="97"/>
      <c r="AF1563" s="97"/>
      <c r="AG1563" s="97"/>
      <c r="AH1563" s="97"/>
      <c r="AI1563" s="97"/>
      <c r="AJ1563" s="97"/>
      <c r="AK1563" s="97"/>
      <c r="AL1563" s="97"/>
      <c r="AM1563" s="97"/>
      <c r="AN1563" s="97"/>
      <c r="AO1563" s="97"/>
      <c r="AP1563" s="97"/>
      <c r="AQ1563" s="97"/>
    </row>
    <row r="1564" spans="2:43" s="101" customFormat="1" ht="15" customHeight="1">
      <c r="B1564" s="104"/>
      <c r="C1564" s="104"/>
      <c r="D1564" s="104"/>
      <c r="E1564" s="104"/>
      <c r="F1564" s="104"/>
      <c r="G1564" s="104"/>
      <c r="H1564" s="104"/>
      <c r="I1564" s="104"/>
      <c r="J1564" s="104"/>
      <c r="K1564" s="104"/>
      <c r="L1564" s="104"/>
      <c r="R1564" s="105"/>
      <c r="S1564" s="105"/>
      <c r="T1564" s="105"/>
      <c r="U1564" s="105"/>
      <c r="V1564" s="105"/>
      <c r="W1564" s="105"/>
      <c r="AD1564" s="106"/>
      <c r="AE1564" s="97"/>
      <c r="AF1564" s="97"/>
      <c r="AG1564" s="97"/>
      <c r="AH1564" s="97"/>
      <c r="AI1564" s="97"/>
      <c r="AJ1564" s="97"/>
      <c r="AK1564" s="97"/>
      <c r="AL1564" s="97"/>
      <c r="AM1564" s="97"/>
      <c r="AN1564" s="97"/>
      <c r="AO1564" s="97"/>
      <c r="AP1564" s="97"/>
      <c r="AQ1564" s="97"/>
    </row>
    <row r="1565" spans="2:43" s="101" customFormat="1" ht="15" customHeight="1">
      <c r="B1565" s="104"/>
      <c r="C1565" s="104"/>
      <c r="D1565" s="104"/>
      <c r="E1565" s="104"/>
      <c r="F1565" s="104"/>
      <c r="G1565" s="104"/>
      <c r="H1565" s="104"/>
      <c r="I1565" s="104"/>
      <c r="J1565" s="104"/>
      <c r="K1565" s="104"/>
      <c r="L1565" s="104"/>
      <c r="R1565" s="105"/>
      <c r="S1565" s="105"/>
      <c r="T1565" s="105"/>
      <c r="U1565" s="105"/>
      <c r="V1565" s="105"/>
      <c r="W1565" s="105"/>
      <c r="AD1565" s="106"/>
      <c r="AE1565" s="97"/>
      <c r="AF1565" s="97"/>
      <c r="AG1565" s="97"/>
      <c r="AH1565" s="97"/>
      <c r="AI1565" s="97"/>
      <c r="AJ1565" s="97"/>
      <c r="AK1565" s="97"/>
      <c r="AL1565" s="97"/>
      <c r="AM1565" s="97"/>
      <c r="AN1565" s="97"/>
      <c r="AO1565" s="97"/>
      <c r="AP1565" s="97"/>
      <c r="AQ1565" s="97"/>
    </row>
    <row r="1566" spans="2:43" s="101" customFormat="1" ht="15" customHeight="1">
      <c r="B1566" s="104"/>
      <c r="C1566" s="104"/>
      <c r="D1566" s="104"/>
      <c r="E1566" s="104"/>
      <c r="F1566" s="104"/>
      <c r="G1566" s="104"/>
      <c r="H1566" s="104"/>
      <c r="I1566" s="104"/>
      <c r="J1566" s="104"/>
      <c r="K1566" s="104"/>
      <c r="L1566" s="104"/>
      <c r="R1566" s="105"/>
      <c r="S1566" s="105"/>
      <c r="T1566" s="105"/>
      <c r="U1566" s="105"/>
      <c r="V1566" s="105"/>
      <c r="W1566" s="105"/>
      <c r="AD1566" s="106"/>
      <c r="AE1566" s="97"/>
      <c r="AF1566" s="97"/>
      <c r="AG1566" s="97"/>
      <c r="AH1566" s="97"/>
      <c r="AI1566" s="97"/>
      <c r="AJ1566" s="97"/>
      <c r="AK1566" s="97"/>
      <c r="AL1566" s="97"/>
      <c r="AM1566" s="97"/>
      <c r="AN1566" s="97"/>
      <c r="AO1566" s="97"/>
      <c r="AP1566" s="97"/>
      <c r="AQ1566" s="97"/>
    </row>
    <row r="1567" spans="2:43" s="101" customFormat="1" ht="15" customHeight="1">
      <c r="B1567" s="104"/>
      <c r="C1567" s="104"/>
      <c r="D1567" s="104"/>
      <c r="E1567" s="104"/>
      <c r="F1567" s="104"/>
      <c r="G1567" s="104"/>
      <c r="H1567" s="104"/>
      <c r="I1567" s="104"/>
      <c r="J1567" s="104"/>
      <c r="K1567" s="104"/>
      <c r="L1567" s="104"/>
      <c r="R1567" s="105"/>
      <c r="S1567" s="105"/>
      <c r="T1567" s="105"/>
      <c r="U1567" s="105"/>
      <c r="V1567" s="105"/>
      <c r="W1567" s="105"/>
      <c r="AD1567" s="106"/>
      <c r="AE1567" s="97"/>
      <c r="AF1567" s="97"/>
      <c r="AG1567" s="97"/>
      <c r="AH1567" s="97"/>
      <c r="AI1567" s="97"/>
      <c r="AJ1567" s="97"/>
      <c r="AK1567" s="97"/>
      <c r="AL1567" s="97"/>
      <c r="AM1567" s="97"/>
      <c r="AN1567" s="97"/>
      <c r="AO1567" s="97"/>
      <c r="AP1567" s="97"/>
      <c r="AQ1567" s="97"/>
    </row>
    <row r="1568" spans="2:43" s="101" customFormat="1" ht="15" customHeight="1">
      <c r="B1568" s="104"/>
      <c r="C1568" s="104"/>
      <c r="D1568" s="104"/>
      <c r="E1568" s="104"/>
      <c r="F1568" s="104"/>
      <c r="G1568" s="104"/>
      <c r="H1568" s="104"/>
      <c r="I1568" s="104"/>
      <c r="J1568" s="104"/>
      <c r="K1568" s="104"/>
      <c r="L1568" s="104"/>
      <c r="R1568" s="105"/>
      <c r="S1568" s="105"/>
      <c r="T1568" s="105"/>
      <c r="U1568" s="105"/>
      <c r="V1568" s="105"/>
      <c r="W1568" s="105"/>
      <c r="AD1568" s="106"/>
      <c r="AE1568" s="97"/>
      <c r="AF1568" s="97"/>
      <c r="AG1568" s="97"/>
      <c r="AH1568" s="97"/>
      <c r="AI1568" s="97"/>
      <c r="AJ1568" s="97"/>
      <c r="AK1568" s="97"/>
      <c r="AL1568" s="97"/>
      <c r="AM1568" s="97"/>
      <c r="AN1568" s="97"/>
      <c r="AO1568" s="97"/>
      <c r="AP1568" s="97"/>
      <c r="AQ1568" s="97"/>
    </row>
    <row r="1569" spans="2:43" s="101" customFormat="1" ht="15" customHeight="1">
      <c r="B1569" s="104"/>
      <c r="C1569" s="104"/>
      <c r="D1569" s="104"/>
      <c r="E1569" s="104"/>
      <c r="F1569" s="104"/>
      <c r="G1569" s="104"/>
      <c r="H1569" s="104"/>
      <c r="I1569" s="104"/>
      <c r="J1569" s="104"/>
      <c r="K1569" s="104"/>
      <c r="L1569" s="104"/>
      <c r="R1569" s="105"/>
      <c r="S1569" s="105"/>
      <c r="T1569" s="105"/>
      <c r="U1569" s="105"/>
      <c r="V1569" s="105"/>
      <c r="W1569" s="105"/>
      <c r="AD1569" s="106"/>
      <c r="AE1569" s="97"/>
      <c r="AF1569" s="97"/>
      <c r="AG1569" s="97"/>
      <c r="AH1569" s="97"/>
      <c r="AI1569" s="97"/>
      <c r="AJ1569" s="97"/>
      <c r="AK1569" s="97"/>
      <c r="AL1569" s="97"/>
      <c r="AM1569" s="97"/>
      <c r="AN1569" s="97"/>
      <c r="AO1569" s="97"/>
      <c r="AP1569" s="97"/>
      <c r="AQ1569" s="97"/>
    </row>
    <row r="1570" spans="2:43" s="101" customFormat="1" ht="15" customHeight="1">
      <c r="B1570" s="104"/>
      <c r="C1570" s="104"/>
      <c r="D1570" s="104"/>
      <c r="E1570" s="104"/>
      <c r="F1570" s="104"/>
      <c r="G1570" s="104"/>
      <c r="H1570" s="104"/>
      <c r="I1570" s="104"/>
      <c r="J1570" s="104"/>
      <c r="K1570" s="104"/>
      <c r="L1570" s="104"/>
      <c r="R1570" s="105"/>
      <c r="S1570" s="105"/>
      <c r="T1570" s="105"/>
      <c r="U1570" s="105"/>
      <c r="V1570" s="105"/>
      <c r="W1570" s="105"/>
      <c r="AD1570" s="106"/>
      <c r="AE1570" s="97"/>
      <c r="AF1570" s="97"/>
      <c r="AG1570" s="97"/>
      <c r="AH1570" s="97"/>
      <c r="AI1570" s="97"/>
      <c r="AJ1570" s="97"/>
      <c r="AK1570" s="97"/>
      <c r="AL1570" s="97"/>
      <c r="AM1570" s="97"/>
      <c r="AN1570" s="97"/>
      <c r="AO1570" s="97"/>
      <c r="AP1570" s="97"/>
      <c r="AQ1570" s="97"/>
    </row>
    <row r="1571" spans="2:43" s="101" customFormat="1" ht="15" customHeight="1">
      <c r="B1571" s="104"/>
      <c r="C1571" s="104"/>
      <c r="D1571" s="104"/>
      <c r="E1571" s="104"/>
      <c r="F1571" s="104"/>
      <c r="G1571" s="104"/>
      <c r="H1571" s="104"/>
      <c r="I1571" s="104"/>
      <c r="J1571" s="104"/>
      <c r="K1571" s="104"/>
      <c r="L1571" s="104"/>
      <c r="R1571" s="105"/>
      <c r="S1571" s="105"/>
      <c r="T1571" s="105"/>
      <c r="U1571" s="105"/>
      <c r="V1571" s="105"/>
      <c r="W1571" s="105"/>
      <c r="AD1571" s="106"/>
      <c r="AE1571" s="97"/>
      <c r="AF1571" s="97"/>
      <c r="AG1571" s="97"/>
      <c r="AH1571" s="97"/>
      <c r="AI1571" s="97"/>
      <c r="AJ1571" s="97"/>
      <c r="AK1571" s="97"/>
      <c r="AL1571" s="97"/>
      <c r="AM1571" s="97"/>
      <c r="AN1571" s="97"/>
      <c r="AO1571" s="97"/>
      <c r="AP1571" s="97"/>
      <c r="AQ1571" s="97"/>
    </row>
    <row r="1572" spans="2:43" s="101" customFormat="1" ht="15" customHeight="1">
      <c r="B1572" s="104"/>
      <c r="C1572" s="104"/>
      <c r="D1572" s="104"/>
      <c r="E1572" s="104"/>
      <c r="F1572" s="104"/>
      <c r="G1572" s="104"/>
      <c r="H1572" s="104"/>
      <c r="I1572" s="104"/>
      <c r="J1572" s="104"/>
      <c r="K1572" s="104"/>
      <c r="L1572" s="104"/>
      <c r="R1572" s="105"/>
      <c r="S1572" s="105"/>
      <c r="T1572" s="105"/>
      <c r="U1572" s="105"/>
      <c r="V1572" s="105"/>
      <c r="W1572" s="105"/>
      <c r="AD1572" s="106"/>
      <c r="AE1572" s="97"/>
      <c r="AF1572" s="97"/>
      <c r="AG1572" s="97"/>
      <c r="AH1572" s="97"/>
      <c r="AI1572" s="97"/>
      <c r="AJ1572" s="97"/>
      <c r="AK1572" s="97"/>
      <c r="AL1572" s="97"/>
      <c r="AM1572" s="97"/>
      <c r="AN1572" s="97"/>
      <c r="AO1572" s="97"/>
      <c r="AP1572" s="97"/>
      <c r="AQ1572" s="97"/>
    </row>
    <row r="1573" spans="2:43" s="101" customFormat="1" ht="15" customHeight="1">
      <c r="B1573" s="104"/>
      <c r="C1573" s="104"/>
      <c r="D1573" s="104"/>
      <c r="E1573" s="104"/>
      <c r="F1573" s="104"/>
      <c r="G1573" s="104"/>
      <c r="H1573" s="104"/>
      <c r="I1573" s="104"/>
      <c r="J1573" s="104"/>
      <c r="K1573" s="104"/>
      <c r="L1573" s="104"/>
      <c r="R1573" s="105"/>
      <c r="S1573" s="105"/>
      <c r="T1573" s="105"/>
      <c r="U1573" s="105"/>
      <c r="V1573" s="105"/>
      <c r="W1573" s="105"/>
      <c r="AD1573" s="106"/>
      <c r="AE1573" s="97"/>
      <c r="AF1573" s="97"/>
      <c r="AG1573" s="97"/>
      <c r="AH1573" s="97"/>
      <c r="AI1573" s="97"/>
      <c r="AJ1573" s="97"/>
      <c r="AK1573" s="97"/>
      <c r="AL1573" s="97"/>
      <c r="AM1573" s="97"/>
      <c r="AN1573" s="97"/>
      <c r="AO1573" s="97"/>
      <c r="AP1573" s="97"/>
      <c r="AQ1573" s="97"/>
    </row>
    <row r="1574" spans="2:43" s="101" customFormat="1" ht="15" customHeight="1">
      <c r="B1574" s="104"/>
      <c r="C1574" s="104"/>
      <c r="D1574" s="104"/>
      <c r="E1574" s="104"/>
      <c r="F1574" s="104"/>
      <c r="G1574" s="104"/>
      <c r="H1574" s="104"/>
      <c r="I1574" s="104"/>
      <c r="J1574" s="104"/>
      <c r="K1574" s="104"/>
      <c r="L1574" s="104"/>
      <c r="R1574" s="105"/>
      <c r="S1574" s="105"/>
      <c r="T1574" s="105"/>
      <c r="U1574" s="105"/>
      <c r="V1574" s="105"/>
      <c r="W1574" s="105"/>
      <c r="AD1574" s="106"/>
      <c r="AE1574" s="97"/>
      <c r="AF1574" s="97"/>
      <c r="AG1574" s="97"/>
      <c r="AH1574" s="97"/>
      <c r="AI1574" s="97"/>
      <c r="AJ1574" s="97"/>
      <c r="AK1574" s="97"/>
      <c r="AL1574" s="97"/>
      <c r="AM1574" s="97"/>
      <c r="AN1574" s="97"/>
      <c r="AO1574" s="97"/>
      <c r="AP1574" s="97"/>
      <c r="AQ1574" s="97"/>
    </row>
    <row r="1575" spans="2:43" s="101" customFormat="1" ht="15" customHeight="1">
      <c r="B1575" s="104"/>
      <c r="C1575" s="104"/>
      <c r="D1575" s="104"/>
      <c r="E1575" s="104"/>
      <c r="F1575" s="104"/>
      <c r="G1575" s="104"/>
      <c r="H1575" s="104"/>
      <c r="I1575" s="104"/>
      <c r="J1575" s="104"/>
      <c r="K1575" s="104"/>
      <c r="L1575" s="104"/>
      <c r="R1575" s="105"/>
      <c r="S1575" s="105"/>
      <c r="T1575" s="105"/>
      <c r="U1575" s="105"/>
      <c r="V1575" s="105"/>
      <c r="W1575" s="105"/>
      <c r="AD1575" s="106"/>
      <c r="AE1575" s="97"/>
      <c r="AF1575" s="97"/>
      <c r="AG1575" s="97"/>
      <c r="AH1575" s="97"/>
      <c r="AI1575" s="97"/>
      <c r="AJ1575" s="97"/>
      <c r="AK1575" s="97"/>
      <c r="AL1575" s="97"/>
      <c r="AM1575" s="97"/>
      <c r="AN1575" s="97"/>
      <c r="AO1575" s="97"/>
      <c r="AP1575" s="97"/>
      <c r="AQ1575" s="97"/>
    </row>
    <row r="1576" spans="2:43" s="101" customFormat="1" ht="15" customHeight="1">
      <c r="B1576" s="104"/>
      <c r="C1576" s="104"/>
      <c r="D1576" s="104"/>
      <c r="E1576" s="104"/>
      <c r="F1576" s="104"/>
      <c r="G1576" s="104"/>
      <c r="H1576" s="104"/>
      <c r="I1576" s="104"/>
      <c r="J1576" s="104"/>
      <c r="K1576" s="104"/>
      <c r="L1576" s="104"/>
      <c r="R1576" s="105"/>
      <c r="S1576" s="105"/>
      <c r="T1576" s="105"/>
      <c r="U1576" s="105"/>
      <c r="V1576" s="105"/>
      <c r="W1576" s="105"/>
      <c r="AD1576" s="106"/>
      <c r="AE1576" s="97"/>
      <c r="AF1576" s="97"/>
      <c r="AG1576" s="97"/>
      <c r="AH1576" s="97"/>
      <c r="AI1576" s="97"/>
      <c r="AJ1576" s="97"/>
      <c r="AK1576" s="97"/>
      <c r="AL1576" s="97"/>
      <c r="AM1576" s="97"/>
      <c r="AN1576" s="97"/>
      <c r="AO1576" s="97"/>
      <c r="AP1576" s="97"/>
      <c r="AQ1576" s="97"/>
    </row>
    <row r="1577" spans="2:43" s="101" customFormat="1" ht="15" customHeight="1">
      <c r="B1577" s="104"/>
      <c r="C1577" s="104"/>
      <c r="D1577" s="104"/>
      <c r="E1577" s="104"/>
      <c r="F1577" s="104"/>
      <c r="G1577" s="104"/>
      <c r="H1577" s="104"/>
      <c r="I1577" s="104"/>
      <c r="J1577" s="104"/>
      <c r="K1577" s="104"/>
      <c r="L1577" s="104"/>
      <c r="R1577" s="105"/>
      <c r="S1577" s="105"/>
      <c r="T1577" s="105"/>
      <c r="U1577" s="105"/>
      <c r="V1577" s="105"/>
      <c r="W1577" s="105"/>
      <c r="AD1577" s="106"/>
      <c r="AE1577" s="97"/>
      <c r="AF1577" s="97"/>
      <c r="AG1577" s="97"/>
      <c r="AH1577" s="97"/>
      <c r="AI1577" s="97"/>
      <c r="AJ1577" s="97"/>
      <c r="AK1577" s="97"/>
      <c r="AL1577" s="97"/>
      <c r="AM1577" s="97"/>
      <c r="AN1577" s="97"/>
      <c r="AO1577" s="97"/>
      <c r="AP1577" s="97"/>
      <c r="AQ1577" s="97"/>
    </row>
    <row r="1578" spans="2:43" s="101" customFormat="1" ht="15" customHeight="1">
      <c r="B1578" s="104"/>
      <c r="C1578" s="104"/>
      <c r="D1578" s="104"/>
      <c r="E1578" s="104"/>
      <c r="F1578" s="104"/>
      <c r="G1578" s="104"/>
      <c r="H1578" s="104"/>
      <c r="I1578" s="104"/>
      <c r="J1578" s="104"/>
      <c r="K1578" s="104"/>
      <c r="L1578" s="104"/>
      <c r="R1578" s="105"/>
      <c r="S1578" s="105"/>
      <c r="T1578" s="105"/>
      <c r="U1578" s="105"/>
      <c r="V1578" s="105"/>
      <c r="W1578" s="105"/>
      <c r="AD1578" s="106"/>
      <c r="AE1578" s="97"/>
      <c r="AF1578" s="97"/>
      <c r="AG1578" s="97"/>
      <c r="AH1578" s="97"/>
      <c r="AI1578" s="97"/>
      <c r="AJ1578" s="97"/>
      <c r="AK1578" s="97"/>
      <c r="AL1578" s="97"/>
      <c r="AM1578" s="97"/>
      <c r="AN1578" s="97"/>
      <c r="AO1578" s="97"/>
      <c r="AP1578" s="97"/>
      <c r="AQ1578" s="97"/>
    </row>
    <row r="1579" spans="2:43" s="101" customFormat="1" ht="15" customHeight="1">
      <c r="B1579" s="104"/>
      <c r="C1579" s="104"/>
      <c r="D1579" s="104"/>
      <c r="E1579" s="104"/>
      <c r="F1579" s="104"/>
      <c r="G1579" s="104"/>
      <c r="H1579" s="104"/>
      <c r="I1579" s="104"/>
      <c r="J1579" s="104"/>
      <c r="K1579" s="104"/>
      <c r="L1579" s="104"/>
      <c r="R1579" s="105"/>
      <c r="S1579" s="105"/>
      <c r="T1579" s="105"/>
      <c r="U1579" s="105"/>
      <c r="V1579" s="105"/>
      <c r="W1579" s="105"/>
      <c r="AD1579" s="106"/>
      <c r="AE1579" s="97"/>
      <c r="AF1579" s="97"/>
      <c r="AG1579" s="97"/>
      <c r="AH1579" s="97"/>
      <c r="AI1579" s="97"/>
      <c r="AJ1579" s="97"/>
      <c r="AK1579" s="97"/>
      <c r="AL1579" s="97"/>
      <c r="AM1579" s="97"/>
      <c r="AN1579" s="97"/>
      <c r="AO1579" s="97"/>
      <c r="AP1579" s="97"/>
      <c r="AQ1579" s="97"/>
    </row>
    <row r="1580" spans="2:43" s="101" customFormat="1" ht="15" customHeight="1">
      <c r="B1580" s="104"/>
      <c r="C1580" s="104"/>
      <c r="D1580" s="104"/>
      <c r="E1580" s="104"/>
      <c r="F1580" s="104"/>
      <c r="G1580" s="104"/>
      <c r="H1580" s="104"/>
      <c r="I1580" s="104"/>
      <c r="J1580" s="104"/>
      <c r="K1580" s="104"/>
      <c r="L1580" s="104"/>
      <c r="R1580" s="105"/>
      <c r="S1580" s="105"/>
      <c r="T1580" s="105"/>
      <c r="U1580" s="105"/>
      <c r="V1580" s="105"/>
      <c r="W1580" s="105"/>
      <c r="AD1580" s="106"/>
      <c r="AE1580" s="97"/>
      <c r="AF1580" s="97"/>
      <c r="AG1580" s="97"/>
      <c r="AH1580" s="97"/>
      <c r="AI1580" s="97"/>
      <c r="AJ1580" s="97"/>
      <c r="AK1580" s="97"/>
      <c r="AL1580" s="97"/>
      <c r="AM1580" s="97"/>
      <c r="AN1580" s="97"/>
      <c r="AO1580" s="97"/>
      <c r="AP1580" s="97"/>
      <c r="AQ1580" s="97"/>
    </row>
    <row r="1581" spans="2:43" s="101" customFormat="1" ht="15" customHeight="1">
      <c r="B1581" s="104"/>
      <c r="C1581" s="104"/>
      <c r="D1581" s="104"/>
      <c r="E1581" s="104"/>
      <c r="F1581" s="104"/>
      <c r="G1581" s="104"/>
      <c r="H1581" s="104"/>
      <c r="I1581" s="104"/>
      <c r="J1581" s="104"/>
      <c r="K1581" s="104"/>
      <c r="L1581" s="104"/>
      <c r="R1581" s="105"/>
      <c r="S1581" s="105"/>
      <c r="T1581" s="105"/>
      <c r="U1581" s="105"/>
      <c r="V1581" s="105"/>
      <c r="W1581" s="105"/>
      <c r="AD1581" s="106"/>
      <c r="AE1581" s="97"/>
      <c r="AF1581" s="97"/>
      <c r="AG1581" s="97"/>
      <c r="AH1581" s="97"/>
      <c r="AI1581" s="97"/>
      <c r="AJ1581" s="97"/>
      <c r="AK1581" s="97"/>
      <c r="AL1581" s="97"/>
      <c r="AM1581" s="97"/>
      <c r="AN1581" s="97"/>
      <c r="AO1581" s="97"/>
      <c r="AP1581" s="97"/>
      <c r="AQ1581" s="97"/>
    </row>
    <row r="1582" spans="2:43" s="101" customFormat="1" ht="15" customHeight="1">
      <c r="B1582" s="104"/>
      <c r="C1582" s="104"/>
      <c r="D1582" s="104"/>
      <c r="E1582" s="104"/>
      <c r="F1582" s="104"/>
      <c r="G1582" s="104"/>
      <c r="H1582" s="104"/>
      <c r="I1582" s="104"/>
      <c r="J1582" s="104"/>
      <c r="K1582" s="104"/>
      <c r="L1582" s="104"/>
      <c r="R1582" s="105"/>
      <c r="S1582" s="105"/>
      <c r="T1582" s="105"/>
      <c r="U1582" s="105"/>
      <c r="V1582" s="105"/>
      <c r="W1582" s="105"/>
      <c r="AD1582" s="106"/>
      <c r="AE1582" s="97"/>
      <c r="AF1582" s="97"/>
      <c r="AG1582" s="97"/>
      <c r="AH1582" s="97"/>
      <c r="AI1582" s="97"/>
      <c r="AJ1582" s="97"/>
      <c r="AK1582" s="97"/>
      <c r="AL1582" s="97"/>
      <c r="AM1582" s="97"/>
      <c r="AN1582" s="97"/>
      <c r="AO1582" s="97"/>
      <c r="AP1582" s="97"/>
      <c r="AQ1582" s="97"/>
    </row>
    <row r="1583" spans="2:43" s="101" customFormat="1" ht="15" customHeight="1">
      <c r="B1583" s="104"/>
      <c r="C1583" s="104"/>
      <c r="D1583" s="104"/>
      <c r="E1583" s="104"/>
      <c r="F1583" s="104"/>
      <c r="G1583" s="104"/>
      <c r="H1583" s="104"/>
      <c r="I1583" s="104"/>
      <c r="J1583" s="104"/>
      <c r="K1583" s="104"/>
      <c r="L1583" s="104"/>
      <c r="R1583" s="105"/>
      <c r="S1583" s="105"/>
      <c r="T1583" s="105"/>
      <c r="U1583" s="105"/>
      <c r="V1583" s="105"/>
      <c r="W1583" s="105"/>
      <c r="AD1583" s="106"/>
      <c r="AE1583" s="97"/>
      <c r="AF1583" s="97"/>
      <c r="AG1583" s="97"/>
      <c r="AH1583" s="97"/>
      <c r="AI1583" s="97"/>
      <c r="AJ1583" s="97"/>
      <c r="AK1583" s="97"/>
      <c r="AL1583" s="97"/>
      <c r="AM1583" s="97"/>
      <c r="AN1583" s="97"/>
      <c r="AO1583" s="97"/>
      <c r="AP1583" s="97"/>
      <c r="AQ1583" s="97"/>
    </row>
    <row r="1584" spans="2:43" s="101" customFormat="1" ht="15" customHeight="1">
      <c r="B1584" s="104"/>
      <c r="C1584" s="104"/>
      <c r="D1584" s="104"/>
      <c r="E1584" s="104"/>
      <c r="F1584" s="104"/>
      <c r="G1584" s="104"/>
      <c r="H1584" s="104"/>
      <c r="I1584" s="104"/>
      <c r="J1584" s="104"/>
      <c r="K1584" s="104"/>
      <c r="L1584" s="104"/>
      <c r="R1584" s="105"/>
      <c r="S1584" s="105"/>
      <c r="T1584" s="105"/>
      <c r="U1584" s="105"/>
      <c r="V1584" s="105"/>
      <c r="W1584" s="105"/>
      <c r="AD1584" s="106"/>
      <c r="AE1584" s="97"/>
      <c r="AF1584" s="97"/>
      <c r="AG1584" s="97"/>
      <c r="AH1584" s="97"/>
      <c r="AI1584" s="97"/>
      <c r="AJ1584" s="97"/>
      <c r="AK1584" s="97"/>
      <c r="AL1584" s="97"/>
      <c r="AM1584" s="97"/>
      <c r="AN1584" s="97"/>
      <c r="AO1584" s="97"/>
      <c r="AP1584" s="97"/>
      <c r="AQ1584" s="97"/>
    </row>
    <row r="1585" spans="2:43" s="101" customFormat="1" ht="15" customHeight="1">
      <c r="B1585" s="104"/>
      <c r="C1585" s="104"/>
      <c r="D1585" s="104"/>
      <c r="E1585" s="104"/>
      <c r="F1585" s="104"/>
      <c r="G1585" s="104"/>
      <c r="H1585" s="104"/>
      <c r="I1585" s="104"/>
      <c r="J1585" s="104"/>
      <c r="K1585" s="104"/>
      <c r="L1585" s="104"/>
      <c r="R1585" s="105"/>
      <c r="S1585" s="105"/>
      <c r="T1585" s="105"/>
      <c r="U1585" s="105"/>
      <c r="V1585" s="105"/>
      <c r="W1585" s="105"/>
      <c r="AD1585" s="106"/>
      <c r="AE1585" s="97"/>
      <c r="AF1585" s="97"/>
      <c r="AG1585" s="97"/>
      <c r="AH1585" s="97"/>
      <c r="AI1585" s="97"/>
      <c r="AJ1585" s="97"/>
      <c r="AK1585" s="97"/>
      <c r="AL1585" s="97"/>
      <c r="AM1585" s="97"/>
      <c r="AN1585" s="97"/>
      <c r="AO1585" s="97"/>
      <c r="AP1585" s="97"/>
      <c r="AQ1585" s="97"/>
    </row>
    <row r="1586" spans="2:43" s="101" customFormat="1" ht="15" customHeight="1">
      <c r="B1586" s="104"/>
      <c r="C1586" s="104"/>
      <c r="D1586" s="104"/>
      <c r="E1586" s="104"/>
      <c r="F1586" s="104"/>
      <c r="G1586" s="104"/>
      <c r="H1586" s="104"/>
      <c r="I1586" s="104"/>
      <c r="J1586" s="104"/>
      <c r="K1586" s="104"/>
      <c r="L1586" s="104"/>
      <c r="R1586" s="105"/>
      <c r="S1586" s="105"/>
      <c r="T1586" s="105"/>
      <c r="U1586" s="105"/>
      <c r="V1586" s="105"/>
      <c r="W1586" s="105"/>
      <c r="AD1586" s="106"/>
      <c r="AE1586" s="97"/>
      <c r="AF1586" s="97"/>
      <c r="AG1586" s="97"/>
      <c r="AH1586" s="97"/>
      <c r="AI1586" s="97"/>
      <c r="AJ1586" s="97"/>
      <c r="AK1586" s="97"/>
      <c r="AL1586" s="97"/>
      <c r="AM1586" s="97"/>
      <c r="AN1586" s="97"/>
      <c r="AO1586" s="97"/>
      <c r="AP1586" s="97"/>
      <c r="AQ1586" s="97"/>
    </row>
    <row r="1587" spans="2:43" s="101" customFormat="1" ht="15" customHeight="1">
      <c r="B1587" s="104"/>
      <c r="C1587" s="104"/>
      <c r="D1587" s="104"/>
      <c r="E1587" s="104"/>
      <c r="F1587" s="104"/>
      <c r="G1587" s="104"/>
      <c r="H1587" s="104"/>
      <c r="I1587" s="104"/>
      <c r="J1587" s="104"/>
      <c r="K1587" s="104"/>
      <c r="L1587" s="104"/>
      <c r="R1587" s="105"/>
      <c r="S1587" s="105"/>
      <c r="T1587" s="105"/>
      <c r="U1587" s="105"/>
      <c r="V1587" s="105"/>
      <c r="W1587" s="105"/>
      <c r="AD1587" s="106"/>
      <c r="AE1587" s="97"/>
      <c r="AF1587" s="97"/>
      <c r="AG1587" s="97"/>
      <c r="AH1587" s="97"/>
      <c r="AI1587" s="97"/>
      <c r="AJ1587" s="97"/>
      <c r="AK1587" s="97"/>
      <c r="AL1587" s="97"/>
      <c r="AM1587" s="97"/>
      <c r="AN1587" s="97"/>
      <c r="AO1587" s="97"/>
      <c r="AP1587" s="97"/>
      <c r="AQ1587" s="97"/>
    </row>
    <row r="1588" spans="2:43" s="101" customFormat="1" ht="15" customHeight="1">
      <c r="B1588" s="104"/>
      <c r="C1588" s="104"/>
      <c r="D1588" s="104"/>
      <c r="E1588" s="104"/>
      <c r="F1588" s="104"/>
      <c r="G1588" s="104"/>
      <c r="H1588" s="104"/>
      <c r="I1588" s="104"/>
      <c r="J1588" s="104"/>
      <c r="K1588" s="104"/>
      <c r="L1588" s="104"/>
      <c r="R1588" s="105"/>
      <c r="S1588" s="105"/>
      <c r="T1588" s="105"/>
      <c r="U1588" s="105"/>
      <c r="V1588" s="105"/>
      <c r="W1588" s="105"/>
      <c r="AD1588" s="106"/>
      <c r="AE1588" s="97"/>
      <c r="AF1588" s="97"/>
      <c r="AG1588" s="97"/>
      <c r="AH1588" s="97"/>
      <c r="AI1588" s="97"/>
      <c r="AJ1588" s="97"/>
      <c r="AK1588" s="97"/>
      <c r="AL1588" s="97"/>
      <c r="AM1588" s="97"/>
      <c r="AN1588" s="97"/>
      <c r="AO1588" s="97"/>
      <c r="AP1588" s="97"/>
      <c r="AQ1588" s="97"/>
    </row>
    <row r="1589" spans="2:43" s="101" customFormat="1" ht="15" customHeight="1">
      <c r="B1589" s="104"/>
      <c r="C1589" s="104"/>
      <c r="D1589" s="104"/>
      <c r="E1589" s="104"/>
      <c r="F1589" s="104"/>
      <c r="G1589" s="104"/>
      <c r="H1589" s="104"/>
      <c r="I1589" s="104"/>
      <c r="J1589" s="104"/>
      <c r="K1589" s="104"/>
      <c r="L1589" s="104"/>
      <c r="R1589" s="105"/>
      <c r="S1589" s="105"/>
      <c r="T1589" s="105"/>
      <c r="U1589" s="105"/>
      <c r="V1589" s="105"/>
      <c r="W1589" s="105"/>
      <c r="AD1589" s="106"/>
      <c r="AE1589" s="97"/>
      <c r="AF1589" s="97"/>
      <c r="AG1589" s="97"/>
      <c r="AH1589" s="97"/>
      <c r="AI1589" s="97"/>
      <c r="AJ1589" s="97"/>
      <c r="AK1589" s="97"/>
      <c r="AL1589" s="97"/>
      <c r="AM1589" s="97"/>
      <c r="AN1589" s="97"/>
      <c r="AO1589" s="97"/>
      <c r="AP1589" s="97"/>
      <c r="AQ1589" s="97"/>
    </row>
    <row r="1590" spans="2:43" s="101" customFormat="1" ht="15" customHeight="1">
      <c r="B1590" s="104"/>
      <c r="C1590" s="104"/>
      <c r="D1590" s="104"/>
      <c r="E1590" s="104"/>
      <c r="F1590" s="104"/>
      <c r="G1590" s="104"/>
      <c r="H1590" s="104"/>
      <c r="I1590" s="104"/>
      <c r="J1590" s="104"/>
      <c r="K1590" s="104"/>
      <c r="L1590" s="104"/>
      <c r="R1590" s="105"/>
      <c r="S1590" s="105"/>
      <c r="T1590" s="105"/>
      <c r="U1590" s="105"/>
      <c r="V1590" s="105"/>
      <c r="W1590" s="105"/>
      <c r="AD1590" s="106"/>
      <c r="AE1590" s="97"/>
      <c r="AF1590" s="97"/>
      <c r="AG1590" s="97"/>
      <c r="AH1590" s="97"/>
      <c r="AI1590" s="97"/>
      <c r="AJ1590" s="97"/>
      <c r="AK1590" s="97"/>
      <c r="AL1590" s="97"/>
      <c r="AM1590" s="97"/>
      <c r="AN1590" s="97"/>
      <c r="AO1590" s="97"/>
      <c r="AP1590" s="97"/>
      <c r="AQ1590" s="97"/>
    </row>
    <row r="1591" spans="2:43" s="101" customFormat="1" ht="15" customHeight="1">
      <c r="B1591" s="104"/>
      <c r="C1591" s="104"/>
      <c r="D1591" s="104"/>
      <c r="E1591" s="104"/>
      <c r="F1591" s="104"/>
      <c r="G1591" s="104"/>
      <c r="H1591" s="104"/>
      <c r="I1591" s="104"/>
      <c r="J1591" s="104"/>
      <c r="K1591" s="104"/>
      <c r="L1591" s="104"/>
      <c r="R1591" s="105"/>
      <c r="S1591" s="105"/>
      <c r="T1591" s="105"/>
      <c r="U1591" s="105"/>
      <c r="V1591" s="105"/>
      <c r="W1591" s="105"/>
      <c r="AD1591" s="106"/>
      <c r="AE1591" s="97"/>
      <c r="AF1591" s="97"/>
      <c r="AG1591" s="97"/>
      <c r="AH1591" s="97"/>
      <c r="AI1591" s="97"/>
      <c r="AJ1591" s="97"/>
      <c r="AK1591" s="97"/>
      <c r="AL1591" s="97"/>
      <c r="AM1591" s="97"/>
      <c r="AN1591" s="97"/>
      <c r="AO1591" s="97"/>
      <c r="AP1591" s="97"/>
      <c r="AQ1591" s="97"/>
    </row>
    <row r="1592" spans="2:43" s="101" customFormat="1" ht="15" customHeight="1">
      <c r="B1592" s="104"/>
      <c r="C1592" s="104"/>
      <c r="D1592" s="104"/>
      <c r="E1592" s="104"/>
      <c r="F1592" s="104"/>
      <c r="G1592" s="104"/>
      <c r="H1592" s="104"/>
      <c r="I1592" s="104"/>
      <c r="J1592" s="104"/>
      <c r="K1592" s="104"/>
      <c r="L1592" s="104"/>
      <c r="R1592" s="105"/>
      <c r="S1592" s="105"/>
      <c r="T1592" s="105"/>
      <c r="U1592" s="105"/>
      <c r="V1592" s="105"/>
      <c r="W1592" s="105"/>
      <c r="AD1592" s="106"/>
      <c r="AE1592" s="97"/>
      <c r="AF1592" s="97"/>
      <c r="AG1592" s="97"/>
      <c r="AH1592" s="97"/>
      <c r="AI1592" s="97"/>
      <c r="AJ1592" s="97"/>
      <c r="AK1592" s="97"/>
      <c r="AL1592" s="97"/>
      <c r="AM1592" s="97"/>
      <c r="AN1592" s="97"/>
      <c r="AO1592" s="97"/>
      <c r="AP1592" s="97"/>
      <c r="AQ1592" s="97"/>
    </row>
    <row r="1593" spans="2:43" s="101" customFormat="1" ht="15" customHeight="1">
      <c r="B1593" s="104"/>
      <c r="C1593" s="104"/>
      <c r="D1593" s="104"/>
      <c r="E1593" s="104"/>
      <c r="F1593" s="104"/>
      <c r="G1593" s="104"/>
      <c r="H1593" s="104"/>
      <c r="I1593" s="104"/>
      <c r="J1593" s="104"/>
      <c r="K1593" s="104"/>
      <c r="L1593" s="104"/>
      <c r="R1593" s="105"/>
      <c r="S1593" s="105"/>
      <c r="T1593" s="105"/>
      <c r="U1593" s="105"/>
      <c r="V1593" s="105"/>
      <c r="W1593" s="105"/>
      <c r="AD1593" s="106"/>
      <c r="AE1593" s="97"/>
      <c r="AF1593" s="97"/>
      <c r="AG1593" s="97"/>
      <c r="AH1593" s="97"/>
      <c r="AI1593" s="97"/>
      <c r="AJ1593" s="97"/>
      <c r="AK1593" s="97"/>
      <c r="AL1593" s="97"/>
      <c r="AM1593" s="97"/>
      <c r="AN1593" s="97"/>
      <c r="AO1593" s="97"/>
      <c r="AP1593" s="97"/>
      <c r="AQ1593" s="97"/>
    </row>
    <row r="1594" spans="2:43" s="101" customFormat="1" ht="15" customHeight="1">
      <c r="B1594" s="104"/>
      <c r="C1594" s="104"/>
      <c r="D1594" s="104"/>
      <c r="E1594" s="104"/>
      <c r="F1594" s="104"/>
      <c r="G1594" s="104"/>
      <c r="H1594" s="104"/>
      <c r="I1594" s="104"/>
      <c r="J1594" s="104"/>
      <c r="K1594" s="104"/>
      <c r="L1594" s="104"/>
      <c r="R1594" s="105"/>
      <c r="S1594" s="105"/>
      <c r="T1594" s="105"/>
      <c r="U1594" s="105"/>
      <c r="V1594" s="105"/>
      <c r="W1594" s="105"/>
      <c r="AD1594" s="106"/>
      <c r="AE1594" s="97"/>
      <c r="AF1594" s="97"/>
      <c r="AG1594" s="97"/>
      <c r="AH1594" s="97"/>
      <c r="AI1594" s="97"/>
      <c r="AJ1594" s="97"/>
      <c r="AK1594" s="97"/>
      <c r="AL1594" s="97"/>
      <c r="AM1594" s="97"/>
      <c r="AN1594" s="97"/>
      <c r="AO1594" s="97"/>
      <c r="AP1594" s="97"/>
      <c r="AQ1594" s="97"/>
    </row>
    <row r="1595" spans="2:43" s="101" customFormat="1" ht="15" customHeight="1">
      <c r="B1595" s="104"/>
      <c r="C1595" s="104"/>
      <c r="D1595" s="104"/>
      <c r="E1595" s="104"/>
      <c r="F1595" s="104"/>
      <c r="G1595" s="104"/>
      <c r="H1595" s="104"/>
      <c r="I1595" s="104"/>
      <c r="J1595" s="104"/>
      <c r="K1595" s="104"/>
      <c r="L1595" s="104"/>
      <c r="R1595" s="105"/>
      <c r="S1595" s="105"/>
      <c r="T1595" s="105"/>
      <c r="U1595" s="105"/>
      <c r="V1595" s="105"/>
      <c r="W1595" s="105"/>
      <c r="AD1595" s="106"/>
      <c r="AE1595" s="97"/>
      <c r="AF1595" s="97"/>
      <c r="AG1595" s="97"/>
      <c r="AH1595" s="97"/>
      <c r="AI1595" s="97"/>
      <c r="AJ1595" s="97"/>
      <c r="AK1595" s="97"/>
      <c r="AL1595" s="97"/>
      <c r="AM1595" s="97"/>
      <c r="AN1595" s="97"/>
      <c r="AO1595" s="97"/>
      <c r="AP1595" s="97"/>
      <c r="AQ1595" s="97"/>
    </row>
    <row r="1596" spans="2:43" s="101" customFormat="1" ht="15" customHeight="1">
      <c r="B1596" s="104"/>
      <c r="C1596" s="104"/>
      <c r="D1596" s="104"/>
      <c r="E1596" s="104"/>
      <c r="F1596" s="104"/>
      <c r="G1596" s="104"/>
      <c r="H1596" s="104"/>
      <c r="I1596" s="104"/>
      <c r="J1596" s="104"/>
      <c r="K1596" s="104"/>
      <c r="L1596" s="104"/>
      <c r="R1596" s="105"/>
      <c r="S1596" s="105"/>
      <c r="T1596" s="105"/>
      <c r="U1596" s="105"/>
      <c r="V1596" s="105"/>
      <c r="W1596" s="105"/>
      <c r="AD1596" s="106"/>
      <c r="AE1596" s="97"/>
      <c r="AF1596" s="97"/>
      <c r="AG1596" s="97"/>
      <c r="AH1596" s="97"/>
      <c r="AI1596" s="97"/>
      <c r="AJ1596" s="97"/>
      <c r="AK1596" s="97"/>
      <c r="AL1596" s="97"/>
      <c r="AM1596" s="97"/>
      <c r="AN1596" s="97"/>
      <c r="AO1596" s="97"/>
      <c r="AP1596" s="97"/>
      <c r="AQ1596" s="97"/>
    </row>
    <row r="1597" spans="2:43" s="101" customFormat="1" ht="15" customHeight="1">
      <c r="B1597" s="104"/>
      <c r="C1597" s="104"/>
      <c r="D1597" s="104"/>
      <c r="E1597" s="104"/>
      <c r="F1597" s="104"/>
      <c r="G1597" s="104"/>
      <c r="H1597" s="104"/>
      <c r="I1597" s="104"/>
      <c r="J1597" s="104"/>
      <c r="K1597" s="104"/>
      <c r="L1597" s="104"/>
      <c r="R1597" s="105"/>
      <c r="S1597" s="105"/>
      <c r="T1597" s="105"/>
      <c r="U1597" s="105"/>
      <c r="V1597" s="105"/>
      <c r="W1597" s="105"/>
      <c r="AD1597" s="106"/>
      <c r="AE1597" s="97"/>
      <c r="AF1597" s="97"/>
      <c r="AG1597" s="97"/>
      <c r="AH1597" s="97"/>
      <c r="AI1597" s="97"/>
      <c r="AJ1597" s="97"/>
      <c r="AK1597" s="97"/>
      <c r="AL1597" s="97"/>
      <c r="AM1597" s="97"/>
      <c r="AN1597" s="97"/>
      <c r="AO1597" s="97"/>
      <c r="AP1597" s="97"/>
      <c r="AQ1597" s="97"/>
    </row>
    <row r="1598" spans="2:43" s="101" customFormat="1" ht="15" customHeight="1">
      <c r="B1598" s="104"/>
      <c r="C1598" s="104"/>
      <c r="D1598" s="104"/>
      <c r="E1598" s="104"/>
      <c r="F1598" s="104"/>
      <c r="G1598" s="104"/>
      <c r="H1598" s="104"/>
      <c r="I1598" s="104"/>
      <c r="J1598" s="104"/>
      <c r="K1598" s="104"/>
      <c r="L1598" s="104"/>
      <c r="R1598" s="105"/>
      <c r="S1598" s="105"/>
      <c r="T1598" s="105"/>
      <c r="U1598" s="105"/>
      <c r="V1598" s="105"/>
      <c r="W1598" s="105"/>
      <c r="AD1598" s="106"/>
      <c r="AE1598" s="97"/>
      <c r="AF1598" s="97"/>
      <c r="AG1598" s="97"/>
      <c r="AH1598" s="97"/>
      <c r="AI1598" s="97"/>
      <c r="AJ1598" s="97"/>
      <c r="AK1598" s="97"/>
      <c r="AL1598" s="97"/>
      <c r="AM1598" s="97"/>
      <c r="AN1598" s="97"/>
      <c r="AO1598" s="97"/>
      <c r="AP1598" s="97"/>
      <c r="AQ1598" s="97"/>
    </row>
    <row r="1599" spans="2:43" s="101" customFormat="1" ht="15" customHeight="1">
      <c r="B1599" s="104"/>
      <c r="C1599" s="104"/>
      <c r="D1599" s="104"/>
      <c r="E1599" s="104"/>
      <c r="F1599" s="104"/>
      <c r="G1599" s="104"/>
      <c r="H1599" s="104"/>
      <c r="I1599" s="104"/>
      <c r="J1599" s="104"/>
      <c r="K1599" s="104"/>
      <c r="L1599" s="104"/>
      <c r="R1599" s="105"/>
      <c r="S1599" s="105"/>
      <c r="T1599" s="105"/>
      <c r="U1599" s="105"/>
      <c r="V1599" s="105"/>
      <c r="W1599" s="105"/>
      <c r="AD1599" s="106"/>
      <c r="AE1599" s="97"/>
      <c r="AF1599" s="97"/>
      <c r="AG1599" s="97"/>
      <c r="AH1599" s="97"/>
      <c r="AI1599" s="97"/>
      <c r="AJ1599" s="97"/>
      <c r="AK1599" s="97"/>
      <c r="AL1599" s="97"/>
      <c r="AM1599" s="97"/>
      <c r="AN1599" s="97"/>
      <c r="AO1599" s="97"/>
      <c r="AP1599" s="97"/>
      <c r="AQ1599" s="97"/>
    </row>
    <row r="1600" spans="2:43" s="101" customFormat="1" ht="15" customHeight="1">
      <c r="B1600" s="104"/>
      <c r="C1600" s="104"/>
      <c r="D1600" s="104"/>
      <c r="E1600" s="104"/>
      <c r="F1600" s="104"/>
      <c r="G1600" s="104"/>
      <c r="H1600" s="104"/>
      <c r="I1600" s="104"/>
      <c r="J1600" s="104"/>
      <c r="K1600" s="104"/>
      <c r="L1600" s="104"/>
      <c r="R1600" s="105"/>
      <c r="S1600" s="105"/>
      <c r="T1600" s="105"/>
      <c r="U1600" s="105"/>
      <c r="V1600" s="105"/>
      <c r="W1600" s="105"/>
      <c r="AD1600" s="106"/>
      <c r="AE1600" s="97"/>
      <c r="AF1600" s="97"/>
      <c r="AG1600" s="97"/>
      <c r="AH1600" s="97"/>
      <c r="AI1600" s="97"/>
      <c r="AJ1600" s="97"/>
      <c r="AK1600" s="97"/>
      <c r="AL1600" s="97"/>
      <c r="AM1600" s="97"/>
      <c r="AN1600" s="97"/>
      <c r="AO1600" s="97"/>
      <c r="AP1600" s="97"/>
      <c r="AQ1600" s="97"/>
    </row>
    <row r="1601" spans="2:43" s="101" customFormat="1" ht="15" customHeight="1">
      <c r="B1601" s="104"/>
      <c r="C1601" s="104"/>
      <c r="D1601" s="104"/>
      <c r="E1601" s="104"/>
      <c r="F1601" s="104"/>
      <c r="G1601" s="104"/>
      <c r="H1601" s="104"/>
      <c r="I1601" s="104"/>
      <c r="J1601" s="104"/>
      <c r="K1601" s="104"/>
      <c r="L1601" s="104"/>
      <c r="R1601" s="105"/>
      <c r="S1601" s="105"/>
      <c r="T1601" s="105"/>
      <c r="U1601" s="105"/>
      <c r="V1601" s="105"/>
      <c r="W1601" s="105"/>
      <c r="AD1601" s="106"/>
      <c r="AE1601" s="97"/>
      <c r="AF1601" s="97"/>
      <c r="AG1601" s="97"/>
      <c r="AH1601" s="97"/>
      <c r="AI1601" s="97"/>
      <c r="AJ1601" s="97"/>
      <c r="AK1601" s="97"/>
      <c r="AL1601" s="97"/>
      <c r="AM1601" s="97"/>
      <c r="AN1601" s="97"/>
      <c r="AO1601" s="97"/>
      <c r="AP1601" s="97"/>
      <c r="AQ1601" s="97"/>
    </row>
    <row r="1602" spans="2:43" s="101" customFormat="1" ht="15" customHeight="1">
      <c r="B1602" s="104"/>
      <c r="C1602" s="104"/>
      <c r="D1602" s="104"/>
      <c r="E1602" s="104"/>
      <c r="F1602" s="104"/>
      <c r="G1602" s="104"/>
      <c r="H1602" s="104"/>
      <c r="I1602" s="104"/>
      <c r="J1602" s="104"/>
      <c r="K1602" s="104"/>
      <c r="L1602" s="104"/>
      <c r="R1602" s="105"/>
      <c r="S1602" s="105"/>
      <c r="T1602" s="105"/>
      <c r="U1602" s="105"/>
      <c r="V1602" s="105"/>
      <c r="W1602" s="105"/>
      <c r="AD1602" s="106"/>
      <c r="AE1602" s="97"/>
      <c r="AF1602" s="97"/>
      <c r="AG1602" s="97"/>
      <c r="AH1602" s="97"/>
      <c r="AI1602" s="97"/>
      <c r="AJ1602" s="97"/>
      <c r="AK1602" s="97"/>
      <c r="AL1602" s="97"/>
      <c r="AM1602" s="97"/>
      <c r="AN1602" s="97"/>
      <c r="AO1602" s="97"/>
      <c r="AP1602" s="97"/>
      <c r="AQ1602" s="97"/>
    </row>
    <row r="1603" spans="2:43" s="101" customFormat="1" ht="15" customHeight="1">
      <c r="B1603" s="104"/>
      <c r="C1603" s="104"/>
      <c r="D1603" s="104"/>
      <c r="E1603" s="104"/>
      <c r="F1603" s="104"/>
      <c r="G1603" s="104"/>
      <c r="H1603" s="104"/>
      <c r="I1603" s="104"/>
      <c r="J1603" s="104"/>
      <c r="K1603" s="104"/>
      <c r="L1603" s="104"/>
      <c r="R1603" s="105"/>
      <c r="S1603" s="105"/>
      <c r="T1603" s="105"/>
      <c r="U1603" s="105"/>
      <c r="V1603" s="105"/>
      <c r="W1603" s="105"/>
      <c r="AD1603" s="106"/>
      <c r="AE1603" s="97"/>
      <c r="AF1603" s="97"/>
      <c r="AG1603" s="97"/>
      <c r="AH1603" s="97"/>
      <c r="AI1603" s="97"/>
      <c r="AJ1603" s="97"/>
      <c r="AK1603" s="97"/>
      <c r="AL1603" s="97"/>
      <c r="AM1603" s="97"/>
      <c r="AN1603" s="97"/>
      <c r="AO1603" s="97"/>
      <c r="AP1603" s="97"/>
      <c r="AQ1603" s="97"/>
    </row>
    <row r="1604" spans="2:43" s="101" customFormat="1" ht="15" customHeight="1">
      <c r="B1604" s="104"/>
      <c r="C1604" s="104"/>
      <c r="D1604" s="104"/>
      <c r="E1604" s="104"/>
      <c r="F1604" s="104"/>
      <c r="G1604" s="104"/>
      <c r="H1604" s="104"/>
      <c r="I1604" s="104"/>
      <c r="J1604" s="104"/>
      <c r="K1604" s="104"/>
      <c r="L1604" s="104"/>
      <c r="R1604" s="105"/>
      <c r="S1604" s="105"/>
      <c r="T1604" s="105"/>
      <c r="U1604" s="105"/>
      <c r="V1604" s="105"/>
      <c r="W1604" s="105"/>
      <c r="AD1604" s="106"/>
      <c r="AE1604" s="97"/>
      <c r="AF1604" s="97"/>
      <c r="AG1604" s="97"/>
      <c r="AH1604" s="97"/>
      <c r="AI1604" s="97"/>
      <c r="AJ1604" s="97"/>
      <c r="AK1604" s="97"/>
      <c r="AL1604" s="97"/>
      <c r="AM1604" s="97"/>
      <c r="AN1604" s="97"/>
      <c r="AO1604" s="97"/>
      <c r="AP1604" s="97"/>
      <c r="AQ1604" s="97"/>
    </row>
    <row r="1605" spans="2:43" s="101" customFormat="1" ht="15" customHeight="1">
      <c r="B1605" s="104"/>
      <c r="C1605" s="104"/>
      <c r="D1605" s="104"/>
      <c r="E1605" s="104"/>
      <c r="F1605" s="104"/>
      <c r="G1605" s="104"/>
      <c r="H1605" s="104"/>
      <c r="I1605" s="104"/>
      <c r="J1605" s="104"/>
      <c r="K1605" s="104"/>
      <c r="L1605" s="104"/>
      <c r="R1605" s="105"/>
      <c r="S1605" s="105"/>
      <c r="T1605" s="105"/>
      <c r="U1605" s="105"/>
      <c r="V1605" s="105"/>
      <c r="W1605" s="105"/>
      <c r="AD1605" s="106"/>
      <c r="AE1605" s="97"/>
      <c r="AF1605" s="97"/>
      <c r="AG1605" s="97"/>
      <c r="AH1605" s="97"/>
      <c r="AI1605" s="97"/>
      <c r="AJ1605" s="97"/>
      <c r="AK1605" s="97"/>
      <c r="AL1605" s="97"/>
      <c r="AM1605" s="97"/>
      <c r="AN1605" s="97"/>
      <c r="AO1605" s="97"/>
      <c r="AP1605" s="97"/>
      <c r="AQ1605" s="97"/>
    </row>
    <row r="1606" spans="2:43" s="101" customFormat="1" ht="15" customHeight="1">
      <c r="B1606" s="104"/>
      <c r="C1606" s="104"/>
      <c r="D1606" s="104"/>
      <c r="E1606" s="104"/>
      <c r="F1606" s="104"/>
      <c r="G1606" s="104"/>
      <c r="H1606" s="104"/>
      <c r="I1606" s="104"/>
      <c r="J1606" s="104"/>
      <c r="K1606" s="104"/>
      <c r="L1606" s="104"/>
      <c r="R1606" s="105"/>
      <c r="S1606" s="105"/>
      <c r="T1606" s="105"/>
      <c r="U1606" s="105"/>
      <c r="V1606" s="105"/>
      <c r="W1606" s="105"/>
      <c r="AD1606" s="106"/>
      <c r="AE1606" s="97"/>
      <c r="AF1606" s="97"/>
      <c r="AG1606" s="97"/>
      <c r="AH1606" s="97"/>
      <c r="AI1606" s="97"/>
      <c r="AJ1606" s="97"/>
      <c r="AK1606" s="97"/>
      <c r="AL1606" s="97"/>
      <c r="AM1606" s="97"/>
      <c r="AN1606" s="97"/>
      <c r="AO1606" s="97"/>
      <c r="AP1606" s="97"/>
      <c r="AQ1606" s="97"/>
    </row>
    <row r="1607" spans="2:43" s="101" customFormat="1" ht="15" customHeight="1">
      <c r="B1607" s="104"/>
      <c r="C1607" s="104"/>
      <c r="D1607" s="104"/>
      <c r="E1607" s="104"/>
      <c r="F1607" s="104"/>
      <c r="G1607" s="104"/>
      <c r="H1607" s="104"/>
      <c r="I1607" s="104"/>
      <c r="J1607" s="104"/>
      <c r="K1607" s="104"/>
      <c r="L1607" s="104"/>
      <c r="R1607" s="105"/>
      <c r="S1607" s="105"/>
      <c r="T1607" s="105"/>
      <c r="U1607" s="105"/>
      <c r="V1607" s="105"/>
      <c r="W1607" s="105"/>
      <c r="AD1607" s="106"/>
      <c r="AE1607" s="97"/>
      <c r="AF1607" s="97"/>
      <c r="AG1607" s="97"/>
      <c r="AH1607" s="97"/>
      <c r="AI1607" s="97"/>
      <c r="AJ1607" s="97"/>
      <c r="AK1607" s="97"/>
      <c r="AL1607" s="97"/>
      <c r="AM1607" s="97"/>
      <c r="AN1607" s="97"/>
      <c r="AO1607" s="97"/>
      <c r="AP1607" s="97"/>
      <c r="AQ1607" s="97"/>
    </row>
    <row r="1608" spans="2:43" s="101" customFormat="1" ht="15" customHeight="1">
      <c r="B1608" s="104"/>
      <c r="C1608" s="104"/>
      <c r="D1608" s="104"/>
      <c r="E1608" s="104"/>
      <c r="F1608" s="104"/>
      <c r="G1608" s="104"/>
      <c r="H1608" s="104"/>
      <c r="I1608" s="104"/>
      <c r="J1608" s="104"/>
      <c r="K1608" s="104"/>
      <c r="L1608" s="104"/>
      <c r="R1608" s="105"/>
      <c r="S1608" s="105"/>
      <c r="T1608" s="105"/>
      <c r="U1608" s="105"/>
      <c r="V1608" s="105"/>
      <c r="W1608" s="105"/>
      <c r="AD1608" s="106"/>
      <c r="AE1608" s="97"/>
      <c r="AF1608" s="97"/>
      <c r="AG1608" s="97"/>
      <c r="AH1608" s="97"/>
      <c r="AI1608" s="97"/>
      <c r="AJ1608" s="97"/>
      <c r="AK1608" s="97"/>
      <c r="AL1608" s="97"/>
      <c r="AM1608" s="97"/>
      <c r="AN1608" s="97"/>
      <c r="AO1608" s="97"/>
      <c r="AP1608" s="97"/>
      <c r="AQ1608" s="97"/>
    </row>
    <row r="1609" spans="2:43" s="101" customFormat="1" ht="15" customHeight="1">
      <c r="B1609" s="104"/>
      <c r="C1609" s="104"/>
      <c r="D1609" s="104"/>
      <c r="E1609" s="104"/>
      <c r="F1609" s="104"/>
      <c r="G1609" s="104"/>
      <c r="H1609" s="104"/>
      <c r="I1609" s="104"/>
      <c r="J1609" s="104"/>
      <c r="K1609" s="104"/>
      <c r="L1609" s="104"/>
      <c r="R1609" s="105"/>
      <c r="S1609" s="105"/>
      <c r="T1609" s="105"/>
      <c r="U1609" s="105"/>
      <c r="V1609" s="105"/>
      <c r="W1609" s="105"/>
      <c r="AD1609" s="106"/>
      <c r="AE1609" s="97"/>
      <c r="AF1609" s="97"/>
      <c r="AG1609" s="97"/>
      <c r="AH1609" s="97"/>
      <c r="AI1609" s="97"/>
      <c r="AJ1609" s="97"/>
      <c r="AK1609" s="97"/>
      <c r="AL1609" s="97"/>
      <c r="AM1609" s="97"/>
      <c r="AN1609" s="97"/>
      <c r="AO1609" s="97"/>
      <c r="AP1609" s="97"/>
      <c r="AQ1609" s="97"/>
    </row>
    <row r="1610" spans="2:43" s="101" customFormat="1" ht="15" customHeight="1">
      <c r="B1610" s="104"/>
      <c r="C1610" s="104"/>
      <c r="D1610" s="104"/>
      <c r="E1610" s="104"/>
      <c r="F1610" s="104"/>
      <c r="G1610" s="104"/>
      <c r="H1610" s="104"/>
      <c r="I1610" s="104"/>
      <c r="J1610" s="104"/>
      <c r="K1610" s="104"/>
      <c r="L1610" s="104"/>
      <c r="R1610" s="105"/>
      <c r="S1610" s="105"/>
      <c r="T1610" s="105"/>
      <c r="U1610" s="105"/>
      <c r="V1610" s="105"/>
      <c r="W1610" s="105"/>
      <c r="AD1610" s="106"/>
      <c r="AE1610" s="97"/>
      <c r="AF1610" s="97"/>
      <c r="AG1610" s="97"/>
      <c r="AH1610" s="97"/>
      <c r="AI1610" s="97"/>
      <c r="AJ1610" s="97"/>
      <c r="AK1610" s="97"/>
      <c r="AL1610" s="97"/>
      <c r="AM1610" s="97"/>
      <c r="AN1610" s="97"/>
      <c r="AO1610" s="97"/>
      <c r="AP1610" s="97"/>
      <c r="AQ1610" s="97"/>
    </row>
    <row r="1611" spans="2:43" s="101" customFormat="1" ht="15" customHeight="1">
      <c r="B1611" s="104"/>
      <c r="C1611" s="104"/>
      <c r="D1611" s="104"/>
      <c r="E1611" s="104"/>
      <c r="F1611" s="104"/>
      <c r="G1611" s="104"/>
      <c r="H1611" s="104"/>
      <c r="I1611" s="104"/>
      <c r="J1611" s="104"/>
      <c r="K1611" s="104"/>
      <c r="L1611" s="104"/>
      <c r="R1611" s="105"/>
      <c r="S1611" s="105"/>
      <c r="T1611" s="105"/>
      <c r="U1611" s="105"/>
      <c r="V1611" s="105"/>
      <c r="W1611" s="105"/>
      <c r="AD1611" s="106"/>
      <c r="AE1611" s="97"/>
      <c r="AF1611" s="97"/>
      <c r="AG1611" s="97"/>
      <c r="AH1611" s="97"/>
      <c r="AI1611" s="97"/>
      <c r="AJ1611" s="97"/>
      <c r="AK1611" s="97"/>
      <c r="AL1611" s="97"/>
      <c r="AM1611" s="97"/>
      <c r="AN1611" s="97"/>
      <c r="AO1611" s="97"/>
      <c r="AP1611" s="97"/>
      <c r="AQ1611" s="97"/>
    </row>
    <row r="1612" spans="2:43" s="101" customFormat="1" ht="15" customHeight="1">
      <c r="B1612" s="104"/>
      <c r="C1612" s="104"/>
      <c r="D1612" s="104"/>
      <c r="E1612" s="104"/>
      <c r="F1612" s="104"/>
      <c r="G1612" s="104"/>
      <c r="H1612" s="104"/>
      <c r="I1612" s="104"/>
      <c r="J1612" s="104"/>
      <c r="K1612" s="104"/>
      <c r="L1612" s="104"/>
      <c r="R1612" s="105"/>
      <c r="S1612" s="105"/>
      <c r="T1612" s="105"/>
      <c r="U1612" s="105"/>
      <c r="V1612" s="105"/>
      <c r="W1612" s="105"/>
      <c r="AD1612" s="106"/>
      <c r="AE1612" s="97"/>
      <c r="AF1612" s="97"/>
      <c r="AG1612" s="97"/>
      <c r="AH1612" s="97"/>
      <c r="AI1612" s="97"/>
      <c r="AJ1612" s="97"/>
      <c r="AK1612" s="97"/>
      <c r="AL1612" s="97"/>
      <c r="AM1612" s="97"/>
      <c r="AN1612" s="97"/>
      <c r="AO1612" s="97"/>
      <c r="AP1612" s="97"/>
      <c r="AQ1612" s="97"/>
    </row>
    <row r="1613" spans="2:43" s="101" customFormat="1" ht="15" customHeight="1">
      <c r="B1613" s="104"/>
      <c r="C1613" s="104"/>
      <c r="D1613" s="104"/>
      <c r="E1613" s="104"/>
      <c r="F1613" s="104"/>
      <c r="G1613" s="104"/>
      <c r="H1613" s="104"/>
      <c r="I1613" s="104"/>
      <c r="J1613" s="104"/>
      <c r="K1613" s="104"/>
      <c r="L1613" s="104"/>
      <c r="R1613" s="105"/>
      <c r="S1613" s="105"/>
      <c r="T1613" s="105"/>
      <c r="U1613" s="105"/>
      <c r="V1613" s="105"/>
      <c r="W1613" s="105"/>
      <c r="AD1613" s="106"/>
      <c r="AE1613" s="97"/>
      <c r="AF1613" s="97"/>
      <c r="AG1613" s="97"/>
      <c r="AH1613" s="97"/>
      <c r="AI1613" s="97"/>
      <c r="AJ1613" s="97"/>
      <c r="AK1613" s="97"/>
      <c r="AL1613" s="97"/>
      <c r="AM1613" s="97"/>
      <c r="AN1613" s="97"/>
      <c r="AO1613" s="97"/>
      <c r="AP1613" s="97"/>
      <c r="AQ1613" s="97"/>
    </row>
    <row r="1614" spans="2:43" s="101" customFormat="1" ht="15" customHeight="1">
      <c r="B1614" s="104"/>
      <c r="C1614" s="104"/>
      <c r="D1614" s="104"/>
      <c r="E1614" s="104"/>
      <c r="F1614" s="104"/>
      <c r="G1614" s="104"/>
      <c r="H1614" s="104"/>
      <c r="I1614" s="104"/>
      <c r="J1614" s="104"/>
      <c r="K1614" s="104"/>
      <c r="L1614" s="104"/>
      <c r="R1614" s="105"/>
      <c r="S1614" s="105"/>
      <c r="T1614" s="105"/>
      <c r="U1614" s="105"/>
      <c r="V1614" s="105"/>
      <c r="W1614" s="105"/>
      <c r="AD1614" s="106"/>
      <c r="AE1614" s="97"/>
      <c r="AF1614" s="97"/>
      <c r="AG1614" s="97"/>
      <c r="AH1614" s="97"/>
      <c r="AI1614" s="97"/>
      <c r="AJ1614" s="97"/>
      <c r="AK1614" s="97"/>
      <c r="AL1614" s="97"/>
      <c r="AM1614" s="97"/>
      <c r="AN1614" s="97"/>
      <c r="AO1614" s="97"/>
      <c r="AP1614" s="97"/>
      <c r="AQ1614" s="97"/>
    </row>
    <row r="1615" spans="2:43" s="101" customFormat="1" ht="15" customHeight="1">
      <c r="B1615" s="104"/>
      <c r="C1615" s="104"/>
      <c r="D1615" s="104"/>
      <c r="E1615" s="104"/>
      <c r="F1615" s="104"/>
      <c r="G1615" s="104"/>
      <c r="H1615" s="104"/>
      <c r="I1615" s="104"/>
      <c r="J1615" s="104"/>
      <c r="K1615" s="104"/>
      <c r="L1615" s="104"/>
      <c r="R1615" s="105"/>
      <c r="S1615" s="105"/>
      <c r="T1615" s="105"/>
      <c r="U1615" s="105"/>
      <c r="V1615" s="105"/>
      <c r="W1615" s="105"/>
      <c r="AD1615" s="106"/>
      <c r="AE1615" s="97"/>
      <c r="AF1615" s="97"/>
      <c r="AG1615" s="97"/>
      <c r="AH1615" s="97"/>
      <c r="AI1615" s="97"/>
      <c r="AJ1615" s="97"/>
      <c r="AK1615" s="97"/>
      <c r="AL1615" s="97"/>
      <c r="AM1615" s="97"/>
      <c r="AN1615" s="97"/>
      <c r="AO1615" s="97"/>
      <c r="AP1615" s="97"/>
      <c r="AQ1615" s="97"/>
    </row>
    <row r="1616" spans="2:43" s="101" customFormat="1" ht="15" customHeight="1">
      <c r="B1616" s="104"/>
      <c r="C1616" s="104"/>
      <c r="D1616" s="104"/>
      <c r="E1616" s="104"/>
      <c r="F1616" s="104"/>
      <c r="G1616" s="104"/>
      <c r="H1616" s="104"/>
      <c r="I1616" s="104"/>
      <c r="J1616" s="104"/>
      <c r="K1616" s="104"/>
      <c r="L1616" s="104"/>
      <c r="R1616" s="105"/>
      <c r="S1616" s="105"/>
      <c r="T1616" s="105"/>
      <c r="U1616" s="105"/>
      <c r="V1616" s="105"/>
      <c r="W1616" s="105"/>
      <c r="AD1616" s="106"/>
      <c r="AE1616" s="97"/>
      <c r="AF1616" s="97"/>
      <c r="AG1616" s="97"/>
      <c r="AH1616" s="97"/>
      <c r="AI1616" s="97"/>
      <c r="AJ1616" s="97"/>
      <c r="AK1616" s="97"/>
      <c r="AL1616" s="97"/>
      <c r="AM1616" s="97"/>
      <c r="AN1616" s="97"/>
      <c r="AO1616" s="97"/>
      <c r="AP1616" s="97"/>
      <c r="AQ1616" s="97"/>
    </row>
    <row r="1617" spans="2:43" s="101" customFormat="1" ht="15" customHeight="1">
      <c r="B1617" s="104"/>
      <c r="C1617" s="104"/>
      <c r="D1617" s="104"/>
      <c r="E1617" s="104"/>
      <c r="F1617" s="104"/>
      <c r="G1617" s="104"/>
      <c r="H1617" s="104"/>
      <c r="I1617" s="104"/>
      <c r="J1617" s="104"/>
      <c r="K1617" s="104"/>
      <c r="L1617" s="104"/>
      <c r="R1617" s="105"/>
      <c r="S1617" s="105"/>
      <c r="T1617" s="105"/>
      <c r="U1617" s="105"/>
      <c r="V1617" s="105"/>
      <c r="W1617" s="105"/>
      <c r="AD1617" s="106"/>
      <c r="AE1617" s="97"/>
      <c r="AF1617" s="97"/>
      <c r="AG1617" s="97"/>
      <c r="AH1617" s="97"/>
      <c r="AI1617" s="97"/>
      <c r="AJ1617" s="97"/>
      <c r="AK1617" s="97"/>
      <c r="AL1617" s="97"/>
      <c r="AM1617" s="97"/>
      <c r="AN1617" s="97"/>
      <c r="AO1617" s="97"/>
      <c r="AP1617" s="97"/>
      <c r="AQ1617" s="97"/>
    </row>
    <row r="1618" spans="2:43" s="101" customFormat="1" ht="15" customHeight="1">
      <c r="B1618" s="104"/>
      <c r="C1618" s="104"/>
      <c r="D1618" s="104"/>
      <c r="E1618" s="104"/>
      <c r="F1618" s="104"/>
      <c r="G1618" s="104"/>
      <c r="H1618" s="104"/>
      <c r="I1618" s="104"/>
      <c r="J1618" s="104"/>
      <c r="K1618" s="104"/>
      <c r="L1618" s="104"/>
      <c r="R1618" s="105"/>
      <c r="S1618" s="105"/>
      <c r="T1618" s="105"/>
      <c r="U1618" s="105"/>
      <c r="V1618" s="105"/>
      <c r="W1618" s="105"/>
      <c r="AD1618" s="106"/>
      <c r="AE1618" s="97"/>
      <c r="AF1618" s="97"/>
      <c r="AG1618" s="97"/>
      <c r="AH1618" s="97"/>
      <c r="AI1618" s="97"/>
      <c r="AJ1618" s="97"/>
      <c r="AK1618" s="97"/>
      <c r="AL1618" s="97"/>
      <c r="AM1618" s="97"/>
      <c r="AN1618" s="97"/>
      <c r="AO1618" s="97"/>
      <c r="AP1618" s="97"/>
      <c r="AQ1618" s="97"/>
    </row>
    <row r="1619" spans="2:43" s="101" customFormat="1" ht="15" customHeight="1">
      <c r="B1619" s="104"/>
      <c r="C1619" s="104"/>
      <c r="D1619" s="104"/>
      <c r="E1619" s="104"/>
      <c r="F1619" s="104"/>
      <c r="G1619" s="104"/>
      <c r="H1619" s="104"/>
      <c r="I1619" s="104"/>
      <c r="J1619" s="104"/>
      <c r="K1619" s="104"/>
      <c r="L1619" s="104"/>
      <c r="R1619" s="105"/>
      <c r="S1619" s="105"/>
      <c r="T1619" s="105"/>
      <c r="U1619" s="105"/>
      <c r="V1619" s="105"/>
      <c r="W1619" s="105"/>
      <c r="AD1619" s="106"/>
      <c r="AE1619" s="97"/>
      <c r="AF1619" s="97"/>
      <c r="AG1619" s="97"/>
      <c r="AH1619" s="97"/>
      <c r="AI1619" s="97"/>
      <c r="AJ1619" s="97"/>
      <c r="AK1619" s="97"/>
      <c r="AL1619" s="97"/>
      <c r="AM1619" s="97"/>
      <c r="AN1619" s="97"/>
      <c r="AO1619" s="97"/>
      <c r="AP1619" s="97"/>
      <c r="AQ1619" s="97"/>
    </row>
    <row r="1620" spans="2:43" s="101" customFormat="1" ht="15" customHeight="1">
      <c r="B1620" s="104"/>
      <c r="C1620" s="104"/>
      <c r="D1620" s="104"/>
      <c r="E1620" s="104"/>
      <c r="F1620" s="104"/>
      <c r="G1620" s="104"/>
      <c r="H1620" s="104"/>
      <c r="I1620" s="104"/>
      <c r="J1620" s="104"/>
      <c r="K1620" s="104"/>
      <c r="L1620" s="104"/>
      <c r="R1620" s="105"/>
      <c r="S1620" s="105"/>
      <c r="T1620" s="105"/>
      <c r="U1620" s="105"/>
      <c r="V1620" s="105"/>
      <c r="W1620" s="105"/>
      <c r="AD1620" s="106"/>
      <c r="AE1620" s="97"/>
      <c r="AF1620" s="97"/>
      <c r="AG1620" s="97"/>
      <c r="AH1620" s="97"/>
      <c r="AI1620" s="97"/>
      <c r="AJ1620" s="97"/>
      <c r="AK1620" s="97"/>
      <c r="AL1620" s="97"/>
      <c r="AM1620" s="97"/>
      <c r="AN1620" s="97"/>
      <c r="AO1620" s="97"/>
      <c r="AP1620" s="97"/>
      <c r="AQ1620" s="97"/>
    </row>
    <row r="1621" spans="2:43" s="101" customFormat="1" ht="15" customHeight="1">
      <c r="B1621" s="104"/>
      <c r="C1621" s="104"/>
      <c r="D1621" s="104"/>
      <c r="E1621" s="104"/>
      <c r="F1621" s="104"/>
      <c r="G1621" s="104"/>
      <c r="H1621" s="104"/>
      <c r="I1621" s="104"/>
      <c r="J1621" s="104"/>
      <c r="K1621" s="104"/>
      <c r="L1621" s="104"/>
      <c r="R1621" s="105"/>
      <c r="S1621" s="105"/>
      <c r="T1621" s="105"/>
      <c r="U1621" s="105"/>
      <c r="V1621" s="105"/>
      <c r="W1621" s="105"/>
      <c r="AD1621" s="106"/>
      <c r="AE1621" s="97"/>
      <c r="AF1621" s="97"/>
      <c r="AG1621" s="97"/>
      <c r="AH1621" s="97"/>
      <c r="AI1621" s="97"/>
      <c r="AJ1621" s="97"/>
      <c r="AK1621" s="97"/>
      <c r="AL1621" s="97"/>
      <c r="AM1621" s="97"/>
      <c r="AN1621" s="97"/>
      <c r="AO1621" s="97"/>
      <c r="AP1621" s="97"/>
      <c r="AQ1621" s="97"/>
    </row>
    <row r="1622" spans="2:43" s="101" customFormat="1" ht="15" customHeight="1">
      <c r="B1622" s="104"/>
      <c r="C1622" s="104"/>
      <c r="D1622" s="104"/>
      <c r="E1622" s="104"/>
      <c r="F1622" s="104"/>
      <c r="G1622" s="104"/>
      <c r="H1622" s="104"/>
      <c r="I1622" s="104"/>
      <c r="J1622" s="104"/>
      <c r="K1622" s="104"/>
      <c r="L1622" s="104"/>
      <c r="R1622" s="105"/>
      <c r="S1622" s="105"/>
      <c r="T1622" s="105"/>
      <c r="U1622" s="105"/>
      <c r="V1622" s="105"/>
      <c r="W1622" s="105"/>
      <c r="AD1622" s="106"/>
      <c r="AE1622" s="97"/>
      <c r="AF1622" s="97"/>
      <c r="AG1622" s="97"/>
      <c r="AH1622" s="97"/>
      <c r="AI1622" s="97"/>
      <c r="AJ1622" s="97"/>
      <c r="AK1622" s="97"/>
      <c r="AL1622" s="97"/>
      <c r="AM1622" s="97"/>
      <c r="AN1622" s="97"/>
      <c r="AO1622" s="97"/>
      <c r="AP1622" s="97"/>
      <c r="AQ1622" s="97"/>
    </row>
    <row r="1623" spans="2:43" s="101" customFormat="1" ht="15" customHeight="1">
      <c r="B1623" s="104"/>
      <c r="C1623" s="104"/>
      <c r="D1623" s="104"/>
      <c r="E1623" s="104"/>
      <c r="F1623" s="104"/>
      <c r="G1623" s="104"/>
      <c r="H1623" s="104"/>
      <c r="I1623" s="104"/>
      <c r="J1623" s="104"/>
      <c r="K1623" s="104"/>
      <c r="L1623" s="104"/>
      <c r="R1623" s="105"/>
      <c r="S1623" s="105"/>
      <c r="T1623" s="105"/>
      <c r="U1623" s="105"/>
      <c r="V1623" s="105"/>
      <c r="W1623" s="105"/>
      <c r="AD1623" s="106"/>
      <c r="AE1623" s="97"/>
      <c r="AF1623" s="97"/>
      <c r="AG1623" s="97"/>
      <c r="AH1623" s="97"/>
      <c r="AI1623" s="97"/>
      <c r="AJ1623" s="97"/>
      <c r="AK1623" s="97"/>
      <c r="AL1623" s="97"/>
      <c r="AM1623" s="97"/>
      <c r="AN1623" s="97"/>
      <c r="AO1623" s="97"/>
      <c r="AP1623" s="97"/>
      <c r="AQ1623" s="97"/>
    </row>
    <row r="1624" spans="2:43" s="101" customFormat="1" ht="15" customHeight="1">
      <c r="B1624" s="104"/>
      <c r="C1624" s="104"/>
      <c r="D1624" s="104"/>
      <c r="E1624" s="104"/>
      <c r="F1624" s="104"/>
      <c r="G1624" s="104"/>
      <c r="H1624" s="104"/>
      <c r="I1624" s="104"/>
      <c r="J1624" s="104"/>
      <c r="K1624" s="104"/>
      <c r="L1624" s="104"/>
      <c r="R1624" s="105"/>
      <c r="S1624" s="105"/>
      <c r="T1624" s="105"/>
      <c r="U1624" s="105"/>
      <c r="V1624" s="105"/>
      <c r="W1624" s="105"/>
      <c r="AD1624" s="106"/>
      <c r="AE1624" s="97"/>
      <c r="AF1624" s="97"/>
      <c r="AG1624" s="97"/>
      <c r="AH1624" s="97"/>
      <c r="AI1624" s="97"/>
      <c r="AJ1624" s="97"/>
      <c r="AK1624" s="97"/>
      <c r="AL1624" s="97"/>
      <c r="AM1624" s="97"/>
      <c r="AN1624" s="97"/>
      <c r="AO1624" s="97"/>
      <c r="AP1624" s="97"/>
      <c r="AQ1624" s="97"/>
    </row>
    <row r="1625" spans="2:43" s="101" customFormat="1" ht="15" customHeight="1">
      <c r="B1625" s="104"/>
      <c r="C1625" s="104"/>
      <c r="D1625" s="104"/>
      <c r="E1625" s="104"/>
      <c r="F1625" s="104"/>
      <c r="G1625" s="104"/>
      <c r="H1625" s="104"/>
      <c r="I1625" s="104"/>
      <c r="J1625" s="104"/>
      <c r="K1625" s="104"/>
      <c r="L1625" s="104"/>
      <c r="R1625" s="105"/>
      <c r="S1625" s="105"/>
      <c r="T1625" s="105"/>
      <c r="U1625" s="105"/>
      <c r="V1625" s="105"/>
      <c r="W1625" s="105"/>
      <c r="AD1625" s="106"/>
      <c r="AE1625" s="97"/>
      <c r="AF1625" s="97"/>
      <c r="AG1625" s="97"/>
      <c r="AH1625" s="97"/>
      <c r="AI1625" s="97"/>
      <c r="AJ1625" s="97"/>
      <c r="AK1625" s="97"/>
      <c r="AL1625" s="97"/>
      <c r="AM1625" s="97"/>
      <c r="AN1625" s="97"/>
      <c r="AO1625" s="97"/>
      <c r="AP1625" s="97"/>
      <c r="AQ1625" s="97"/>
    </row>
    <row r="1626" spans="2:43" s="101" customFormat="1" ht="15" customHeight="1">
      <c r="B1626" s="104"/>
      <c r="C1626" s="104"/>
      <c r="D1626" s="104"/>
      <c r="E1626" s="104"/>
      <c r="F1626" s="104"/>
      <c r="G1626" s="104"/>
      <c r="H1626" s="104"/>
      <c r="I1626" s="104"/>
      <c r="J1626" s="104"/>
      <c r="K1626" s="104"/>
      <c r="L1626" s="104"/>
      <c r="R1626" s="105"/>
      <c r="S1626" s="105"/>
      <c r="T1626" s="105"/>
      <c r="U1626" s="105"/>
      <c r="V1626" s="105"/>
      <c r="W1626" s="105"/>
      <c r="AD1626" s="106"/>
      <c r="AE1626" s="97"/>
      <c r="AF1626" s="97"/>
      <c r="AG1626" s="97"/>
      <c r="AH1626" s="97"/>
      <c r="AI1626" s="97"/>
      <c r="AJ1626" s="97"/>
      <c r="AK1626" s="97"/>
      <c r="AL1626" s="97"/>
      <c r="AM1626" s="97"/>
      <c r="AN1626" s="97"/>
      <c r="AO1626" s="97"/>
      <c r="AP1626" s="97"/>
      <c r="AQ1626" s="97"/>
    </row>
    <row r="1627" spans="2:43" s="101" customFormat="1" ht="15" customHeight="1">
      <c r="B1627" s="104"/>
      <c r="C1627" s="104"/>
      <c r="D1627" s="104"/>
      <c r="E1627" s="104"/>
      <c r="F1627" s="104"/>
      <c r="G1627" s="104"/>
      <c r="H1627" s="104"/>
      <c r="I1627" s="104"/>
      <c r="J1627" s="104"/>
      <c r="K1627" s="104"/>
      <c r="L1627" s="104"/>
      <c r="R1627" s="105"/>
      <c r="S1627" s="105"/>
      <c r="T1627" s="105"/>
      <c r="U1627" s="105"/>
      <c r="V1627" s="105"/>
      <c r="W1627" s="105"/>
      <c r="AD1627" s="106"/>
      <c r="AE1627" s="97"/>
      <c r="AF1627" s="97"/>
      <c r="AG1627" s="97"/>
      <c r="AH1627" s="97"/>
      <c r="AI1627" s="97"/>
      <c r="AJ1627" s="97"/>
      <c r="AK1627" s="97"/>
      <c r="AL1627" s="97"/>
      <c r="AM1627" s="97"/>
      <c r="AN1627" s="97"/>
      <c r="AO1627" s="97"/>
      <c r="AP1627" s="97"/>
      <c r="AQ1627" s="97"/>
    </row>
    <row r="1628" spans="2:43" s="101" customFormat="1" ht="15" customHeight="1">
      <c r="B1628" s="104"/>
      <c r="C1628" s="104"/>
      <c r="D1628" s="104"/>
      <c r="E1628" s="104"/>
      <c r="F1628" s="104"/>
      <c r="G1628" s="104"/>
      <c r="H1628" s="104"/>
      <c r="I1628" s="104"/>
      <c r="J1628" s="104"/>
      <c r="K1628" s="104"/>
      <c r="L1628" s="104"/>
      <c r="R1628" s="105"/>
      <c r="S1628" s="105"/>
      <c r="T1628" s="105"/>
      <c r="U1628" s="105"/>
      <c r="V1628" s="105"/>
      <c r="W1628" s="105"/>
      <c r="AD1628" s="106"/>
      <c r="AE1628" s="97"/>
      <c r="AF1628" s="97"/>
      <c r="AG1628" s="97"/>
      <c r="AH1628" s="97"/>
      <c r="AI1628" s="97"/>
      <c r="AJ1628" s="97"/>
      <c r="AK1628" s="97"/>
      <c r="AL1628" s="97"/>
      <c r="AM1628" s="97"/>
      <c r="AN1628" s="97"/>
      <c r="AO1628" s="97"/>
      <c r="AP1628" s="97"/>
      <c r="AQ1628" s="97"/>
    </row>
    <row r="1629" spans="2:43" s="101" customFormat="1" ht="15" customHeight="1">
      <c r="B1629" s="104"/>
      <c r="C1629" s="104"/>
      <c r="D1629" s="104"/>
      <c r="E1629" s="104"/>
      <c r="F1629" s="104"/>
      <c r="G1629" s="104"/>
      <c r="H1629" s="104"/>
      <c r="I1629" s="104"/>
      <c r="J1629" s="104"/>
      <c r="K1629" s="104"/>
      <c r="L1629" s="104"/>
      <c r="R1629" s="105"/>
      <c r="S1629" s="105"/>
      <c r="T1629" s="105"/>
      <c r="U1629" s="105"/>
      <c r="V1629" s="105"/>
      <c r="W1629" s="105"/>
      <c r="AD1629" s="106"/>
      <c r="AE1629" s="97"/>
      <c r="AF1629" s="97"/>
      <c r="AG1629" s="97"/>
      <c r="AH1629" s="97"/>
      <c r="AI1629" s="97"/>
      <c r="AJ1629" s="97"/>
      <c r="AK1629" s="97"/>
      <c r="AL1629" s="97"/>
      <c r="AM1629" s="97"/>
      <c r="AN1629" s="97"/>
      <c r="AO1629" s="97"/>
      <c r="AP1629" s="97"/>
      <c r="AQ1629" s="97"/>
    </row>
    <row r="1630" spans="2:43" s="101" customFormat="1" ht="15" customHeight="1">
      <c r="B1630" s="104"/>
      <c r="C1630" s="104"/>
      <c r="D1630" s="104"/>
      <c r="E1630" s="104"/>
      <c r="F1630" s="104"/>
      <c r="G1630" s="104"/>
      <c r="H1630" s="104"/>
      <c r="I1630" s="104"/>
      <c r="J1630" s="104"/>
      <c r="K1630" s="104"/>
      <c r="L1630" s="104"/>
      <c r="R1630" s="105"/>
      <c r="S1630" s="105"/>
      <c r="T1630" s="105"/>
      <c r="U1630" s="105"/>
      <c r="V1630" s="105"/>
      <c r="W1630" s="105"/>
      <c r="AD1630" s="106"/>
      <c r="AE1630" s="97"/>
      <c r="AF1630" s="97"/>
      <c r="AG1630" s="97"/>
      <c r="AH1630" s="97"/>
      <c r="AI1630" s="97"/>
      <c r="AJ1630" s="97"/>
      <c r="AK1630" s="97"/>
      <c r="AL1630" s="97"/>
      <c r="AM1630" s="97"/>
      <c r="AN1630" s="97"/>
      <c r="AO1630" s="97"/>
      <c r="AP1630" s="97"/>
      <c r="AQ1630" s="97"/>
    </row>
    <row r="1631" spans="2:43" s="101" customFormat="1" ht="15" customHeight="1">
      <c r="B1631" s="104"/>
      <c r="C1631" s="104"/>
      <c r="D1631" s="104"/>
      <c r="E1631" s="104"/>
      <c r="F1631" s="104"/>
      <c r="G1631" s="104"/>
      <c r="H1631" s="104"/>
      <c r="I1631" s="104"/>
      <c r="J1631" s="104"/>
      <c r="K1631" s="104"/>
      <c r="L1631" s="104"/>
      <c r="R1631" s="105"/>
      <c r="S1631" s="105"/>
      <c r="T1631" s="105"/>
      <c r="U1631" s="105"/>
      <c r="V1631" s="105"/>
      <c r="W1631" s="105"/>
      <c r="AD1631" s="106"/>
      <c r="AE1631" s="97"/>
      <c r="AF1631" s="97"/>
      <c r="AG1631" s="97"/>
      <c r="AH1631" s="97"/>
      <c r="AI1631" s="97"/>
      <c r="AJ1631" s="97"/>
      <c r="AK1631" s="97"/>
      <c r="AL1631" s="97"/>
      <c r="AM1631" s="97"/>
      <c r="AN1631" s="97"/>
      <c r="AO1631" s="97"/>
      <c r="AP1631" s="97"/>
      <c r="AQ1631" s="97"/>
    </row>
    <row r="1632" spans="2:43" s="101" customFormat="1" ht="15" customHeight="1">
      <c r="B1632" s="104"/>
      <c r="C1632" s="104"/>
      <c r="D1632" s="104"/>
      <c r="E1632" s="104"/>
      <c r="F1632" s="104"/>
      <c r="G1632" s="104"/>
      <c r="H1632" s="104"/>
      <c r="I1632" s="104"/>
      <c r="J1632" s="104"/>
      <c r="K1632" s="104"/>
      <c r="L1632" s="104"/>
      <c r="R1632" s="105"/>
      <c r="S1632" s="105"/>
      <c r="T1632" s="105"/>
      <c r="U1632" s="105"/>
      <c r="V1632" s="105"/>
      <c r="W1632" s="105"/>
      <c r="AD1632" s="106"/>
      <c r="AE1632" s="97"/>
      <c r="AF1632" s="97"/>
      <c r="AG1632" s="97"/>
      <c r="AH1632" s="97"/>
      <c r="AI1632" s="97"/>
      <c r="AJ1632" s="97"/>
      <c r="AK1632" s="97"/>
      <c r="AL1632" s="97"/>
      <c r="AM1632" s="97"/>
      <c r="AN1632" s="97"/>
      <c r="AO1632" s="97"/>
      <c r="AP1632" s="97"/>
      <c r="AQ1632" s="97"/>
    </row>
    <row r="1633" spans="2:43" s="101" customFormat="1" ht="15" customHeight="1">
      <c r="B1633" s="104"/>
      <c r="C1633" s="104"/>
      <c r="D1633" s="104"/>
      <c r="E1633" s="104"/>
      <c r="F1633" s="104"/>
      <c r="G1633" s="104"/>
      <c r="H1633" s="104"/>
      <c r="I1633" s="104"/>
      <c r="J1633" s="104"/>
      <c r="K1633" s="104"/>
      <c r="L1633" s="104"/>
      <c r="R1633" s="105"/>
      <c r="S1633" s="105"/>
      <c r="T1633" s="105"/>
      <c r="U1633" s="105"/>
      <c r="V1633" s="105"/>
      <c r="W1633" s="105"/>
      <c r="AD1633" s="106"/>
      <c r="AE1633" s="97"/>
      <c r="AF1633" s="97"/>
      <c r="AG1633" s="97"/>
      <c r="AH1633" s="97"/>
      <c r="AI1633" s="97"/>
      <c r="AJ1633" s="97"/>
      <c r="AK1633" s="97"/>
      <c r="AL1633" s="97"/>
      <c r="AM1633" s="97"/>
      <c r="AN1633" s="97"/>
      <c r="AO1633" s="97"/>
      <c r="AP1633" s="97"/>
      <c r="AQ1633" s="97"/>
    </row>
    <row r="1634" spans="2:43" s="101" customFormat="1" ht="15" customHeight="1">
      <c r="B1634" s="104"/>
      <c r="C1634" s="104"/>
      <c r="D1634" s="104"/>
      <c r="E1634" s="104"/>
      <c r="F1634" s="104"/>
      <c r="G1634" s="104"/>
      <c r="H1634" s="104"/>
      <c r="I1634" s="104"/>
      <c r="J1634" s="104"/>
      <c r="K1634" s="104"/>
      <c r="L1634" s="104"/>
      <c r="R1634" s="105"/>
      <c r="S1634" s="105"/>
      <c r="T1634" s="105"/>
      <c r="U1634" s="105"/>
      <c r="V1634" s="105"/>
      <c r="W1634" s="105"/>
      <c r="AD1634" s="106"/>
      <c r="AE1634" s="97"/>
      <c r="AF1634" s="97"/>
      <c r="AG1634" s="97"/>
      <c r="AH1634" s="97"/>
      <c r="AI1634" s="97"/>
      <c r="AJ1634" s="97"/>
      <c r="AK1634" s="97"/>
      <c r="AL1634" s="97"/>
      <c r="AM1634" s="97"/>
      <c r="AN1634" s="97"/>
      <c r="AO1634" s="97"/>
      <c r="AP1634" s="97"/>
      <c r="AQ1634" s="97"/>
    </row>
    <row r="1635" spans="2:43" s="101" customFormat="1" ht="15" customHeight="1">
      <c r="B1635" s="104"/>
      <c r="C1635" s="104"/>
      <c r="D1635" s="104"/>
      <c r="E1635" s="104"/>
      <c r="F1635" s="104"/>
      <c r="G1635" s="104"/>
      <c r="H1635" s="104"/>
      <c r="I1635" s="104"/>
      <c r="J1635" s="104"/>
      <c r="K1635" s="104"/>
      <c r="L1635" s="104"/>
      <c r="R1635" s="105"/>
      <c r="S1635" s="105"/>
      <c r="T1635" s="105"/>
      <c r="U1635" s="105"/>
      <c r="V1635" s="105"/>
      <c r="W1635" s="105"/>
      <c r="AD1635" s="106"/>
      <c r="AE1635" s="97"/>
      <c r="AF1635" s="97"/>
      <c r="AG1635" s="97"/>
      <c r="AH1635" s="97"/>
      <c r="AI1635" s="97"/>
      <c r="AJ1635" s="97"/>
      <c r="AK1635" s="97"/>
      <c r="AL1635" s="97"/>
      <c r="AM1635" s="97"/>
      <c r="AN1635" s="97"/>
      <c r="AO1635" s="97"/>
      <c r="AP1635" s="97"/>
      <c r="AQ1635" s="97"/>
    </row>
    <row r="1636" spans="2:43" s="101" customFormat="1" ht="15" customHeight="1">
      <c r="B1636" s="104"/>
      <c r="C1636" s="104"/>
      <c r="D1636" s="104"/>
      <c r="E1636" s="104"/>
      <c r="F1636" s="104"/>
      <c r="G1636" s="104"/>
      <c r="H1636" s="104"/>
      <c r="I1636" s="104"/>
      <c r="J1636" s="104"/>
      <c r="K1636" s="104"/>
      <c r="L1636" s="104"/>
      <c r="R1636" s="105"/>
      <c r="S1636" s="105"/>
      <c r="T1636" s="105"/>
      <c r="U1636" s="105"/>
      <c r="V1636" s="105"/>
      <c r="W1636" s="105"/>
      <c r="AD1636" s="106"/>
      <c r="AE1636" s="97"/>
      <c r="AF1636" s="97"/>
      <c r="AG1636" s="97"/>
      <c r="AH1636" s="97"/>
      <c r="AI1636" s="97"/>
      <c r="AJ1636" s="97"/>
      <c r="AK1636" s="97"/>
      <c r="AL1636" s="97"/>
      <c r="AM1636" s="97"/>
      <c r="AN1636" s="97"/>
      <c r="AO1636" s="97"/>
      <c r="AP1636" s="97"/>
      <c r="AQ1636" s="97"/>
    </row>
    <row r="1637" spans="2:43" s="101" customFormat="1" ht="15" customHeight="1">
      <c r="B1637" s="104"/>
      <c r="C1637" s="104"/>
      <c r="D1637" s="104"/>
      <c r="E1637" s="104"/>
      <c r="F1637" s="104"/>
      <c r="G1637" s="104"/>
      <c r="H1637" s="104"/>
      <c r="I1637" s="104"/>
      <c r="J1637" s="104"/>
      <c r="K1637" s="104"/>
      <c r="L1637" s="104"/>
      <c r="R1637" s="105"/>
      <c r="S1637" s="105"/>
      <c r="T1637" s="105"/>
      <c r="U1637" s="105"/>
      <c r="V1637" s="105"/>
      <c r="W1637" s="105"/>
      <c r="AD1637" s="106"/>
      <c r="AE1637" s="97"/>
      <c r="AF1637" s="97"/>
      <c r="AG1637" s="97"/>
      <c r="AH1637" s="97"/>
      <c r="AI1637" s="97"/>
      <c r="AJ1637" s="97"/>
      <c r="AK1637" s="97"/>
      <c r="AL1637" s="97"/>
      <c r="AM1637" s="97"/>
      <c r="AN1637" s="97"/>
      <c r="AO1637" s="97"/>
      <c r="AP1637" s="97"/>
      <c r="AQ1637" s="97"/>
    </row>
    <row r="1638" spans="2:43" s="101" customFormat="1" ht="15" customHeight="1">
      <c r="B1638" s="104"/>
      <c r="C1638" s="104"/>
      <c r="D1638" s="104"/>
      <c r="E1638" s="104"/>
      <c r="F1638" s="104"/>
      <c r="G1638" s="104"/>
      <c r="H1638" s="104"/>
      <c r="I1638" s="104"/>
      <c r="J1638" s="104"/>
      <c r="K1638" s="104"/>
      <c r="L1638" s="104"/>
      <c r="R1638" s="105"/>
      <c r="S1638" s="105"/>
      <c r="T1638" s="105"/>
      <c r="U1638" s="105"/>
      <c r="V1638" s="105"/>
      <c r="W1638" s="105"/>
      <c r="AD1638" s="106"/>
      <c r="AE1638" s="97"/>
      <c r="AF1638" s="97"/>
      <c r="AG1638" s="97"/>
      <c r="AH1638" s="97"/>
      <c r="AI1638" s="97"/>
      <c r="AJ1638" s="97"/>
      <c r="AK1638" s="97"/>
      <c r="AL1638" s="97"/>
      <c r="AM1638" s="97"/>
      <c r="AN1638" s="97"/>
      <c r="AO1638" s="97"/>
      <c r="AP1638" s="97"/>
      <c r="AQ1638" s="97"/>
    </row>
    <row r="1639" spans="2:43" s="101" customFormat="1" ht="15" customHeight="1">
      <c r="B1639" s="104"/>
      <c r="C1639" s="104"/>
      <c r="D1639" s="104"/>
      <c r="E1639" s="104"/>
      <c r="F1639" s="104"/>
      <c r="G1639" s="104"/>
      <c r="H1639" s="104"/>
      <c r="I1639" s="104"/>
      <c r="J1639" s="104"/>
      <c r="K1639" s="104"/>
      <c r="L1639" s="104"/>
      <c r="R1639" s="105"/>
      <c r="S1639" s="105"/>
      <c r="T1639" s="105"/>
      <c r="U1639" s="105"/>
      <c r="V1639" s="105"/>
      <c r="W1639" s="105"/>
      <c r="AD1639" s="106"/>
      <c r="AE1639" s="97"/>
      <c r="AF1639" s="97"/>
      <c r="AG1639" s="97"/>
      <c r="AH1639" s="97"/>
      <c r="AI1639" s="97"/>
      <c r="AJ1639" s="97"/>
      <c r="AK1639" s="97"/>
      <c r="AL1639" s="97"/>
      <c r="AM1639" s="97"/>
      <c r="AN1639" s="97"/>
      <c r="AO1639" s="97"/>
      <c r="AP1639" s="97"/>
      <c r="AQ1639" s="97"/>
    </row>
    <row r="1640" spans="2:43" s="101" customFormat="1" ht="15" customHeight="1">
      <c r="B1640" s="104"/>
      <c r="C1640" s="104"/>
      <c r="D1640" s="104"/>
      <c r="E1640" s="104"/>
      <c r="F1640" s="104"/>
      <c r="G1640" s="104"/>
      <c r="H1640" s="104"/>
      <c r="I1640" s="104"/>
      <c r="J1640" s="104"/>
      <c r="K1640" s="104"/>
      <c r="L1640" s="104"/>
      <c r="R1640" s="105"/>
      <c r="S1640" s="105"/>
      <c r="T1640" s="105"/>
      <c r="U1640" s="105"/>
      <c r="V1640" s="105"/>
      <c r="W1640" s="105"/>
      <c r="AD1640" s="106"/>
      <c r="AE1640" s="97"/>
      <c r="AF1640" s="97"/>
      <c r="AG1640" s="97"/>
      <c r="AH1640" s="97"/>
      <c r="AI1640" s="97"/>
      <c r="AJ1640" s="97"/>
      <c r="AK1640" s="97"/>
      <c r="AL1640" s="97"/>
      <c r="AM1640" s="97"/>
      <c r="AN1640" s="97"/>
      <c r="AO1640" s="97"/>
      <c r="AP1640" s="97"/>
      <c r="AQ1640" s="97"/>
    </row>
    <row r="1641" spans="2:43" s="101" customFormat="1" ht="15" customHeight="1">
      <c r="B1641" s="104"/>
      <c r="C1641" s="104"/>
      <c r="D1641" s="104"/>
      <c r="E1641" s="104"/>
      <c r="F1641" s="104"/>
      <c r="G1641" s="104"/>
      <c r="H1641" s="104"/>
      <c r="I1641" s="104"/>
      <c r="J1641" s="104"/>
      <c r="K1641" s="104"/>
      <c r="L1641" s="104"/>
      <c r="R1641" s="105"/>
      <c r="S1641" s="105"/>
      <c r="T1641" s="105"/>
      <c r="U1641" s="105"/>
      <c r="V1641" s="105"/>
      <c r="W1641" s="105"/>
      <c r="AD1641" s="106"/>
      <c r="AE1641" s="97"/>
      <c r="AF1641" s="97"/>
      <c r="AG1641" s="97"/>
      <c r="AH1641" s="97"/>
      <c r="AI1641" s="97"/>
      <c r="AJ1641" s="97"/>
      <c r="AK1641" s="97"/>
      <c r="AL1641" s="97"/>
      <c r="AM1641" s="97"/>
      <c r="AN1641" s="97"/>
      <c r="AO1641" s="97"/>
      <c r="AP1641" s="97"/>
      <c r="AQ1641" s="97"/>
    </row>
    <row r="1642" spans="2:43" s="101" customFormat="1" ht="15" customHeight="1">
      <c r="B1642" s="104"/>
      <c r="C1642" s="104"/>
      <c r="D1642" s="104"/>
      <c r="E1642" s="104"/>
      <c r="F1642" s="104"/>
      <c r="G1642" s="104"/>
      <c r="H1642" s="104"/>
      <c r="I1642" s="104"/>
      <c r="J1642" s="104"/>
      <c r="K1642" s="104"/>
      <c r="L1642" s="104"/>
      <c r="R1642" s="105"/>
      <c r="S1642" s="105"/>
      <c r="T1642" s="105"/>
      <c r="U1642" s="105"/>
      <c r="V1642" s="105"/>
      <c r="W1642" s="105"/>
      <c r="AD1642" s="106"/>
      <c r="AE1642" s="97"/>
      <c r="AF1642" s="97"/>
      <c r="AG1642" s="97"/>
      <c r="AH1642" s="97"/>
      <c r="AI1642" s="97"/>
      <c r="AJ1642" s="97"/>
      <c r="AK1642" s="97"/>
      <c r="AL1642" s="97"/>
      <c r="AM1642" s="97"/>
      <c r="AN1642" s="97"/>
      <c r="AO1642" s="97"/>
      <c r="AP1642" s="97"/>
      <c r="AQ1642" s="97"/>
    </row>
    <row r="1643" spans="2:43" s="101" customFormat="1" ht="15" customHeight="1">
      <c r="B1643" s="104"/>
      <c r="C1643" s="104"/>
      <c r="D1643" s="104"/>
      <c r="E1643" s="104"/>
      <c r="F1643" s="104"/>
      <c r="G1643" s="104"/>
      <c r="H1643" s="104"/>
      <c r="I1643" s="104"/>
      <c r="J1643" s="104"/>
      <c r="K1643" s="104"/>
      <c r="L1643" s="104"/>
      <c r="R1643" s="105"/>
      <c r="S1643" s="105"/>
      <c r="T1643" s="105"/>
      <c r="U1643" s="105"/>
      <c r="V1643" s="105"/>
      <c r="W1643" s="105"/>
      <c r="AD1643" s="106"/>
      <c r="AE1643" s="97"/>
      <c r="AF1643" s="97"/>
      <c r="AG1643" s="97"/>
      <c r="AH1643" s="97"/>
      <c r="AI1643" s="97"/>
      <c r="AJ1643" s="97"/>
      <c r="AK1643" s="97"/>
      <c r="AL1643" s="97"/>
      <c r="AM1643" s="97"/>
      <c r="AN1643" s="97"/>
      <c r="AO1643" s="97"/>
      <c r="AP1643" s="97"/>
      <c r="AQ1643" s="97"/>
    </row>
    <row r="1644" spans="2:43" s="101" customFormat="1" ht="15" customHeight="1">
      <c r="B1644" s="104"/>
      <c r="C1644" s="104"/>
      <c r="D1644" s="104"/>
      <c r="E1644" s="104"/>
      <c r="F1644" s="104"/>
      <c r="G1644" s="104"/>
      <c r="H1644" s="104"/>
      <c r="I1644" s="104"/>
      <c r="J1644" s="104"/>
      <c r="K1644" s="104"/>
      <c r="L1644" s="104"/>
      <c r="R1644" s="105"/>
      <c r="S1644" s="105"/>
      <c r="T1644" s="105"/>
      <c r="U1644" s="105"/>
      <c r="V1644" s="105"/>
      <c r="W1644" s="105"/>
      <c r="AD1644" s="106"/>
      <c r="AE1644" s="97"/>
      <c r="AF1644" s="97"/>
      <c r="AG1644" s="97"/>
      <c r="AH1644" s="97"/>
      <c r="AI1644" s="97"/>
      <c r="AJ1644" s="97"/>
      <c r="AK1644" s="97"/>
      <c r="AL1644" s="97"/>
      <c r="AM1644" s="97"/>
      <c r="AN1644" s="97"/>
      <c r="AO1644" s="97"/>
      <c r="AP1644" s="97"/>
      <c r="AQ1644" s="97"/>
    </row>
    <row r="1645" spans="2:43" s="101" customFormat="1" ht="15" customHeight="1">
      <c r="B1645" s="104"/>
      <c r="C1645" s="104"/>
      <c r="D1645" s="104"/>
      <c r="E1645" s="104"/>
      <c r="F1645" s="104"/>
      <c r="G1645" s="104"/>
      <c r="H1645" s="104"/>
      <c r="I1645" s="104"/>
      <c r="J1645" s="104"/>
      <c r="K1645" s="104"/>
      <c r="L1645" s="104"/>
      <c r="R1645" s="105"/>
      <c r="S1645" s="105"/>
      <c r="T1645" s="105"/>
      <c r="U1645" s="105"/>
      <c r="V1645" s="105"/>
      <c r="W1645" s="105"/>
      <c r="AD1645" s="106"/>
      <c r="AE1645" s="97"/>
      <c r="AF1645" s="97"/>
      <c r="AG1645" s="97"/>
      <c r="AH1645" s="97"/>
      <c r="AI1645" s="97"/>
      <c r="AJ1645" s="97"/>
      <c r="AK1645" s="97"/>
      <c r="AL1645" s="97"/>
      <c r="AM1645" s="97"/>
      <c r="AN1645" s="97"/>
      <c r="AO1645" s="97"/>
      <c r="AP1645" s="97"/>
      <c r="AQ1645" s="97"/>
    </row>
    <row r="1646" spans="2:43" s="101" customFormat="1" ht="15" customHeight="1">
      <c r="B1646" s="104"/>
      <c r="C1646" s="104"/>
      <c r="D1646" s="104"/>
      <c r="E1646" s="104"/>
      <c r="F1646" s="104"/>
      <c r="G1646" s="104"/>
      <c r="H1646" s="104"/>
      <c r="I1646" s="104"/>
      <c r="J1646" s="104"/>
      <c r="K1646" s="104"/>
      <c r="L1646" s="104"/>
      <c r="R1646" s="105"/>
      <c r="S1646" s="105"/>
      <c r="T1646" s="105"/>
      <c r="U1646" s="105"/>
      <c r="V1646" s="105"/>
      <c r="W1646" s="105"/>
      <c r="AD1646" s="106"/>
      <c r="AE1646" s="97"/>
      <c r="AF1646" s="97"/>
      <c r="AG1646" s="97"/>
      <c r="AH1646" s="97"/>
      <c r="AI1646" s="97"/>
      <c r="AJ1646" s="97"/>
      <c r="AK1646" s="97"/>
      <c r="AL1646" s="97"/>
      <c r="AM1646" s="97"/>
      <c r="AN1646" s="97"/>
      <c r="AO1646" s="97"/>
      <c r="AP1646" s="97"/>
      <c r="AQ1646" s="97"/>
    </row>
    <row r="1647" spans="2:43" s="101" customFormat="1" ht="15" customHeight="1">
      <c r="B1647" s="104"/>
      <c r="C1647" s="104"/>
      <c r="D1647" s="104"/>
      <c r="E1647" s="104"/>
      <c r="F1647" s="104"/>
      <c r="G1647" s="104"/>
      <c r="H1647" s="104"/>
      <c r="I1647" s="104"/>
      <c r="J1647" s="104"/>
      <c r="K1647" s="104"/>
      <c r="L1647" s="104"/>
      <c r="R1647" s="105"/>
      <c r="S1647" s="105"/>
      <c r="T1647" s="105"/>
      <c r="U1647" s="105"/>
      <c r="V1647" s="105"/>
      <c r="W1647" s="105"/>
      <c r="AD1647" s="106"/>
      <c r="AE1647" s="97"/>
      <c r="AF1647" s="97"/>
      <c r="AG1647" s="97"/>
      <c r="AH1647" s="97"/>
      <c r="AI1647" s="97"/>
      <c r="AJ1647" s="97"/>
      <c r="AK1647" s="97"/>
      <c r="AL1647" s="97"/>
      <c r="AM1647" s="97"/>
      <c r="AN1647" s="97"/>
      <c r="AO1647" s="97"/>
      <c r="AP1647" s="97"/>
      <c r="AQ1647" s="97"/>
    </row>
    <row r="1648" spans="2:43" s="101" customFormat="1" ht="15" customHeight="1">
      <c r="B1648" s="104"/>
      <c r="C1648" s="104"/>
      <c r="D1648" s="104"/>
      <c r="E1648" s="104"/>
      <c r="F1648" s="104"/>
      <c r="G1648" s="104"/>
      <c r="H1648" s="104"/>
      <c r="I1648" s="104"/>
      <c r="J1648" s="104"/>
      <c r="K1648" s="104"/>
      <c r="L1648" s="104"/>
      <c r="R1648" s="105"/>
      <c r="S1648" s="105"/>
      <c r="T1648" s="105"/>
      <c r="U1648" s="105"/>
      <c r="V1648" s="105"/>
      <c r="W1648" s="105"/>
      <c r="AD1648" s="106"/>
      <c r="AE1648" s="97"/>
      <c r="AF1648" s="97"/>
      <c r="AG1648" s="97"/>
      <c r="AH1648" s="97"/>
      <c r="AI1648" s="97"/>
      <c r="AJ1648" s="97"/>
      <c r="AK1648" s="97"/>
      <c r="AL1648" s="97"/>
      <c r="AM1648" s="97"/>
      <c r="AN1648" s="97"/>
      <c r="AO1648" s="97"/>
      <c r="AP1648" s="97"/>
      <c r="AQ1648" s="97"/>
    </row>
    <row r="1649" spans="2:43" s="101" customFormat="1" ht="15" customHeight="1">
      <c r="B1649" s="104"/>
      <c r="C1649" s="104"/>
      <c r="D1649" s="104"/>
      <c r="E1649" s="104"/>
      <c r="F1649" s="104"/>
      <c r="G1649" s="104"/>
      <c r="H1649" s="104"/>
      <c r="I1649" s="104"/>
      <c r="J1649" s="104"/>
      <c r="K1649" s="104"/>
      <c r="L1649" s="104"/>
      <c r="R1649" s="105"/>
      <c r="S1649" s="105"/>
      <c r="T1649" s="105"/>
      <c r="U1649" s="105"/>
      <c r="V1649" s="105"/>
      <c r="W1649" s="105"/>
      <c r="AD1649" s="106"/>
      <c r="AE1649" s="97"/>
      <c r="AF1649" s="97"/>
      <c r="AG1649" s="97"/>
      <c r="AH1649" s="97"/>
      <c r="AI1649" s="97"/>
      <c r="AJ1649" s="97"/>
      <c r="AK1649" s="97"/>
      <c r="AL1649" s="97"/>
      <c r="AM1649" s="97"/>
      <c r="AN1649" s="97"/>
      <c r="AO1649" s="97"/>
      <c r="AP1649" s="97"/>
      <c r="AQ1649" s="97"/>
    </row>
    <row r="1650" spans="2:43" s="101" customFormat="1" ht="15" customHeight="1">
      <c r="B1650" s="104"/>
      <c r="C1650" s="104"/>
      <c r="D1650" s="104"/>
      <c r="E1650" s="104"/>
      <c r="F1650" s="104"/>
      <c r="G1650" s="104"/>
      <c r="H1650" s="104"/>
      <c r="I1650" s="104"/>
      <c r="J1650" s="104"/>
      <c r="K1650" s="104"/>
      <c r="L1650" s="104"/>
      <c r="R1650" s="105"/>
      <c r="S1650" s="105"/>
      <c r="T1650" s="105"/>
      <c r="U1650" s="105"/>
      <c r="V1650" s="105"/>
      <c r="W1650" s="105"/>
      <c r="AD1650" s="106"/>
      <c r="AE1650" s="97"/>
      <c r="AF1650" s="97"/>
      <c r="AG1650" s="97"/>
      <c r="AH1650" s="97"/>
      <c r="AI1650" s="97"/>
      <c r="AJ1650" s="97"/>
      <c r="AK1650" s="97"/>
      <c r="AL1650" s="97"/>
      <c r="AM1650" s="97"/>
      <c r="AN1650" s="97"/>
      <c r="AO1650" s="97"/>
      <c r="AP1650" s="97"/>
      <c r="AQ1650" s="97"/>
    </row>
    <row r="1651" spans="2:43" s="101" customFormat="1" ht="15" customHeight="1">
      <c r="B1651" s="104"/>
      <c r="C1651" s="104"/>
      <c r="D1651" s="104"/>
      <c r="E1651" s="104"/>
      <c r="F1651" s="104"/>
      <c r="G1651" s="104"/>
      <c r="H1651" s="104"/>
      <c r="I1651" s="104"/>
      <c r="J1651" s="104"/>
      <c r="K1651" s="104"/>
      <c r="L1651" s="104"/>
      <c r="R1651" s="105"/>
      <c r="S1651" s="105"/>
      <c r="T1651" s="105"/>
      <c r="U1651" s="105"/>
      <c r="V1651" s="105"/>
      <c r="W1651" s="105"/>
      <c r="AD1651" s="106"/>
      <c r="AE1651" s="97"/>
      <c r="AF1651" s="97"/>
      <c r="AG1651" s="97"/>
      <c r="AH1651" s="97"/>
      <c r="AI1651" s="97"/>
      <c r="AJ1651" s="97"/>
      <c r="AK1651" s="97"/>
      <c r="AL1651" s="97"/>
      <c r="AM1651" s="97"/>
      <c r="AN1651" s="97"/>
      <c r="AO1651" s="97"/>
      <c r="AP1651" s="97"/>
      <c r="AQ1651" s="97"/>
    </row>
    <row r="1652" spans="2:43" s="101" customFormat="1" ht="15" customHeight="1">
      <c r="B1652" s="104"/>
      <c r="C1652" s="104"/>
      <c r="D1652" s="104"/>
      <c r="E1652" s="104"/>
      <c r="F1652" s="104"/>
      <c r="G1652" s="104"/>
      <c r="H1652" s="104"/>
      <c r="I1652" s="104"/>
      <c r="J1652" s="104"/>
      <c r="K1652" s="104"/>
      <c r="L1652" s="104"/>
      <c r="R1652" s="105"/>
      <c r="S1652" s="105"/>
      <c r="T1652" s="105"/>
      <c r="U1652" s="105"/>
      <c r="V1652" s="105"/>
      <c r="W1652" s="105"/>
      <c r="AD1652" s="106"/>
      <c r="AE1652" s="97"/>
      <c r="AF1652" s="97"/>
      <c r="AG1652" s="97"/>
      <c r="AH1652" s="97"/>
      <c r="AI1652" s="97"/>
      <c r="AJ1652" s="97"/>
      <c r="AK1652" s="97"/>
      <c r="AL1652" s="97"/>
      <c r="AM1652" s="97"/>
      <c r="AN1652" s="97"/>
      <c r="AO1652" s="97"/>
      <c r="AP1652" s="97"/>
      <c r="AQ1652" s="97"/>
    </row>
    <row r="1653" spans="2:43" s="101" customFormat="1" ht="15" customHeight="1">
      <c r="B1653" s="104"/>
      <c r="C1653" s="104"/>
      <c r="D1653" s="104"/>
      <c r="E1653" s="104"/>
      <c r="F1653" s="104"/>
      <c r="G1653" s="104"/>
      <c r="H1653" s="104"/>
      <c r="I1653" s="104"/>
      <c r="J1653" s="104"/>
      <c r="K1653" s="104"/>
      <c r="L1653" s="104"/>
      <c r="R1653" s="105"/>
      <c r="S1653" s="105"/>
      <c r="T1653" s="105"/>
      <c r="U1653" s="105"/>
      <c r="V1653" s="105"/>
      <c r="W1653" s="105"/>
      <c r="AD1653" s="106"/>
      <c r="AE1653" s="97"/>
      <c r="AF1653" s="97"/>
      <c r="AG1653" s="97"/>
      <c r="AH1653" s="97"/>
      <c r="AI1653" s="97"/>
      <c r="AJ1653" s="97"/>
      <c r="AK1653" s="97"/>
      <c r="AL1653" s="97"/>
      <c r="AM1653" s="97"/>
      <c r="AN1653" s="97"/>
      <c r="AO1653" s="97"/>
      <c r="AP1653" s="97"/>
      <c r="AQ1653" s="97"/>
    </row>
    <row r="1654" spans="2:43" s="101" customFormat="1" ht="15" customHeight="1">
      <c r="B1654" s="104"/>
      <c r="C1654" s="104"/>
      <c r="D1654" s="104"/>
      <c r="E1654" s="104"/>
      <c r="F1654" s="104"/>
      <c r="G1654" s="104"/>
      <c r="H1654" s="104"/>
      <c r="I1654" s="104"/>
      <c r="J1654" s="104"/>
      <c r="K1654" s="104"/>
      <c r="L1654" s="104"/>
      <c r="R1654" s="105"/>
      <c r="S1654" s="105"/>
      <c r="T1654" s="105"/>
      <c r="U1654" s="105"/>
      <c r="V1654" s="105"/>
      <c r="W1654" s="105"/>
      <c r="AD1654" s="106"/>
      <c r="AE1654" s="97"/>
      <c r="AF1654" s="97"/>
      <c r="AG1654" s="97"/>
      <c r="AH1654" s="97"/>
      <c r="AI1654" s="97"/>
      <c r="AJ1654" s="97"/>
      <c r="AK1654" s="97"/>
      <c r="AL1654" s="97"/>
      <c r="AM1654" s="97"/>
      <c r="AN1654" s="97"/>
      <c r="AO1654" s="97"/>
      <c r="AP1654" s="97"/>
      <c r="AQ1654" s="97"/>
    </row>
    <row r="1655" spans="2:43" s="101" customFormat="1" ht="15" customHeight="1">
      <c r="B1655" s="104"/>
      <c r="C1655" s="104"/>
      <c r="D1655" s="104"/>
      <c r="E1655" s="104"/>
      <c r="F1655" s="104"/>
      <c r="G1655" s="104"/>
      <c r="H1655" s="104"/>
      <c r="I1655" s="104"/>
      <c r="J1655" s="104"/>
      <c r="K1655" s="104"/>
      <c r="L1655" s="104"/>
      <c r="R1655" s="105"/>
      <c r="S1655" s="105"/>
      <c r="T1655" s="105"/>
      <c r="U1655" s="105"/>
      <c r="V1655" s="105"/>
      <c r="W1655" s="105"/>
      <c r="AD1655" s="106"/>
      <c r="AE1655" s="97"/>
      <c r="AF1655" s="97"/>
      <c r="AG1655" s="97"/>
      <c r="AH1655" s="97"/>
      <c r="AI1655" s="97"/>
      <c r="AJ1655" s="97"/>
      <c r="AK1655" s="97"/>
      <c r="AL1655" s="97"/>
      <c r="AM1655" s="97"/>
      <c r="AN1655" s="97"/>
      <c r="AO1655" s="97"/>
      <c r="AP1655" s="97"/>
      <c r="AQ1655" s="97"/>
    </row>
    <row r="1656" spans="2:43" s="101" customFormat="1" ht="15" customHeight="1">
      <c r="B1656" s="104"/>
      <c r="C1656" s="104"/>
      <c r="D1656" s="104"/>
      <c r="E1656" s="104"/>
      <c r="F1656" s="104"/>
      <c r="G1656" s="104"/>
      <c r="H1656" s="104"/>
      <c r="I1656" s="104"/>
      <c r="J1656" s="104"/>
      <c r="K1656" s="104"/>
      <c r="L1656" s="104"/>
      <c r="R1656" s="105"/>
      <c r="S1656" s="105"/>
      <c r="T1656" s="105"/>
      <c r="U1656" s="105"/>
      <c r="V1656" s="105"/>
      <c r="W1656" s="105"/>
      <c r="AD1656" s="106"/>
      <c r="AE1656" s="97"/>
      <c r="AF1656" s="97"/>
      <c r="AG1656" s="97"/>
      <c r="AH1656" s="97"/>
      <c r="AI1656" s="97"/>
      <c r="AJ1656" s="97"/>
      <c r="AK1656" s="97"/>
      <c r="AL1656" s="97"/>
      <c r="AM1656" s="97"/>
      <c r="AN1656" s="97"/>
      <c r="AO1656" s="97"/>
      <c r="AP1656" s="97"/>
      <c r="AQ1656" s="97"/>
    </row>
    <row r="1657" spans="2:43" s="101" customFormat="1" ht="15" customHeight="1">
      <c r="B1657" s="104"/>
      <c r="C1657" s="104"/>
      <c r="D1657" s="104"/>
      <c r="E1657" s="104"/>
      <c r="F1657" s="104"/>
      <c r="G1657" s="104"/>
      <c r="H1657" s="104"/>
      <c r="I1657" s="104"/>
      <c r="J1657" s="104"/>
      <c r="K1657" s="104"/>
      <c r="L1657" s="104"/>
      <c r="R1657" s="105"/>
      <c r="S1657" s="105"/>
      <c r="T1657" s="105"/>
      <c r="U1657" s="105"/>
      <c r="V1657" s="105"/>
      <c r="W1657" s="105"/>
      <c r="AD1657" s="106"/>
      <c r="AE1657" s="97"/>
      <c r="AF1657" s="97"/>
      <c r="AG1657" s="97"/>
      <c r="AH1657" s="97"/>
      <c r="AI1657" s="97"/>
      <c r="AJ1657" s="97"/>
      <c r="AK1657" s="97"/>
      <c r="AL1657" s="97"/>
      <c r="AM1657" s="97"/>
      <c r="AN1657" s="97"/>
      <c r="AO1657" s="97"/>
      <c r="AP1657" s="97"/>
      <c r="AQ1657" s="97"/>
    </row>
    <row r="1658" spans="2:43" s="101" customFormat="1" ht="15" customHeight="1">
      <c r="B1658" s="104"/>
      <c r="C1658" s="104"/>
      <c r="D1658" s="104"/>
      <c r="E1658" s="104"/>
      <c r="F1658" s="104"/>
      <c r="G1658" s="104"/>
      <c r="H1658" s="104"/>
      <c r="I1658" s="104"/>
      <c r="J1658" s="104"/>
      <c r="K1658" s="104"/>
      <c r="L1658" s="104"/>
      <c r="R1658" s="105"/>
      <c r="S1658" s="105"/>
      <c r="T1658" s="105"/>
      <c r="U1658" s="105"/>
      <c r="V1658" s="105"/>
      <c r="W1658" s="105"/>
      <c r="AD1658" s="106"/>
      <c r="AE1658" s="97"/>
      <c r="AF1658" s="97"/>
      <c r="AG1658" s="97"/>
      <c r="AH1658" s="97"/>
      <c r="AI1658" s="97"/>
      <c r="AJ1658" s="97"/>
      <c r="AK1658" s="97"/>
      <c r="AL1658" s="97"/>
      <c r="AM1658" s="97"/>
      <c r="AN1658" s="97"/>
      <c r="AO1658" s="97"/>
      <c r="AP1658" s="97"/>
      <c r="AQ1658" s="97"/>
    </row>
    <row r="1659" spans="2:43" s="101" customFormat="1" ht="15" customHeight="1">
      <c r="B1659" s="104"/>
      <c r="C1659" s="104"/>
      <c r="D1659" s="104"/>
      <c r="E1659" s="104"/>
      <c r="F1659" s="104"/>
      <c r="G1659" s="104"/>
      <c r="H1659" s="104"/>
      <c r="I1659" s="104"/>
      <c r="J1659" s="104"/>
      <c r="K1659" s="104"/>
      <c r="L1659" s="104"/>
      <c r="R1659" s="105"/>
      <c r="S1659" s="105"/>
      <c r="T1659" s="105"/>
      <c r="U1659" s="105"/>
      <c r="V1659" s="105"/>
      <c r="W1659" s="105"/>
      <c r="AD1659" s="106"/>
      <c r="AE1659" s="97"/>
      <c r="AF1659" s="97"/>
      <c r="AG1659" s="97"/>
      <c r="AH1659" s="97"/>
      <c r="AI1659" s="97"/>
      <c r="AJ1659" s="97"/>
      <c r="AK1659" s="97"/>
      <c r="AL1659" s="97"/>
      <c r="AM1659" s="97"/>
      <c r="AN1659" s="97"/>
      <c r="AO1659" s="97"/>
      <c r="AP1659" s="97"/>
      <c r="AQ1659" s="97"/>
    </row>
    <row r="1660" spans="2:43" s="101" customFormat="1" ht="15" customHeight="1">
      <c r="B1660" s="104"/>
      <c r="C1660" s="104"/>
      <c r="D1660" s="104"/>
      <c r="E1660" s="104"/>
      <c r="F1660" s="104"/>
      <c r="G1660" s="104"/>
      <c r="H1660" s="104"/>
      <c r="I1660" s="104"/>
      <c r="J1660" s="104"/>
      <c r="K1660" s="104"/>
      <c r="L1660" s="104"/>
      <c r="R1660" s="105"/>
      <c r="S1660" s="105"/>
      <c r="T1660" s="105"/>
      <c r="U1660" s="105"/>
      <c r="V1660" s="105"/>
      <c r="W1660" s="105"/>
      <c r="AD1660" s="106"/>
      <c r="AE1660" s="97"/>
      <c r="AF1660" s="97"/>
      <c r="AG1660" s="97"/>
      <c r="AH1660" s="97"/>
      <c r="AI1660" s="97"/>
      <c r="AJ1660" s="97"/>
      <c r="AK1660" s="97"/>
      <c r="AL1660" s="97"/>
      <c r="AM1660" s="97"/>
      <c r="AN1660" s="97"/>
      <c r="AO1660" s="97"/>
      <c r="AP1660" s="97"/>
      <c r="AQ1660" s="97"/>
    </row>
    <row r="1661" spans="2:43" s="101" customFormat="1" ht="15" customHeight="1">
      <c r="B1661" s="104"/>
      <c r="C1661" s="104"/>
      <c r="D1661" s="104"/>
      <c r="E1661" s="104"/>
      <c r="F1661" s="104"/>
      <c r="G1661" s="104"/>
      <c r="H1661" s="104"/>
      <c r="I1661" s="104"/>
      <c r="J1661" s="104"/>
      <c r="K1661" s="104"/>
      <c r="L1661" s="104"/>
      <c r="R1661" s="105"/>
      <c r="S1661" s="105"/>
      <c r="T1661" s="105"/>
      <c r="U1661" s="105"/>
      <c r="V1661" s="105"/>
      <c r="W1661" s="105"/>
      <c r="AD1661" s="106"/>
      <c r="AE1661" s="97"/>
      <c r="AF1661" s="97"/>
      <c r="AG1661" s="97"/>
      <c r="AH1661" s="97"/>
      <c r="AI1661" s="97"/>
      <c r="AJ1661" s="97"/>
      <c r="AK1661" s="97"/>
      <c r="AL1661" s="97"/>
      <c r="AM1661" s="97"/>
      <c r="AN1661" s="97"/>
      <c r="AO1661" s="97"/>
      <c r="AP1661" s="97"/>
      <c r="AQ1661" s="97"/>
    </row>
    <row r="1662" spans="2:43" s="101" customFormat="1" ht="15" customHeight="1">
      <c r="B1662" s="104"/>
      <c r="C1662" s="104"/>
      <c r="D1662" s="104"/>
      <c r="E1662" s="104"/>
      <c r="F1662" s="104"/>
      <c r="G1662" s="104"/>
      <c r="H1662" s="104"/>
      <c r="I1662" s="104"/>
      <c r="J1662" s="104"/>
      <c r="K1662" s="104"/>
      <c r="L1662" s="104"/>
      <c r="R1662" s="105"/>
      <c r="S1662" s="105"/>
      <c r="T1662" s="105"/>
      <c r="U1662" s="105"/>
      <c r="V1662" s="105"/>
      <c r="W1662" s="105"/>
      <c r="AD1662" s="106"/>
      <c r="AE1662" s="97"/>
      <c r="AF1662" s="97"/>
      <c r="AG1662" s="97"/>
      <c r="AH1662" s="97"/>
      <c r="AI1662" s="97"/>
      <c r="AJ1662" s="97"/>
      <c r="AK1662" s="97"/>
      <c r="AL1662" s="97"/>
      <c r="AM1662" s="97"/>
      <c r="AN1662" s="97"/>
      <c r="AO1662" s="97"/>
      <c r="AP1662" s="97"/>
      <c r="AQ1662" s="97"/>
    </row>
    <row r="1663" spans="2:43" s="101" customFormat="1" ht="15" customHeight="1">
      <c r="B1663" s="104"/>
      <c r="C1663" s="104"/>
      <c r="D1663" s="104"/>
      <c r="E1663" s="104"/>
      <c r="F1663" s="104"/>
      <c r="G1663" s="104"/>
      <c r="H1663" s="104"/>
      <c r="I1663" s="104"/>
      <c r="J1663" s="104"/>
      <c r="K1663" s="104"/>
      <c r="L1663" s="104"/>
      <c r="R1663" s="105"/>
      <c r="S1663" s="105"/>
      <c r="T1663" s="105"/>
      <c r="U1663" s="105"/>
      <c r="V1663" s="105"/>
      <c r="W1663" s="105"/>
      <c r="AD1663" s="106"/>
      <c r="AE1663" s="97"/>
      <c r="AF1663" s="97"/>
      <c r="AG1663" s="97"/>
      <c r="AH1663" s="97"/>
      <c r="AI1663" s="97"/>
      <c r="AJ1663" s="97"/>
      <c r="AK1663" s="97"/>
      <c r="AL1663" s="97"/>
      <c r="AM1663" s="97"/>
      <c r="AN1663" s="97"/>
      <c r="AO1663" s="97"/>
      <c r="AP1663" s="97"/>
      <c r="AQ1663" s="97"/>
    </row>
    <row r="1664" spans="2:43" s="101" customFormat="1" ht="15" customHeight="1">
      <c r="B1664" s="104"/>
      <c r="C1664" s="104"/>
      <c r="D1664" s="104"/>
      <c r="E1664" s="104"/>
      <c r="F1664" s="104"/>
      <c r="G1664" s="104"/>
      <c r="H1664" s="104"/>
      <c r="I1664" s="104"/>
      <c r="J1664" s="104"/>
      <c r="K1664" s="104"/>
      <c r="L1664" s="104"/>
      <c r="R1664" s="105"/>
      <c r="S1664" s="105"/>
      <c r="T1664" s="105"/>
      <c r="U1664" s="105"/>
      <c r="V1664" s="105"/>
      <c r="W1664" s="105"/>
      <c r="AD1664" s="106"/>
      <c r="AE1664" s="97"/>
      <c r="AF1664" s="97"/>
      <c r="AG1664" s="97"/>
      <c r="AH1664" s="97"/>
      <c r="AI1664" s="97"/>
      <c r="AJ1664" s="97"/>
      <c r="AK1664" s="97"/>
      <c r="AL1664" s="97"/>
      <c r="AM1664" s="97"/>
      <c r="AN1664" s="97"/>
      <c r="AO1664" s="97"/>
      <c r="AP1664" s="97"/>
      <c r="AQ1664" s="97"/>
    </row>
    <row r="1665" spans="2:43" s="101" customFormat="1" ht="15" customHeight="1">
      <c r="B1665" s="104"/>
      <c r="C1665" s="104"/>
      <c r="D1665" s="104"/>
      <c r="E1665" s="104"/>
      <c r="F1665" s="104"/>
      <c r="G1665" s="104"/>
      <c r="H1665" s="104"/>
      <c r="I1665" s="104"/>
      <c r="J1665" s="104"/>
      <c r="K1665" s="104"/>
      <c r="L1665" s="104"/>
      <c r="R1665" s="105"/>
      <c r="S1665" s="105"/>
      <c r="T1665" s="105"/>
      <c r="U1665" s="105"/>
      <c r="V1665" s="105"/>
      <c r="W1665" s="105"/>
      <c r="AD1665" s="106"/>
      <c r="AE1665" s="97"/>
      <c r="AF1665" s="97"/>
      <c r="AG1665" s="97"/>
      <c r="AH1665" s="97"/>
      <c r="AI1665" s="97"/>
      <c r="AJ1665" s="97"/>
      <c r="AK1665" s="97"/>
      <c r="AL1665" s="97"/>
      <c r="AM1665" s="97"/>
      <c r="AN1665" s="97"/>
      <c r="AO1665" s="97"/>
      <c r="AP1665" s="97"/>
      <c r="AQ1665" s="97"/>
    </row>
    <row r="1666" spans="2:43" s="101" customFormat="1" ht="15" customHeight="1">
      <c r="B1666" s="104"/>
      <c r="C1666" s="104"/>
      <c r="D1666" s="104"/>
      <c r="E1666" s="104"/>
      <c r="F1666" s="104"/>
      <c r="G1666" s="104"/>
      <c r="H1666" s="104"/>
      <c r="I1666" s="104"/>
      <c r="J1666" s="104"/>
      <c r="K1666" s="104"/>
      <c r="L1666" s="104"/>
      <c r="R1666" s="105"/>
      <c r="S1666" s="105"/>
      <c r="T1666" s="105"/>
      <c r="U1666" s="105"/>
      <c r="V1666" s="105"/>
      <c r="W1666" s="105"/>
      <c r="AD1666" s="106"/>
      <c r="AE1666" s="97"/>
      <c r="AF1666" s="97"/>
      <c r="AG1666" s="97"/>
      <c r="AH1666" s="97"/>
      <c r="AI1666" s="97"/>
      <c r="AJ1666" s="97"/>
      <c r="AK1666" s="97"/>
      <c r="AL1666" s="97"/>
      <c r="AM1666" s="97"/>
      <c r="AN1666" s="97"/>
      <c r="AO1666" s="97"/>
      <c r="AP1666" s="97"/>
      <c r="AQ1666" s="97"/>
    </row>
    <row r="1667" spans="2:43" s="101" customFormat="1" ht="15" customHeight="1">
      <c r="B1667" s="104"/>
      <c r="C1667" s="104"/>
      <c r="D1667" s="104"/>
      <c r="E1667" s="104"/>
      <c r="F1667" s="104"/>
      <c r="G1667" s="104"/>
      <c r="H1667" s="104"/>
      <c r="I1667" s="104"/>
      <c r="J1667" s="104"/>
      <c r="K1667" s="104"/>
      <c r="L1667" s="104"/>
      <c r="R1667" s="105"/>
      <c r="S1667" s="105"/>
      <c r="T1667" s="105"/>
      <c r="U1667" s="105"/>
      <c r="V1667" s="105"/>
      <c r="W1667" s="105"/>
      <c r="AD1667" s="106"/>
      <c r="AE1667" s="97"/>
      <c r="AF1667" s="97"/>
      <c r="AG1667" s="97"/>
      <c r="AH1667" s="97"/>
      <c r="AI1667" s="97"/>
      <c r="AJ1667" s="97"/>
      <c r="AK1667" s="97"/>
      <c r="AL1667" s="97"/>
      <c r="AM1667" s="97"/>
      <c r="AN1667" s="97"/>
      <c r="AO1667" s="97"/>
      <c r="AP1667" s="97"/>
      <c r="AQ1667" s="97"/>
    </row>
    <row r="1668" spans="2:43" s="101" customFormat="1" ht="15" customHeight="1">
      <c r="B1668" s="104"/>
      <c r="C1668" s="104"/>
      <c r="D1668" s="104"/>
      <c r="E1668" s="104"/>
      <c r="F1668" s="104"/>
      <c r="G1668" s="104"/>
      <c r="H1668" s="104"/>
      <c r="I1668" s="104"/>
      <c r="J1668" s="104"/>
      <c r="K1668" s="104"/>
      <c r="L1668" s="104"/>
      <c r="R1668" s="105"/>
      <c r="S1668" s="105"/>
      <c r="T1668" s="105"/>
      <c r="U1668" s="105"/>
      <c r="V1668" s="105"/>
      <c r="W1668" s="105"/>
      <c r="AD1668" s="106"/>
      <c r="AE1668" s="97"/>
      <c r="AF1668" s="97"/>
      <c r="AG1668" s="97"/>
      <c r="AH1668" s="97"/>
      <c r="AI1668" s="97"/>
      <c r="AJ1668" s="97"/>
      <c r="AK1668" s="97"/>
      <c r="AL1668" s="97"/>
      <c r="AM1668" s="97"/>
      <c r="AN1668" s="97"/>
      <c r="AO1668" s="97"/>
      <c r="AP1668" s="97"/>
      <c r="AQ1668" s="97"/>
    </row>
    <row r="1669" spans="2:43" s="101" customFormat="1" ht="15" customHeight="1">
      <c r="B1669" s="104"/>
      <c r="C1669" s="104"/>
      <c r="D1669" s="104"/>
      <c r="E1669" s="104"/>
      <c r="F1669" s="104"/>
      <c r="G1669" s="104"/>
      <c r="H1669" s="104"/>
      <c r="I1669" s="104"/>
      <c r="J1669" s="104"/>
      <c r="K1669" s="104"/>
      <c r="L1669" s="104"/>
      <c r="R1669" s="105"/>
      <c r="S1669" s="105"/>
      <c r="T1669" s="105"/>
      <c r="U1669" s="105"/>
      <c r="V1669" s="105"/>
      <c r="W1669" s="105"/>
      <c r="AD1669" s="106"/>
      <c r="AE1669" s="97"/>
      <c r="AF1669" s="97"/>
      <c r="AG1669" s="97"/>
      <c r="AH1669" s="97"/>
      <c r="AI1669" s="97"/>
      <c r="AJ1669" s="97"/>
      <c r="AK1669" s="97"/>
      <c r="AL1669" s="97"/>
      <c r="AM1669" s="97"/>
      <c r="AN1669" s="97"/>
      <c r="AO1669" s="97"/>
      <c r="AP1669" s="97"/>
      <c r="AQ1669" s="97"/>
    </row>
    <row r="1670" spans="2:43" s="101" customFormat="1" ht="15" customHeight="1">
      <c r="B1670" s="104"/>
      <c r="C1670" s="104"/>
      <c r="D1670" s="104"/>
      <c r="E1670" s="104"/>
      <c r="F1670" s="104"/>
      <c r="G1670" s="104"/>
      <c r="H1670" s="104"/>
      <c r="I1670" s="104"/>
      <c r="J1670" s="104"/>
      <c r="K1670" s="104"/>
      <c r="L1670" s="104"/>
      <c r="R1670" s="105"/>
      <c r="S1670" s="105"/>
      <c r="T1670" s="105"/>
      <c r="U1670" s="105"/>
      <c r="V1670" s="105"/>
      <c r="W1670" s="105"/>
      <c r="AD1670" s="106"/>
      <c r="AE1670" s="97"/>
      <c r="AF1670" s="97"/>
      <c r="AG1670" s="97"/>
      <c r="AH1670" s="97"/>
      <c r="AI1670" s="97"/>
      <c r="AJ1670" s="97"/>
      <c r="AK1670" s="97"/>
      <c r="AL1670" s="97"/>
      <c r="AM1670" s="97"/>
      <c r="AN1670" s="97"/>
      <c r="AO1670" s="97"/>
      <c r="AP1670" s="97"/>
      <c r="AQ1670" s="97"/>
    </row>
    <row r="1671" spans="2:43" s="101" customFormat="1" ht="15" customHeight="1">
      <c r="B1671" s="104"/>
      <c r="C1671" s="104"/>
      <c r="D1671" s="104"/>
      <c r="E1671" s="104"/>
      <c r="F1671" s="104"/>
      <c r="G1671" s="104"/>
      <c r="H1671" s="104"/>
      <c r="I1671" s="104"/>
      <c r="J1671" s="104"/>
      <c r="K1671" s="104"/>
      <c r="L1671" s="104"/>
      <c r="R1671" s="105"/>
      <c r="S1671" s="105"/>
      <c r="T1671" s="105"/>
      <c r="U1671" s="105"/>
      <c r="V1671" s="105"/>
      <c r="W1671" s="105"/>
      <c r="AD1671" s="106"/>
      <c r="AE1671" s="97"/>
      <c r="AF1671" s="97"/>
      <c r="AG1671" s="97"/>
      <c r="AH1671" s="97"/>
      <c r="AI1671" s="97"/>
      <c r="AJ1671" s="97"/>
      <c r="AK1671" s="97"/>
      <c r="AL1671" s="97"/>
      <c r="AM1671" s="97"/>
      <c r="AN1671" s="97"/>
      <c r="AO1671" s="97"/>
      <c r="AP1671" s="97"/>
      <c r="AQ1671" s="97"/>
    </row>
    <row r="1672" spans="2:43" s="101" customFormat="1" ht="15" customHeight="1">
      <c r="B1672" s="104"/>
      <c r="C1672" s="104"/>
      <c r="D1672" s="104"/>
      <c r="E1672" s="104"/>
      <c r="F1672" s="104"/>
      <c r="G1672" s="104"/>
      <c r="H1672" s="104"/>
      <c r="I1672" s="104"/>
      <c r="J1672" s="104"/>
      <c r="K1672" s="104"/>
      <c r="L1672" s="104"/>
      <c r="R1672" s="105"/>
      <c r="S1672" s="105"/>
      <c r="T1672" s="105"/>
      <c r="U1672" s="105"/>
      <c r="V1672" s="105"/>
      <c r="W1672" s="105"/>
      <c r="AD1672" s="106"/>
      <c r="AE1672" s="97"/>
      <c r="AF1672" s="97"/>
      <c r="AG1672" s="97"/>
      <c r="AH1672" s="97"/>
      <c r="AI1672" s="97"/>
      <c r="AJ1672" s="97"/>
      <c r="AK1672" s="97"/>
      <c r="AL1672" s="97"/>
      <c r="AM1672" s="97"/>
      <c r="AN1672" s="97"/>
      <c r="AO1672" s="97"/>
      <c r="AP1672" s="97"/>
      <c r="AQ1672" s="97"/>
    </row>
    <row r="1673" spans="2:43" s="101" customFormat="1" ht="15" customHeight="1">
      <c r="B1673" s="104"/>
      <c r="C1673" s="104"/>
      <c r="D1673" s="104"/>
      <c r="E1673" s="104"/>
      <c r="F1673" s="104"/>
      <c r="G1673" s="104"/>
      <c r="H1673" s="104"/>
      <c r="I1673" s="104"/>
      <c r="J1673" s="104"/>
      <c r="K1673" s="104"/>
      <c r="L1673" s="104"/>
      <c r="R1673" s="105"/>
      <c r="S1673" s="105"/>
      <c r="T1673" s="105"/>
      <c r="U1673" s="105"/>
      <c r="V1673" s="105"/>
      <c r="W1673" s="105"/>
      <c r="AD1673" s="106"/>
      <c r="AE1673" s="97"/>
      <c r="AF1673" s="97"/>
      <c r="AG1673" s="97"/>
      <c r="AH1673" s="97"/>
      <c r="AI1673" s="97"/>
      <c r="AJ1673" s="97"/>
      <c r="AK1673" s="97"/>
      <c r="AL1673" s="97"/>
      <c r="AM1673" s="97"/>
      <c r="AN1673" s="97"/>
      <c r="AO1673" s="97"/>
      <c r="AP1673" s="97"/>
      <c r="AQ1673" s="97"/>
    </row>
    <row r="1674" spans="2:43" s="101" customFormat="1" ht="15" customHeight="1">
      <c r="B1674" s="104"/>
      <c r="C1674" s="104"/>
      <c r="D1674" s="104"/>
      <c r="E1674" s="104"/>
      <c r="F1674" s="104"/>
      <c r="G1674" s="104"/>
      <c r="H1674" s="104"/>
      <c r="I1674" s="104"/>
      <c r="J1674" s="104"/>
      <c r="K1674" s="104"/>
      <c r="L1674" s="104"/>
      <c r="R1674" s="105"/>
      <c r="S1674" s="105"/>
      <c r="T1674" s="105"/>
      <c r="U1674" s="105"/>
      <c r="V1674" s="105"/>
      <c r="W1674" s="105"/>
      <c r="AD1674" s="106"/>
      <c r="AE1674" s="97"/>
      <c r="AF1674" s="97"/>
      <c r="AG1674" s="97"/>
      <c r="AH1674" s="97"/>
      <c r="AI1674" s="97"/>
      <c r="AJ1674" s="97"/>
      <c r="AK1674" s="97"/>
      <c r="AL1674" s="97"/>
      <c r="AM1674" s="97"/>
      <c r="AN1674" s="97"/>
      <c r="AO1674" s="97"/>
      <c r="AP1674" s="97"/>
      <c r="AQ1674" s="97"/>
    </row>
    <row r="1675" spans="2:43" s="101" customFormat="1" ht="15" customHeight="1">
      <c r="B1675" s="104"/>
      <c r="C1675" s="104"/>
      <c r="D1675" s="104"/>
      <c r="E1675" s="104"/>
      <c r="F1675" s="104"/>
      <c r="G1675" s="104"/>
      <c r="H1675" s="104"/>
      <c r="I1675" s="104"/>
      <c r="J1675" s="104"/>
      <c r="K1675" s="104"/>
      <c r="L1675" s="104"/>
      <c r="R1675" s="105"/>
      <c r="S1675" s="105"/>
      <c r="T1675" s="105"/>
      <c r="U1675" s="105"/>
      <c r="V1675" s="105"/>
      <c r="W1675" s="105"/>
      <c r="AD1675" s="106"/>
      <c r="AE1675" s="97"/>
      <c r="AF1675" s="97"/>
      <c r="AG1675" s="97"/>
      <c r="AH1675" s="97"/>
      <c r="AI1675" s="97"/>
      <c r="AJ1675" s="97"/>
      <c r="AK1675" s="97"/>
      <c r="AL1675" s="97"/>
      <c r="AM1675" s="97"/>
      <c r="AN1675" s="97"/>
      <c r="AO1675" s="97"/>
      <c r="AP1675" s="97"/>
      <c r="AQ1675" s="97"/>
    </row>
    <row r="1676" spans="2:43" s="101" customFormat="1" ht="15" customHeight="1">
      <c r="B1676" s="104"/>
      <c r="C1676" s="104"/>
      <c r="D1676" s="104"/>
      <c r="E1676" s="104"/>
      <c r="F1676" s="104"/>
      <c r="G1676" s="104"/>
      <c r="H1676" s="104"/>
      <c r="I1676" s="104"/>
      <c r="J1676" s="104"/>
      <c r="K1676" s="104"/>
      <c r="L1676" s="104"/>
      <c r="R1676" s="105"/>
      <c r="S1676" s="105"/>
      <c r="T1676" s="105"/>
      <c r="U1676" s="105"/>
      <c r="V1676" s="105"/>
      <c r="W1676" s="105"/>
      <c r="AD1676" s="106"/>
      <c r="AE1676" s="97"/>
      <c r="AF1676" s="97"/>
      <c r="AG1676" s="97"/>
      <c r="AH1676" s="97"/>
      <c r="AI1676" s="97"/>
      <c r="AJ1676" s="97"/>
      <c r="AK1676" s="97"/>
      <c r="AL1676" s="97"/>
      <c r="AM1676" s="97"/>
      <c r="AN1676" s="97"/>
      <c r="AO1676" s="97"/>
      <c r="AP1676" s="97"/>
      <c r="AQ1676" s="97"/>
    </row>
    <row r="1677" spans="2:43" s="101" customFormat="1" ht="15" customHeight="1">
      <c r="B1677" s="104"/>
      <c r="C1677" s="104"/>
      <c r="D1677" s="104"/>
      <c r="E1677" s="104"/>
      <c r="F1677" s="104"/>
      <c r="G1677" s="104"/>
      <c r="H1677" s="104"/>
      <c r="I1677" s="104"/>
      <c r="J1677" s="104"/>
      <c r="K1677" s="104"/>
      <c r="L1677" s="104"/>
      <c r="R1677" s="105"/>
      <c r="S1677" s="105"/>
      <c r="T1677" s="105"/>
      <c r="U1677" s="105"/>
      <c r="V1677" s="105"/>
      <c r="W1677" s="105"/>
      <c r="AD1677" s="106"/>
      <c r="AE1677" s="97"/>
      <c r="AF1677" s="97"/>
      <c r="AG1677" s="97"/>
      <c r="AH1677" s="97"/>
      <c r="AI1677" s="97"/>
      <c r="AJ1677" s="97"/>
      <c r="AK1677" s="97"/>
      <c r="AL1677" s="97"/>
      <c r="AM1677" s="97"/>
      <c r="AN1677" s="97"/>
      <c r="AO1677" s="97"/>
      <c r="AP1677" s="97"/>
      <c r="AQ1677" s="97"/>
    </row>
    <row r="1678" spans="2:43" s="101" customFormat="1" ht="15" customHeight="1">
      <c r="B1678" s="104"/>
      <c r="C1678" s="104"/>
      <c r="D1678" s="104"/>
      <c r="E1678" s="104"/>
      <c r="F1678" s="104"/>
      <c r="G1678" s="104"/>
      <c r="H1678" s="104"/>
      <c r="I1678" s="104"/>
      <c r="J1678" s="104"/>
      <c r="K1678" s="104"/>
      <c r="L1678" s="104"/>
      <c r="R1678" s="105"/>
      <c r="S1678" s="105"/>
      <c r="T1678" s="105"/>
      <c r="U1678" s="105"/>
      <c r="V1678" s="105"/>
      <c r="W1678" s="105"/>
      <c r="AD1678" s="106"/>
      <c r="AE1678" s="97"/>
      <c r="AF1678" s="97"/>
      <c r="AG1678" s="97"/>
      <c r="AH1678" s="97"/>
      <c r="AI1678" s="97"/>
      <c r="AJ1678" s="97"/>
      <c r="AK1678" s="97"/>
      <c r="AL1678" s="97"/>
      <c r="AM1678" s="97"/>
      <c r="AN1678" s="97"/>
      <c r="AO1678" s="97"/>
      <c r="AP1678" s="97"/>
      <c r="AQ1678" s="97"/>
    </row>
    <row r="1679" spans="2:43" s="101" customFormat="1" ht="15" customHeight="1">
      <c r="B1679" s="104"/>
      <c r="C1679" s="104"/>
      <c r="D1679" s="104"/>
      <c r="E1679" s="104"/>
      <c r="F1679" s="104"/>
      <c r="G1679" s="104"/>
      <c r="H1679" s="104"/>
      <c r="I1679" s="104"/>
      <c r="J1679" s="104"/>
      <c r="K1679" s="104"/>
      <c r="L1679" s="104"/>
      <c r="R1679" s="105"/>
      <c r="S1679" s="105"/>
      <c r="T1679" s="105"/>
      <c r="U1679" s="105"/>
      <c r="V1679" s="105"/>
      <c r="W1679" s="105"/>
      <c r="AD1679" s="106"/>
      <c r="AE1679" s="97"/>
      <c r="AF1679" s="97"/>
      <c r="AG1679" s="97"/>
      <c r="AH1679" s="97"/>
      <c r="AI1679" s="97"/>
      <c r="AJ1679" s="97"/>
      <c r="AK1679" s="97"/>
      <c r="AL1679" s="97"/>
      <c r="AM1679" s="97"/>
      <c r="AN1679" s="97"/>
      <c r="AO1679" s="97"/>
      <c r="AP1679" s="97"/>
      <c r="AQ1679" s="97"/>
    </row>
    <row r="1680" spans="2:43" s="101" customFormat="1" ht="15" customHeight="1">
      <c r="B1680" s="104"/>
      <c r="C1680" s="104"/>
      <c r="D1680" s="104"/>
      <c r="E1680" s="104"/>
      <c r="F1680" s="104"/>
      <c r="G1680" s="104"/>
      <c r="H1680" s="104"/>
      <c r="I1680" s="104"/>
      <c r="J1680" s="104"/>
      <c r="K1680" s="104"/>
      <c r="L1680" s="104"/>
      <c r="R1680" s="105"/>
      <c r="S1680" s="105"/>
      <c r="T1680" s="105"/>
      <c r="U1680" s="105"/>
      <c r="V1680" s="105"/>
      <c r="W1680" s="105"/>
      <c r="AD1680" s="106"/>
      <c r="AE1680" s="97"/>
      <c r="AF1680" s="97"/>
      <c r="AG1680" s="97"/>
      <c r="AH1680" s="97"/>
      <c r="AI1680" s="97"/>
      <c r="AJ1680" s="97"/>
      <c r="AK1680" s="97"/>
      <c r="AL1680" s="97"/>
      <c r="AM1680" s="97"/>
      <c r="AN1680" s="97"/>
      <c r="AO1680" s="97"/>
      <c r="AP1680" s="97"/>
      <c r="AQ1680" s="97"/>
    </row>
    <row r="1681" spans="2:43" s="101" customFormat="1" ht="15" customHeight="1">
      <c r="B1681" s="104"/>
      <c r="C1681" s="104"/>
      <c r="D1681" s="104"/>
      <c r="E1681" s="104"/>
      <c r="F1681" s="104"/>
      <c r="G1681" s="104"/>
      <c r="H1681" s="104"/>
      <c r="I1681" s="104"/>
      <c r="J1681" s="104"/>
      <c r="K1681" s="104"/>
      <c r="L1681" s="104"/>
      <c r="R1681" s="105"/>
      <c r="S1681" s="105"/>
      <c r="T1681" s="105"/>
      <c r="U1681" s="105"/>
      <c r="V1681" s="105"/>
      <c r="W1681" s="105"/>
      <c r="AD1681" s="106"/>
      <c r="AE1681" s="97"/>
      <c r="AF1681" s="97"/>
      <c r="AG1681" s="97"/>
      <c r="AH1681" s="97"/>
      <c r="AI1681" s="97"/>
      <c r="AJ1681" s="97"/>
      <c r="AK1681" s="97"/>
      <c r="AL1681" s="97"/>
      <c r="AM1681" s="97"/>
      <c r="AN1681" s="97"/>
      <c r="AO1681" s="97"/>
      <c r="AP1681" s="97"/>
      <c r="AQ1681" s="97"/>
    </row>
    <row r="1682" spans="2:43" s="101" customFormat="1" ht="15" customHeight="1">
      <c r="B1682" s="104"/>
      <c r="C1682" s="104"/>
      <c r="D1682" s="104"/>
      <c r="E1682" s="104"/>
      <c r="F1682" s="104"/>
      <c r="G1682" s="104"/>
      <c r="H1682" s="104"/>
      <c r="I1682" s="104"/>
      <c r="J1682" s="104"/>
      <c r="K1682" s="104"/>
      <c r="L1682" s="104"/>
      <c r="R1682" s="105"/>
      <c r="S1682" s="105"/>
      <c r="T1682" s="105"/>
      <c r="U1682" s="105"/>
      <c r="V1682" s="105"/>
      <c r="W1682" s="105"/>
      <c r="AD1682" s="106"/>
      <c r="AE1682" s="97"/>
      <c r="AF1682" s="97"/>
      <c r="AG1682" s="97"/>
      <c r="AH1682" s="97"/>
      <c r="AI1682" s="97"/>
      <c r="AJ1682" s="97"/>
      <c r="AK1682" s="97"/>
      <c r="AL1682" s="97"/>
      <c r="AM1682" s="97"/>
      <c r="AN1682" s="97"/>
      <c r="AO1682" s="97"/>
      <c r="AP1682" s="97"/>
      <c r="AQ1682" s="97"/>
    </row>
    <row r="1683" spans="2:43" s="101" customFormat="1" ht="15" customHeight="1">
      <c r="B1683" s="104"/>
      <c r="C1683" s="104"/>
      <c r="D1683" s="104"/>
      <c r="E1683" s="104"/>
      <c r="F1683" s="104"/>
      <c r="G1683" s="104"/>
      <c r="H1683" s="104"/>
      <c r="I1683" s="104"/>
      <c r="J1683" s="104"/>
      <c r="K1683" s="104"/>
      <c r="L1683" s="104"/>
      <c r="R1683" s="105"/>
      <c r="S1683" s="105"/>
      <c r="T1683" s="105"/>
      <c r="U1683" s="105"/>
      <c r="V1683" s="105"/>
      <c r="W1683" s="105"/>
      <c r="AD1683" s="106"/>
      <c r="AE1683" s="97"/>
      <c r="AF1683" s="97"/>
      <c r="AG1683" s="97"/>
      <c r="AH1683" s="97"/>
      <c r="AI1683" s="97"/>
      <c r="AJ1683" s="97"/>
      <c r="AK1683" s="97"/>
      <c r="AL1683" s="97"/>
      <c r="AM1683" s="97"/>
      <c r="AN1683" s="97"/>
      <c r="AO1683" s="97"/>
      <c r="AP1683" s="97"/>
      <c r="AQ1683" s="97"/>
    </row>
    <row r="1684" spans="2:43" s="101" customFormat="1" ht="15" customHeight="1">
      <c r="B1684" s="104"/>
      <c r="C1684" s="104"/>
      <c r="D1684" s="104"/>
      <c r="E1684" s="104"/>
      <c r="F1684" s="104"/>
      <c r="G1684" s="104"/>
      <c r="H1684" s="104"/>
      <c r="I1684" s="104"/>
      <c r="J1684" s="104"/>
      <c r="K1684" s="104"/>
      <c r="L1684" s="104"/>
      <c r="R1684" s="105"/>
      <c r="S1684" s="105"/>
      <c r="T1684" s="105"/>
      <c r="U1684" s="105"/>
      <c r="V1684" s="105"/>
      <c r="W1684" s="105"/>
      <c r="AD1684" s="106"/>
      <c r="AE1684" s="97"/>
      <c r="AF1684" s="97"/>
      <c r="AG1684" s="97"/>
      <c r="AH1684" s="97"/>
      <c r="AI1684" s="97"/>
      <c r="AJ1684" s="97"/>
      <c r="AK1684" s="97"/>
      <c r="AL1684" s="97"/>
      <c r="AM1684" s="97"/>
      <c r="AN1684" s="97"/>
      <c r="AO1684" s="97"/>
      <c r="AP1684" s="97"/>
      <c r="AQ1684" s="97"/>
    </row>
    <row r="1685" spans="2:43" s="101" customFormat="1" ht="15" customHeight="1">
      <c r="B1685" s="104"/>
      <c r="C1685" s="104"/>
      <c r="D1685" s="104"/>
      <c r="E1685" s="104"/>
      <c r="F1685" s="104"/>
      <c r="G1685" s="104"/>
      <c r="H1685" s="104"/>
      <c r="I1685" s="104"/>
      <c r="J1685" s="104"/>
      <c r="K1685" s="104"/>
      <c r="L1685" s="104"/>
      <c r="R1685" s="105"/>
      <c r="S1685" s="105"/>
      <c r="T1685" s="105"/>
      <c r="U1685" s="105"/>
      <c r="V1685" s="105"/>
      <c r="W1685" s="105"/>
      <c r="AD1685" s="106"/>
      <c r="AE1685" s="97"/>
      <c r="AF1685" s="97"/>
      <c r="AG1685" s="97"/>
      <c r="AH1685" s="97"/>
      <c r="AI1685" s="97"/>
      <c r="AJ1685" s="97"/>
      <c r="AK1685" s="97"/>
      <c r="AL1685" s="97"/>
      <c r="AM1685" s="97"/>
      <c r="AN1685" s="97"/>
      <c r="AO1685" s="97"/>
      <c r="AP1685" s="97"/>
      <c r="AQ1685" s="97"/>
    </row>
    <row r="1686" spans="2:43" s="101" customFormat="1" ht="15" customHeight="1">
      <c r="B1686" s="104"/>
      <c r="C1686" s="104"/>
      <c r="D1686" s="104"/>
      <c r="E1686" s="104"/>
      <c r="F1686" s="104"/>
      <c r="G1686" s="104"/>
      <c r="H1686" s="104"/>
      <c r="I1686" s="104"/>
      <c r="J1686" s="104"/>
      <c r="K1686" s="104"/>
      <c r="L1686" s="104"/>
      <c r="R1686" s="105"/>
      <c r="S1686" s="105"/>
      <c r="T1686" s="105"/>
      <c r="U1686" s="105"/>
      <c r="V1686" s="105"/>
      <c r="W1686" s="105"/>
      <c r="AD1686" s="106"/>
      <c r="AE1686" s="97"/>
      <c r="AF1686" s="97"/>
      <c r="AG1686" s="97"/>
      <c r="AH1686" s="97"/>
      <c r="AI1686" s="97"/>
      <c r="AJ1686" s="97"/>
      <c r="AK1686" s="97"/>
      <c r="AL1686" s="97"/>
      <c r="AM1686" s="97"/>
      <c r="AN1686" s="97"/>
      <c r="AO1686" s="97"/>
      <c r="AP1686" s="97"/>
      <c r="AQ1686" s="97"/>
    </row>
    <row r="1687" spans="2:43" s="101" customFormat="1" ht="15" customHeight="1">
      <c r="B1687" s="104"/>
      <c r="C1687" s="104"/>
      <c r="D1687" s="104"/>
      <c r="E1687" s="104"/>
      <c r="F1687" s="104"/>
      <c r="G1687" s="104"/>
      <c r="H1687" s="104"/>
      <c r="I1687" s="104"/>
      <c r="J1687" s="104"/>
      <c r="K1687" s="104"/>
      <c r="L1687" s="104"/>
      <c r="R1687" s="105"/>
      <c r="S1687" s="105"/>
      <c r="T1687" s="105"/>
      <c r="U1687" s="105"/>
      <c r="V1687" s="105"/>
      <c r="W1687" s="105"/>
      <c r="AD1687" s="106"/>
      <c r="AE1687" s="97"/>
      <c r="AF1687" s="97"/>
      <c r="AG1687" s="97"/>
      <c r="AH1687" s="97"/>
      <c r="AI1687" s="97"/>
      <c r="AJ1687" s="97"/>
      <c r="AK1687" s="97"/>
      <c r="AL1687" s="97"/>
      <c r="AM1687" s="97"/>
      <c r="AN1687" s="97"/>
      <c r="AO1687" s="97"/>
      <c r="AP1687" s="97"/>
      <c r="AQ1687" s="97"/>
    </row>
    <row r="1688" spans="2:43" s="101" customFormat="1" ht="15" customHeight="1">
      <c r="B1688" s="104"/>
      <c r="C1688" s="104"/>
      <c r="D1688" s="104"/>
      <c r="E1688" s="104"/>
      <c r="F1688" s="104"/>
      <c r="G1688" s="104"/>
      <c r="H1688" s="104"/>
      <c r="I1688" s="104"/>
      <c r="J1688" s="104"/>
      <c r="K1688" s="104"/>
      <c r="L1688" s="104"/>
      <c r="R1688" s="105"/>
      <c r="S1688" s="105"/>
      <c r="T1688" s="105"/>
      <c r="U1688" s="105"/>
      <c r="V1688" s="105"/>
      <c r="W1688" s="105"/>
      <c r="AD1688" s="106"/>
      <c r="AE1688" s="97"/>
      <c r="AF1688" s="97"/>
      <c r="AG1688" s="97"/>
      <c r="AH1688" s="97"/>
      <c r="AI1688" s="97"/>
      <c r="AJ1688" s="97"/>
      <c r="AK1688" s="97"/>
      <c r="AL1688" s="97"/>
      <c r="AM1688" s="97"/>
      <c r="AN1688" s="97"/>
      <c r="AO1688" s="97"/>
      <c r="AP1688" s="97"/>
      <c r="AQ1688" s="97"/>
    </row>
    <row r="1689" spans="2:43" s="101" customFormat="1" ht="15" customHeight="1">
      <c r="B1689" s="104"/>
      <c r="C1689" s="104"/>
      <c r="D1689" s="104"/>
      <c r="E1689" s="104"/>
      <c r="F1689" s="104"/>
      <c r="G1689" s="104"/>
      <c r="H1689" s="104"/>
      <c r="I1689" s="104"/>
      <c r="J1689" s="104"/>
      <c r="K1689" s="104"/>
      <c r="L1689" s="104"/>
      <c r="R1689" s="105"/>
      <c r="S1689" s="105"/>
      <c r="T1689" s="105"/>
      <c r="U1689" s="105"/>
      <c r="V1689" s="105"/>
      <c r="W1689" s="105"/>
      <c r="AD1689" s="106"/>
      <c r="AE1689" s="97"/>
      <c r="AF1689" s="97"/>
      <c r="AG1689" s="97"/>
      <c r="AH1689" s="97"/>
      <c r="AI1689" s="97"/>
      <c r="AJ1689" s="97"/>
      <c r="AK1689" s="97"/>
      <c r="AL1689" s="97"/>
      <c r="AM1689" s="97"/>
      <c r="AN1689" s="97"/>
      <c r="AO1689" s="97"/>
      <c r="AP1689" s="97"/>
      <c r="AQ1689" s="97"/>
    </row>
    <row r="1690" spans="2:43" s="101" customFormat="1" ht="15" customHeight="1">
      <c r="B1690" s="104"/>
      <c r="C1690" s="104"/>
      <c r="D1690" s="104"/>
      <c r="E1690" s="104"/>
      <c r="F1690" s="104"/>
      <c r="G1690" s="104"/>
      <c r="H1690" s="104"/>
      <c r="I1690" s="104"/>
      <c r="J1690" s="104"/>
      <c r="K1690" s="104"/>
      <c r="L1690" s="104"/>
      <c r="R1690" s="105"/>
      <c r="S1690" s="105"/>
      <c r="T1690" s="105"/>
      <c r="U1690" s="105"/>
      <c r="V1690" s="105"/>
      <c r="W1690" s="105"/>
      <c r="AD1690" s="106"/>
      <c r="AE1690" s="97"/>
      <c r="AF1690" s="97"/>
      <c r="AG1690" s="97"/>
      <c r="AH1690" s="97"/>
      <c r="AI1690" s="97"/>
      <c r="AJ1690" s="97"/>
      <c r="AK1690" s="97"/>
      <c r="AL1690" s="97"/>
      <c r="AM1690" s="97"/>
      <c r="AN1690" s="97"/>
      <c r="AO1690" s="97"/>
      <c r="AP1690" s="97"/>
      <c r="AQ1690" s="97"/>
    </row>
    <row r="1691" spans="2:43" s="101" customFormat="1" ht="15" customHeight="1">
      <c r="B1691" s="104"/>
      <c r="C1691" s="104"/>
      <c r="D1691" s="104"/>
      <c r="E1691" s="104"/>
      <c r="F1691" s="104"/>
      <c r="G1691" s="104"/>
      <c r="H1691" s="104"/>
      <c r="I1691" s="104"/>
      <c r="J1691" s="104"/>
      <c r="K1691" s="104"/>
      <c r="L1691" s="104"/>
      <c r="R1691" s="105"/>
      <c r="S1691" s="105"/>
      <c r="T1691" s="105"/>
      <c r="U1691" s="105"/>
      <c r="V1691" s="105"/>
      <c r="W1691" s="105"/>
      <c r="AD1691" s="106"/>
      <c r="AE1691" s="97"/>
      <c r="AF1691" s="97"/>
      <c r="AG1691" s="97"/>
      <c r="AH1691" s="97"/>
      <c r="AI1691" s="97"/>
      <c r="AJ1691" s="97"/>
      <c r="AK1691" s="97"/>
      <c r="AL1691" s="97"/>
      <c r="AM1691" s="97"/>
      <c r="AN1691" s="97"/>
      <c r="AO1691" s="97"/>
      <c r="AP1691" s="97"/>
      <c r="AQ1691" s="97"/>
    </row>
    <row r="1692" spans="2:43" s="101" customFormat="1" ht="15" customHeight="1">
      <c r="B1692" s="104"/>
      <c r="C1692" s="104"/>
      <c r="D1692" s="104"/>
      <c r="E1692" s="104"/>
      <c r="F1692" s="104"/>
      <c r="G1692" s="104"/>
      <c r="H1692" s="104"/>
      <c r="I1692" s="104"/>
      <c r="J1692" s="104"/>
      <c r="K1692" s="104"/>
      <c r="L1692" s="104"/>
      <c r="R1692" s="105"/>
      <c r="S1692" s="105"/>
      <c r="T1692" s="105"/>
      <c r="U1692" s="105"/>
      <c r="V1692" s="105"/>
      <c r="W1692" s="105"/>
      <c r="AD1692" s="106"/>
      <c r="AE1692" s="97"/>
      <c r="AF1692" s="97"/>
      <c r="AG1692" s="97"/>
      <c r="AH1692" s="97"/>
      <c r="AI1692" s="97"/>
      <c r="AJ1692" s="97"/>
      <c r="AK1692" s="97"/>
      <c r="AL1692" s="97"/>
      <c r="AM1692" s="97"/>
      <c r="AN1692" s="97"/>
      <c r="AO1692" s="97"/>
      <c r="AP1692" s="97"/>
      <c r="AQ1692" s="97"/>
    </row>
    <row r="1693" spans="2:43" s="101" customFormat="1" ht="15" customHeight="1">
      <c r="B1693" s="104"/>
      <c r="C1693" s="104"/>
      <c r="D1693" s="104"/>
      <c r="E1693" s="104"/>
      <c r="F1693" s="104"/>
      <c r="G1693" s="104"/>
      <c r="H1693" s="104"/>
      <c r="I1693" s="104"/>
      <c r="J1693" s="104"/>
      <c r="K1693" s="104"/>
      <c r="L1693" s="104"/>
      <c r="R1693" s="105"/>
      <c r="S1693" s="105"/>
      <c r="T1693" s="105"/>
      <c r="U1693" s="105"/>
      <c r="V1693" s="105"/>
      <c r="W1693" s="105"/>
      <c r="AD1693" s="106"/>
      <c r="AE1693" s="97"/>
      <c r="AF1693" s="97"/>
      <c r="AG1693" s="97"/>
      <c r="AH1693" s="97"/>
      <c r="AI1693" s="97"/>
      <c r="AJ1693" s="97"/>
      <c r="AK1693" s="97"/>
      <c r="AL1693" s="97"/>
      <c r="AM1693" s="97"/>
      <c r="AN1693" s="97"/>
      <c r="AO1693" s="97"/>
      <c r="AP1693" s="97"/>
      <c r="AQ1693" s="97"/>
    </row>
    <row r="1694" spans="2:43" s="101" customFormat="1" ht="15" customHeight="1">
      <c r="B1694" s="104"/>
      <c r="C1694" s="104"/>
      <c r="D1694" s="104"/>
      <c r="E1694" s="104"/>
      <c r="F1694" s="104"/>
      <c r="G1694" s="104"/>
      <c r="H1694" s="104"/>
      <c r="I1694" s="104"/>
      <c r="J1694" s="104"/>
      <c r="K1694" s="104"/>
      <c r="L1694" s="104"/>
      <c r="R1694" s="105"/>
      <c r="S1694" s="105"/>
      <c r="T1694" s="105"/>
      <c r="U1694" s="105"/>
      <c r="V1694" s="105"/>
      <c r="W1694" s="105"/>
      <c r="AD1694" s="106"/>
      <c r="AE1694" s="97"/>
      <c r="AF1694" s="97"/>
      <c r="AG1694" s="97"/>
      <c r="AH1694" s="97"/>
      <c r="AI1694" s="97"/>
      <c r="AJ1694" s="97"/>
      <c r="AK1694" s="97"/>
      <c r="AL1694" s="97"/>
      <c r="AM1694" s="97"/>
      <c r="AN1694" s="97"/>
      <c r="AO1694" s="97"/>
      <c r="AP1694" s="97"/>
      <c r="AQ1694" s="97"/>
    </row>
    <row r="1695" spans="2:43" s="101" customFormat="1" ht="15" customHeight="1">
      <c r="B1695" s="104"/>
      <c r="C1695" s="104"/>
      <c r="D1695" s="104"/>
      <c r="E1695" s="104"/>
      <c r="F1695" s="104"/>
      <c r="G1695" s="104"/>
      <c r="H1695" s="104"/>
      <c r="I1695" s="104"/>
      <c r="J1695" s="104"/>
      <c r="K1695" s="104"/>
      <c r="L1695" s="104"/>
      <c r="R1695" s="105"/>
      <c r="S1695" s="105"/>
      <c r="T1695" s="105"/>
      <c r="U1695" s="105"/>
      <c r="V1695" s="105"/>
      <c r="W1695" s="105"/>
      <c r="AD1695" s="106"/>
      <c r="AE1695" s="97"/>
      <c r="AF1695" s="97"/>
      <c r="AG1695" s="97"/>
      <c r="AH1695" s="97"/>
      <c r="AI1695" s="97"/>
      <c r="AJ1695" s="97"/>
      <c r="AK1695" s="97"/>
      <c r="AL1695" s="97"/>
      <c r="AM1695" s="97"/>
      <c r="AN1695" s="97"/>
      <c r="AO1695" s="97"/>
      <c r="AP1695" s="97"/>
      <c r="AQ1695" s="97"/>
    </row>
    <row r="1696" spans="2:43" s="101" customFormat="1" ht="15" customHeight="1">
      <c r="B1696" s="104"/>
      <c r="C1696" s="104"/>
      <c r="D1696" s="104"/>
      <c r="E1696" s="104"/>
      <c r="F1696" s="104"/>
      <c r="G1696" s="104"/>
      <c r="H1696" s="104"/>
      <c r="I1696" s="104"/>
      <c r="J1696" s="104"/>
      <c r="K1696" s="104"/>
      <c r="L1696" s="104"/>
      <c r="R1696" s="105"/>
      <c r="S1696" s="105"/>
      <c r="T1696" s="105"/>
      <c r="U1696" s="105"/>
      <c r="V1696" s="105"/>
      <c r="W1696" s="105"/>
      <c r="AD1696" s="106"/>
      <c r="AE1696" s="97"/>
      <c r="AF1696" s="97"/>
      <c r="AG1696" s="97"/>
      <c r="AH1696" s="97"/>
      <c r="AI1696" s="97"/>
      <c r="AJ1696" s="97"/>
      <c r="AK1696" s="97"/>
      <c r="AL1696" s="97"/>
      <c r="AM1696" s="97"/>
      <c r="AN1696" s="97"/>
      <c r="AO1696" s="97"/>
      <c r="AP1696" s="97"/>
      <c r="AQ1696" s="97"/>
    </row>
    <row r="1697" spans="2:43" s="101" customFormat="1" ht="15" customHeight="1">
      <c r="B1697" s="104"/>
      <c r="C1697" s="104"/>
      <c r="D1697" s="104"/>
      <c r="E1697" s="104"/>
      <c r="F1697" s="104"/>
      <c r="G1697" s="104"/>
      <c r="H1697" s="104"/>
      <c r="I1697" s="104"/>
      <c r="J1697" s="104"/>
      <c r="K1697" s="104"/>
      <c r="L1697" s="104"/>
      <c r="R1697" s="105"/>
      <c r="S1697" s="105"/>
      <c r="T1697" s="105"/>
      <c r="U1697" s="105"/>
      <c r="V1697" s="105"/>
      <c r="W1697" s="105"/>
      <c r="AD1697" s="106"/>
      <c r="AE1697" s="97"/>
      <c r="AF1697" s="97"/>
      <c r="AG1697" s="97"/>
      <c r="AH1697" s="97"/>
      <c r="AI1697" s="97"/>
      <c r="AJ1697" s="97"/>
      <c r="AK1697" s="97"/>
      <c r="AL1697" s="97"/>
      <c r="AM1697" s="97"/>
      <c r="AN1697" s="97"/>
      <c r="AO1697" s="97"/>
      <c r="AP1697" s="97"/>
      <c r="AQ1697" s="97"/>
    </row>
    <row r="1698" spans="2:43" s="101" customFormat="1" ht="15" customHeight="1">
      <c r="B1698" s="104"/>
      <c r="C1698" s="104"/>
      <c r="D1698" s="104"/>
      <c r="E1698" s="104"/>
      <c r="F1698" s="104"/>
      <c r="G1698" s="104"/>
      <c r="H1698" s="104"/>
      <c r="I1698" s="104"/>
      <c r="J1698" s="104"/>
      <c r="K1698" s="104"/>
      <c r="L1698" s="104"/>
      <c r="R1698" s="105"/>
      <c r="S1698" s="105"/>
      <c r="T1698" s="105"/>
      <c r="U1698" s="105"/>
      <c r="V1698" s="105"/>
      <c r="W1698" s="105"/>
      <c r="AD1698" s="106"/>
      <c r="AE1698" s="97"/>
      <c r="AF1698" s="97"/>
      <c r="AG1698" s="97"/>
      <c r="AH1698" s="97"/>
      <c r="AI1698" s="97"/>
      <c r="AJ1698" s="97"/>
      <c r="AK1698" s="97"/>
      <c r="AL1698" s="97"/>
      <c r="AM1698" s="97"/>
      <c r="AN1698" s="97"/>
      <c r="AO1698" s="97"/>
      <c r="AP1698" s="97"/>
      <c r="AQ1698" s="97"/>
    </row>
    <row r="1699" spans="2:43" s="101" customFormat="1" ht="15" customHeight="1">
      <c r="B1699" s="104"/>
      <c r="C1699" s="104"/>
      <c r="D1699" s="104"/>
      <c r="E1699" s="104"/>
      <c r="F1699" s="104"/>
      <c r="G1699" s="104"/>
      <c r="H1699" s="104"/>
      <c r="I1699" s="104"/>
      <c r="J1699" s="104"/>
      <c r="K1699" s="104"/>
      <c r="L1699" s="104"/>
      <c r="R1699" s="105"/>
      <c r="S1699" s="105"/>
      <c r="T1699" s="105"/>
      <c r="U1699" s="105"/>
      <c r="V1699" s="105"/>
      <c r="W1699" s="105"/>
      <c r="AD1699" s="106"/>
      <c r="AE1699" s="97"/>
      <c r="AF1699" s="97"/>
      <c r="AG1699" s="97"/>
      <c r="AH1699" s="97"/>
      <c r="AI1699" s="97"/>
      <c r="AJ1699" s="97"/>
      <c r="AK1699" s="97"/>
      <c r="AL1699" s="97"/>
      <c r="AM1699" s="97"/>
      <c r="AN1699" s="97"/>
      <c r="AO1699" s="97"/>
      <c r="AP1699" s="97"/>
      <c r="AQ1699" s="97"/>
    </row>
    <row r="1700" spans="2:43" s="101" customFormat="1" ht="15" customHeight="1">
      <c r="B1700" s="104"/>
      <c r="C1700" s="104"/>
      <c r="D1700" s="104"/>
      <c r="E1700" s="104"/>
      <c r="F1700" s="104"/>
      <c r="G1700" s="104"/>
      <c r="H1700" s="104"/>
      <c r="I1700" s="104"/>
      <c r="J1700" s="104"/>
      <c r="K1700" s="104"/>
      <c r="L1700" s="104"/>
      <c r="R1700" s="105"/>
      <c r="S1700" s="105"/>
      <c r="T1700" s="105"/>
      <c r="U1700" s="105"/>
      <c r="V1700" s="105"/>
      <c r="W1700" s="105"/>
      <c r="AD1700" s="106"/>
      <c r="AE1700" s="97"/>
      <c r="AF1700" s="97"/>
      <c r="AG1700" s="97"/>
      <c r="AH1700" s="97"/>
      <c r="AI1700" s="97"/>
      <c r="AJ1700" s="97"/>
      <c r="AK1700" s="97"/>
      <c r="AL1700" s="97"/>
      <c r="AM1700" s="97"/>
      <c r="AN1700" s="97"/>
      <c r="AO1700" s="97"/>
      <c r="AP1700" s="97"/>
      <c r="AQ1700" s="97"/>
    </row>
    <row r="1701" spans="2:43" s="101" customFormat="1" ht="15" customHeight="1">
      <c r="B1701" s="104"/>
      <c r="C1701" s="104"/>
      <c r="D1701" s="104"/>
      <c r="E1701" s="104"/>
      <c r="F1701" s="104"/>
      <c r="G1701" s="104"/>
      <c r="H1701" s="104"/>
      <c r="I1701" s="104"/>
      <c r="J1701" s="104"/>
      <c r="K1701" s="104"/>
      <c r="L1701" s="104"/>
      <c r="R1701" s="105"/>
      <c r="S1701" s="105"/>
      <c r="T1701" s="105"/>
      <c r="U1701" s="105"/>
      <c r="V1701" s="105"/>
      <c r="W1701" s="105"/>
      <c r="AD1701" s="106"/>
      <c r="AE1701" s="97"/>
      <c r="AF1701" s="97"/>
      <c r="AG1701" s="97"/>
      <c r="AH1701" s="97"/>
      <c r="AI1701" s="97"/>
      <c r="AJ1701" s="97"/>
      <c r="AK1701" s="97"/>
      <c r="AL1701" s="97"/>
      <c r="AM1701" s="97"/>
      <c r="AN1701" s="97"/>
      <c r="AO1701" s="97"/>
      <c r="AP1701" s="97"/>
      <c r="AQ1701" s="97"/>
    </row>
    <row r="1702" spans="2:43" s="101" customFormat="1" ht="15" customHeight="1">
      <c r="B1702" s="104"/>
      <c r="C1702" s="104"/>
      <c r="D1702" s="104"/>
      <c r="E1702" s="104"/>
      <c r="F1702" s="104"/>
      <c r="G1702" s="104"/>
      <c r="H1702" s="104"/>
      <c r="I1702" s="104"/>
      <c r="J1702" s="104"/>
      <c r="K1702" s="104"/>
      <c r="L1702" s="104"/>
      <c r="R1702" s="105"/>
      <c r="S1702" s="105"/>
      <c r="T1702" s="105"/>
      <c r="U1702" s="105"/>
      <c r="V1702" s="105"/>
      <c r="W1702" s="105"/>
      <c r="AD1702" s="106"/>
      <c r="AE1702" s="97"/>
      <c r="AF1702" s="97"/>
      <c r="AG1702" s="97"/>
      <c r="AH1702" s="97"/>
      <c r="AI1702" s="97"/>
      <c r="AJ1702" s="97"/>
      <c r="AK1702" s="97"/>
      <c r="AL1702" s="97"/>
      <c r="AM1702" s="97"/>
      <c r="AN1702" s="97"/>
      <c r="AO1702" s="97"/>
      <c r="AP1702" s="97"/>
      <c r="AQ1702" s="97"/>
    </row>
    <row r="1703" spans="2:43" s="101" customFormat="1" ht="15" customHeight="1">
      <c r="B1703" s="104"/>
      <c r="C1703" s="104"/>
      <c r="D1703" s="104"/>
      <c r="E1703" s="104"/>
      <c r="F1703" s="104"/>
      <c r="G1703" s="104"/>
      <c r="H1703" s="104"/>
      <c r="I1703" s="104"/>
      <c r="J1703" s="104"/>
      <c r="K1703" s="104"/>
      <c r="L1703" s="104"/>
      <c r="R1703" s="105"/>
      <c r="S1703" s="105"/>
      <c r="T1703" s="105"/>
      <c r="U1703" s="105"/>
      <c r="V1703" s="105"/>
      <c r="W1703" s="105"/>
      <c r="AD1703" s="106"/>
      <c r="AE1703" s="97"/>
      <c r="AF1703" s="97"/>
      <c r="AG1703" s="97"/>
      <c r="AH1703" s="97"/>
      <c r="AI1703" s="97"/>
      <c r="AJ1703" s="97"/>
      <c r="AK1703" s="97"/>
      <c r="AL1703" s="97"/>
      <c r="AM1703" s="97"/>
      <c r="AN1703" s="97"/>
      <c r="AO1703" s="97"/>
      <c r="AP1703" s="97"/>
      <c r="AQ1703" s="97"/>
    </row>
    <row r="1704" spans="2:43" s="101" customFormat="1" ht="15" customHeight="1">
      <c r="B1704" s="104"/>
      <c r="C1704" s="104"/>
      <c r="D1704" s="104"/>
      <c r="E1704" s="104"/>
      <c r="F1704" s="104"/>
      <c r="G1704" s="104"/>
      <c r="H1704" s="104"/>
      <c r="I1704" s="104"/>
      <c r="J1704" s="104"/>
      <c r="K1704" s="104"/>
      <c r="L1704" s="104"/>
      <c r="R1704" s="105"/>
      <c r="S1704" s="105"/>
      <c r="T1704" s="105"/>
      <c r="U1704" s="105"/>
      <c r="V1704" s="105"/>
      <c r="W1704" s="105"/>
      <c r="AD1704" s="106"/>
      <c r="AE1704" s="97"/>
      <c r="AF1704" s="97"/>
      <c r="AG1704" s="97"/>
      <c r="AH1704" s="97"/>
      <c r="AI1704" s="97"/>
      <c r="AJ1704" s="97"/>
      <c r="AK1704" s="97"/>
      <c r="AL1704" s="97"/>
      <c r="AM1704" s="97"/>
      <c r="AN1704" s="97"/>
      <c r="AO1704" s="97"/>
      <c r="AP1704" s="97"/>
      <c r="AQ1704" s="97"/>
    </row>
    <row r="1705" spans="2:43" s="101" customFormat="1" ht="15" customHeight="1">
      <c r="B1705" s="104"/>
      <c r="C1705" s="104"/>
      <c r="D1705" s="104"/>
      <c r="E1705" s="104"/>
      <c r="F1705" s="104"/>
      <c r="G1705" s="104"/>
      <c r="H1705" s="104"/>
      <c r="I1705" s="104"/>
      <c r="J1705" s="104"/>
      <c r="K1705" s="104"/>
      <c r="L1705" s="104"/>
      <c r="R1705" s="105"/>
      <c r="S1705" s="105"/>
      <c r="T1705" s="105"/>
      <c r="U1705" s="105"/>
      <c r="V1705" s="105"/>
      <c r="W1705" s="105"/>
      <c r="AD1705" s="106"/>
      <c r="AE1705" s="97"/>
      <c r="AF1705" s="97"/>
      <c r="AG1705" s="97"/>
      <c r="AH1705" s="97"/>
      <c r="AI1705" s="97"/>
      <c r="AJ1705" s="97"/>
      <c r="AK1705" s="97"/>
      <c r="AL1705" s="97"/>
      <c r="AM1705" s="97"/>
      <c r="AN1705" s="97"/>
      <c r="AO1705" s="97"/>
      <c r="AP1705" s="97"/>
      <c r="AQ1705" s="97"/>
    </row>
    <row r="1706" spans="2:43" s="101" customFormat="1" ht="15" customHeight="1">
      <c r="B1706" s="104"/>
      <c r="C1706" s="104"/>
      <c r="D1706" s="104"/>
      <c r="E1706" s="104"/>
      <c r="F1706" s="104"/>
      <c r="G1706" s="104"/>
      <c r="H1706" s="104"/>
      <c r="I1706" s="104"/>
      <c r="J1706" s="104"/>
      <c r="K1706" s="104"/>
      <c r="L1706" s="104"/>
      <c r="R1706" s="105"/>
      <c r="S1706" s="105"/>
      <c r="T1706" s="105"/>
      <c r="U1706" s="105"/>
      <c r="V1706" s="105"/>
      <c r="W1706" s="105"/>
      <c r="AD1706" s="106"/>
      <c r="AE1706" s="97"/>
      <c r="AF1706" s="97"/>
      <c r="AG1706" s="97"/>
      <c r="AH1706" s="97"/>
      <c r="AI1706" s="97"/>
      <c r="AJ1706" s="97"/>
      <c r="AK1706" s="97"/>
      <c r="AL1706" s="97"/>
      <c r="AM1706" s="97"/>
      <c r="AN1706" s="97"/>
      <c r="AO1706" s="97"/>
      <c r="AP1706" s="97"/>
      <c r="AQ1706" s="97"/>
    </row>
    <row r="1707" spans="2:43" s="101" customFormat="1" ht="15" customHeight="1">
      <c r="B1707" s="104"/>
      <c r="C1707" s="104"/>
      <c r="D1707" s="104"/>
      <c r="E1707" s="104"/>
      <c r="F1707" s="104"/>
      <c r="G1707" s="104"/>
      <c r="H1707" s="104"/>
      <c r="I1707" s="104"/>
      <c r="J1707" s="104"/>
      <c r="K1707" s="104"/>
      <c r="L1707" s="104"/>
      <c r="R1707" s="105"/>
      <c r="S1707" s="105"/>
      <c r="T1707" s="105"/>
      <c r="U1707" s="105"/>
      <c r="V1707" s="105"/>
      <c r="W1707" s="105"/>
      <c r="AD1707" s="106"/>
      <c r="AE1707" s="97"/>
      <c r="AF1707" s="97"/>
      <c r="AG1707" s="97"/>
      <c r="AH1707" s="97"/>
      <c r="AI1707" s="97"/>
      <c r="AJ1707" s="97"/>
      <c r="AK1707" s="97"/>
      <c r="AL1707" s="97"/>
      <c r="AM1707" s="97"/>
      <c r="AN1707" s="97"/>
      <c r="AO1707" s="97"/>
      <c r="AP1707" s="97"/>
      <c r="AQ1707" s="97"/>
    </row>
    <row r="1708" spans="2:43" s="101" customFormat="1" ht="15" customHeight="1">
      <c r="B1708" s="104"/>
      <c r="C1708" s="104"/>
      <c r="D1708" s="104"/>
      <c r="E1708" s="104"/>
      <c r="F1708" s="104"/>
      <c r="G1708" s="104"/>
      <c r="H1708" s="104"/>
      <c r="I1708" s="104"/>
      <c r="J1708" s="104"/>
      <c r="K1708" s="104"/>
      <c r="L1708" s="104"/>
      <c r="R1708" s="105"/>
      <c r="S1708" s="105"/>
      <c r="T1708" s="105"/>
      <c r="U1708" s="105"/>
      <c r="V1708" s="105"/>
      <c r="W1708" s="105"/>
      <c r="AD1708" s="106"/>
      <c r="AE1708" s="97"/>
      <c r="AF1708" s="97"/>
      <c r="AG1708" s="97"/>
      <c r="AH1708" s="97"/>
      <c r="AI1708" s="97"/>
      <c r="AJ1708" s="97"/>
      <c r="AK1708" s="97"/>
      <c r="AL1708" s="97"/>
      <c r="AM1708" s="97"/>
      <c r="AN1708" s="97"/>
      <c r="AO1708" s="97"/>
      <c r="AP1708" s="97"/>
      <c r="AQ1708" s="97"/>
    </row>
    <row r="1709" spans="2:43" s="101" customFormat="1" ht="15" customHeight="1">
      <c r="B1709" s="104"/>
      <c r="C1709" s="104"/>
      <c r="D1709" s="104"/>
      <c r="E1709" s="104"/>
      <c r="F1709" s="104"/>
      <c r="G1709" s="104"/>
      <c r="H1709" s="104"/>
      <c r="I1709" s="104"/>
      <c r="J1709" s="104"/>
      <c r="K1709" s="104"/>
      <c r="L1709" s="104"/>
      <c r="R1709" s="105"/>
      <c r="S1709" s="105"/>
      <c r="T1709" s="105"/>
      <c r="U1709" s="105"/>
      <c r="V1709" s="105"/>
      <c r="W1709" s="105"/>
      <c r="AD1709" s="106"/>
      <c r="AE1709" s="97"/>
      <c r="AF1709" s="97"/>
      <c r="AG1709" s="97"/>
      <c r="AH1709" s="97"/>
      <c r="AI1709" s="97"/>
      <c r="AJ1709" s="97"/>
      <c r="AK1709" s="97"/>
      <c r="AL1709" s="97"/>
      <c r="AM1709" s="97"/>
      <c r="AN1709" s="97"/>
      <c r="AO1709" s="97"/>
      <c r="AP1709" s="97"/>
      <c r="AQ1709" s="97"/>
    </row>
    <row r="1710" spans="2:43" s="101" customFormat="1" ht="15" customHeight="1">
      <c r="B1710" s="104"/>
      <c r="C1710" s="104"/>
      <c r="D1710" s="104"/>
      <c r="E1710" s="104"/>
      <c r="F1710" s="104"/>
      <c r="G1710" s="104"/>
      <c r="H1710" s="104"/>
      <c r="I1710" s="104"/>
      <c r="J1710" s="104"/>
      <c r="K1710" s="104"/>
      <c r="L1710" s="104"/>
      <c r="R1710" s="105"/>
      <c r="S1710" s="105"/>
      <c r="T1710" s="105"/>
      <c r="U1710" s="105"/>
      <c r="V1710" s="105"/>
      <c r="W1710" s="105"/>
      <c r="AD1710" s="106"/>
      <c r="AE1710" s="97"/>
      <c r="AF1710" s="97"/>
      <c r="AG1710" s="97"/>
      <c r="AH1710" s="97"/>
      <c r="AI1710" s="97"/>
      <c r="AJ1710" s="97"/>
      <c r="AK1710" s="97"/>
      <c r="AL1710" s="97"/>
      <c r="AM1710" s="97"/>
      <c r="AN1710" s="97"/>
      <c r="AO1710" s="97"/>
      <c r="AP1710" s="97"/>
      <c r="AQ1710" s="97"/>
    </row>
    <row r="1711" spans="2:43" s="101" customFormat="1" ht="15" customHeight="1">
      <c r="B1711" s="104"/>
      <c r="C1711" s="104"/>
      <c r="D1711" s="104"/>
      <c r="E1711" s="104"/>
      <c r="F1711" s="104"/>
      <c r="G1711" s="104"/>
      <c r="H1711" s="104"/>
      <c r="I1711" s="104"/>
      <c r="J1711" s="104"/>
      <c r="K1711" s="104"/>
      <c r="L1711" s="104"/>
      <c r="R1711" s="105"/>
      <c r="S1711" s="105"/>
      <c r="T1711" s="105"/>
      <c r="U1711" s="105"/>
      <c r="V1711" s="105"/>
      <c r="W1711" s="105"/>
      <c r="AD1711" s="106"/>
      <c r="AE1711" s="97"/>
      <c r="AF1711" s="97"/>
      <c r="AG1711" s="97"/>
      <c r="AH1711" s="97"/>
      <c r="AI1711" s="97"/>
      <c r="AJ1711" s="97"/>
      <c r="AK1711" s="97"/>
      <c r="AL1711" s="97"/>
      <c r="AM1711" s="97"/>
      <c r="AN1711" s="97"/>
      <c r="AO1711" s="97"/>
      <c r="AP1711" s="97"/>
      <c r="AQ1711" s="97"/>
    </row>
    <row r="1712" spans="2:43" s="101" customFormat="1" ht="15" customHeight="1">
      <c r="B1712" s="104"/>
      <c r="C1712" s="104"/>
      <c r="D1712" s="104"/>
      <c r="E1712" s="104"/>
      <c r="F1712" s="104"/>
      <c r="G1712" s="104"/>
      <c r="H1712" s="104"/>
      <c r="I1712" s="104"/>
      <c r="J1712" s="104"/>
      <c r="K1712" s="104"/>
      <c r="L1712" s="104"/>
      <c r="R1712" s="105"/>
      <c r="S1712" s="105"/>
      <c r="T1712" s="105"/>
      <c r="U1712" s="105"/>
      <c r="V1712" s="105"/>
      <c r="W1712" s="105"/>
      <c r="AD1712" s="106"/>
      <c r="AE1712" s="97"/>
      <c r="AF1712" s="97"/>
      <c r="AG1712" s="97"/>
      <c r="AH1712" s="97"/>
      <c r="AI1712" s="97"/>
      <c r="AJ1712" s="97"/>
      <c r="AK1712" s="97"/>
      <c r="AL1712" s="97"/>
      <c r="AM1712" s="97"/>
      <c r="AN1712" s="97"/>
      <c r="AO1712" s="97"/>
      <c r="AP1712" s="97"/>
      <c r="AQ1712" s="97"/>
    </row>
    <row r="1713" spans="2:43" s="101" customFormat="1" ht="15" customHeight="1">
      <c r="B1713" s="104"/>
      <c r="C1713" s="104"/>
      <c r="D1713" s="104"/>
      <c r="E1713" s="104"/>
      <c r="F1713" s="104"/>
      <c r="G1713" s="104"/>
      <c r="H1713" s="104"/>
      <c r="I1713" s="104"/>
      <c r="J1713" s="104"/>
      <c r="K1713" s="104"/>
      <c r="L1713" s="104"/>
      <c r="R1713" s="105"/>
      <c r="S1713" s="105"/>
      <c r="T1713" s="105"/>
      <c r="U1713" s="105"/>
      <c r="V1713" s="105"/>
      <c r="W1713" s="105"/>
      <c r="AD1713" s="106"/>
      <c r="AE1713" s="97"/>
      <c r="AF1713" s="97"/>
      <c r="AG1713" s="97"/>
      <c r="AH1713" s="97"/>
      <c r="AI1713" s="97"/>
      <c r="AJ1713" s="97"/>
      <c r="AK1713" s="97"/>
      <c r="AL1713" s="97"/>
      <c r="AM1713" s="97"/>
      <c r="AN1713" s="97"/>
      <c r="AO1713" s="97"/>
      <c r="AP1713" s="97"/>
      <c r="AQ1713" s="97"/>
    </row>
    <row r="1714" spans="2:43" s="101" customFormat="1" ht="15" customHeight="1">
      <c r="B1714" s="104"/>
      <c r="C1714" s="104"/>
      <c r="D1714" s="104"/>
      <c r="E1714" s="104"/>
      <c r="F1714" s="104"/>
      <c r="G1714" s="104"/>
      <c r="H1714" s="104"/>
      <c r="I1714" s="104"/>
      <c r="J1714" s="104"/>
      <c r="K1714" s="104"/>
      <c r="L1714" s="104"/>
      <c r="R1714" s="105"/>
      <c r="S1714" s="105"/>
      <c r="T1714" s="105"/>
      <c r="U1714" s="105"/>
      <c r="V1714" s="105"/>
      <c r="W1714" s="105"/>
      <c r="AD1714" s="106"/>
      <c r="AE1714" s="97"/>
      <c r="AF1714" s="97"/>
      <c r="AG1714" s="97"/>
      <c r="AH1714" s="97"/>
      <c r="AI1714" s="97"/>
      <c r="AJ1714" s="97"/>
      <c r="AK1714" s="97"/>
      <c r="AL1714" s="97"/>
      <c r="AM1714" s="97"/>
      <c r="AN1714" s="97"/>
      <c r="AO1714" s="97"/>
      <c r="AP1714" s="97"/>
      <c r="AQ1714" s="97"/>
    </row>
    <row r="1715" spans="2:43" s="101" customFormat="1" ht="15" customHeight="1">
      <c r="B1715" s="104"/>
      <c r="C1715" s="104"/>
      <c r="D1715" s="104"/>
      <c r="E1715" s="104"/>
      <c r="F1715" s="104"/>
      <c r="G1715" s="104"/>
      <c r="H1715" s="104"/>
      <c r="I1715" s="104"/>
      <c r="J1715" s="104"/>
      <c r="K1715" s="104"/>
      <c r="L1715" s="104"/>
      <c r="R1715" s="105"/>
      <c r="S1715" s="105"/>
      <c r="T1715" s="105"/>
      <c r="U1715" s="105"/>
      <c r="V1715" s="105"/>
      <c r="W1715" s="105"/>
      <c r="AD1715" s="106"/>
      <c r="AE1715" s="97"/>
      <c r="AF1715" s="97"/>
      <c r="AG1715" s="97"/>
      <c r="AH1715" s="97"/>
      <c r="AI1715" s="97"/>
      <c r="AJ1715" s="97"/>
      <c r="AK1715" s="97"/>
      <c r="AL1715" s="97"/>
      <c r="AM1715" s="97"/>
      <c r="AN1715" s="97"/>
      <c r="AO1715" s="97"/>
      <c r="AP1715" s="97"/>
      <c r="AQ1715" s="97"/>
    </row>
    <row r="1716" spans="2:43" s="101" customFormat="1" ht="15" customHeight="1">
      <c r="B1716" s="104"/>
      <c r="C1716" s="104"/>
      <c r="D1716" s="104"/>
      <c r="E1716" s="104"/>
      <c r="F1716" s="104"/>
      <c r="G1716" s="104"/>
      <c r="H1716" s="104"/>
      <c r="I1716" s="104"/>
      <c r="J1716" s="104"/>
      <c r="K1716" s="104"/>
      <c r="L1716" s="104"/>
      <c r="R1716" s="105"/>
      <c r="S1716" s="105"/>
      <c r="T1716" s="105"/>
      <c r="U1716" s="105"/>
      <c r="V1716" s="105"/>
      <c r="W1716" s="105"/>
      <c r="AD1716" s="106"/>
      <c r="AE1716" s="97"/>
      <c r="AF1716" s="97"/>
      <c r="AG1716" s="97"/>
      <c r="AH1716" s="97"/>
      <c r="AI1716" s="97"/>
      <c r="AJ1716" s="97"/>
      <c r="AK1716" s="97"/>
      <c r="AL1716" s="97"/>
      <c r="AM1716" s="97"/>
      <c r="AN1716" s="97"/>
      <c r="AO1716" s="97"/>
      <c r="AP1716" s="97"/>
      <c r="AQ1716" s="97"/>
    </row>
    <row r="1717" spans="2:43" s="101" customFormat="1" ht="15" customHeight="1">
      <c r="B1717" s="104"/>
      <c r="C1717" s="104"/>
      <c r="D1717" s="104"/>
      <c r="E1717" s="104"/>
      <c r="F1717" s="104"/>
      <c r="G1717" s="104"/>
      <c r="H1717" s="104"/>
      <c r="I1717" s="104"/>
      <c r="J1717" s="104"/>
      <c r="K1717" s="104"/>
      <c r="L1717" s="104"/>
      <c r="R1717" s="105"/>
      <c r="S1717" s="105"/>
      <c r="T1717" s="105"/>
      <c r="U1717" s="105"/>
      <c r="V1717" s="105"/>
      <c r="W1717" s="105"/>
      <c r="AD1717" s="106"/>
      <c r="AE1717" s="97"/>
      <c r="AF1717" s="97"/>
      <c r="AG1717" s="97"/>
      <c r="AH1717" s="97"/>
      <c r="AI1717" s="97"/>
      <c r="AJ1717" s="97"/>
      <c r="AK1717" s="97"/>
      <c r="AL1717" s="97"/>
      <c r="AM1717" s="97"/>
      <c r="AN1717" s="97"/>
      <c r="AO1717" s="97"/>
      <c r="AP1717" s="97"/>
      <c r="AQ1717" s="97"/>
    </row>
    <row r="1718" spans="2:43" s="101" customFormat="1" ht="15" customHeight="1">
      <c r="B1718" s="104"/>
      <c r="C1718" s="104"/>
      <c r="D1718" s="104"/>
      <c r="E1718" s="104"/>
      <c r="F1718" s="104"/>
      <c r="G1718" s="104"/>
      <c r="H1718" s="104"/>
      <c r="I1718" s="104"/>
      <c r="J1718" s="104"/>
      <c r="K1718" s="104"/>
      <c r="L1718" s="104"/>
      <c r="R1718" s="105"/>
      <c r="S1718" s="105"/>
      <c r="T1718" s="105"/>
      <c r="U1718" s="105"/>
      <c r="V1718" s="105"/>
      <c r="W1718" s="105"/>
      <c r="AD1718" s="106"/>
      <c r="AE1718" s="97"/>
      <c r="AF1718" s="97"/>
      <c r="AG1718" s="97"/>
      <c r="AH1718" s="97"/>
      <c r="AI1718" s="97"/>
      <c r="AJ1718" s="97"/>
      <c r="AK1718" s="97"/>
      <c r="AL1718" s="97"/>
      <c r="AM1718" s="97"/>
      <c r="AN1718" s="97"/>
      <c r="AO1718" s="97"/>
      <c r="AP1718" s="97"/>
      <c r="AQ1718" s="97"/>
    </row>
    <row r="1719" spans="2:43" s="101" customFormat="1" ht="15" customHeight="1">
      <c r="B1719" s="104"/>
      <c r="C1719" s="104"/>
      <c r="D1719" s="104"/>
      <c r="E1719" s="104"/>
      <c r="F1719" s="104"/>
      <c r="G1719" s="104"/>
      <c r="H1719" s="104"/>
      <c r="I1719" s="104"/>
      <c r="J1719" s="104"/>
      <c r="K1719" s="104"/>
      <c r="L1719" s="104"/>
      <c r="R1719" s="105"/>
      <c r="S1719" s="105"/>
      <c r="T1719" s="105"/>
      <c r="U1719" s="105"/>
      <c r="V1719" s="105"/>
      <c r="W1719" s="105"/>
      <c r="AD1719" s="106"/>
      <c r="AE1719" s="97"/>
      <c r="AF1719" s="97"/>
      <c r="AG1719" s="97"/>
      <c r="AH1719" s="97"/>
      <c r="AI1719" s="97"/>
      <c r="AJ1719" s="97"/>
      <c r="AK1719" s="97"/>
      <c r="AL1719" s="97"/>
      <c r="AM1719" s="97"/>
      <c r="AN1719" s="97"/>
      <c r="AO1719" s="97"/>
      <c r="AP1719" s="97"/>
      <c r="AQ1719" s="97"/>
    </row>
    <row r="1720" spans="2:43" s="101" customFormat="1" ht="15" customHeight="1">
      <c r="B1720" s="104"/>
      <c r="C1720" s="104"/>
      <c r="D1720" s="104"/>
      <c r="E1720" s="104"/>
      <c r="F1720" s="104"/>
      <c r="G1720" s="104"/>
      <c r="H1720" s="104"/>
      <c r="I1720" s="104"/>
      <c r="J1720" s="104"/>
      <c r="K1720" s="104"/>
      <c r="L1720" s="104"/>
      <c r="R1720" s="105"/>
      <c r="S1720" s="105"/>
      <c r="T1720" s="105"/>
      <c r="U1720" s="105"/>
      <c r="V1720" s="105"/>
      <c r="W1720" s="105"/>
      <c r="AD1720" s="106"/>
      <c r="AE1720" s="97"/>
      <c r="AF1720" s="97"/>
      <c r="AG1720" s="97"/>
      <c r="AH1720" s="97"/>
      <c r="AI1720" s="97"/>
      <c r="AJ1720" s="97"/>
      <c r="AK1720" s="97"/>
      <c r="AL1720" s="97"/>
      <c r="AM1720" s="97"/>
      <c r="AN1720" s="97"/>
      <c r="AO1720" s="97"/>
      <c r="AP1720" s="97"/>
      <c r="AQ1720" s="97"/>
    </row>
    <row r="1721" spans="2:43" s="101" customFormat="1" ht="15" customHeight="1">
      <c r="B1721" s="104"/>
      <c r="C1721" s="104"/>
      <c r="D1721" s="104"/>
      <c r="E1721" s="104"/>
      <c r="F1721" s="104"/>
      <c r="G1721" s="104"/>
      <c r="H1721" s="104"/>
      <c r="I1721" s="104"/>
      <c r="J1721" s="104"/>
      <c r="K1721" s="104"/>
      <c r="L1721" s="104"/>
      <c r="R1721" s="105"/>
      <c r="S1721" s="105"/>
      <c r="T1721" s="105"/>
      <c r="U1721" s="105"/>
      <c r="V1721" s="105"/>
      <c r="W1721" s="105"/>
      <c r="AD1721" s="106"/>
      <c r="AE1721" s="97"/>
      <c r="AF1721" s="97"/>
      <c r="AG1721" s="97"/>
      <c r="AH1721" s="97"/>
      <c r="AI1721" s="97"/>
      <c r="AJ1721" s="97"/>
      <c r="AK1721" s="97"/>
      <c r="AL1721" s="97"/>
      <c r="AM1721" s="97"/>
      <c r="AN1721" s="97"/>
      <c r="AO1721" s="97"/>
      <c r="AP1721" s="97"/>
      <c r="AQ1721" s="97"/>
    </row>
    <row r="1722" spans="2:43" s="101" customFormat="1" ht="15" customHeight="1">
      <c r="B1722" s="104"/>
      <c r="C1722" s="104"/>
      <c r="D1722" s="104"/>
      <c r="E1722" s="104"/>
      <c r="F1722" s="104"/>
      <c r="G1722" s="104"/>
      <c r="H1722" s="104"/>
      <c r="I1722" s="104"/>
      <c r="J1722" s="104"/>
      <c r="K1722" s="104"/>
      <c r="L1722" s="104"/>
      <c r="R1722" s="105"/>
      <c r="S1722" s="105"/>
      <c r="T1722" s="105"/>
      <c r="U1722" s="105"/>
      <c r="V1722" s="105"/>
      <c r="W1722" s="105"/>
      <c r="AD1722" s="106"/>
      <c r="AE1722" s="97"/>
      <c r="AF1722" s="97"/>
      <c r="AG1722" s="97"/>
      <c r="AH1722" s="97"/>
      <c r="AI1722" s="97"/>
      <c r="AJ1722" s="97"/>
      <c r="AK1722" s="97"/>
      <c r="AL1722" s="97"/>
      <c r="AM1722" s="97"/>
      <c r="AN1722" s="97"/>
      <c r="AO1722" s="97"/>
      <c r="AP1722" s="97"/>
      <c r="AQ1722" s="97"/>
    </row>
    <row r="1723" spans="2:43" s="101" customFormat="1" ht="15" customHeight="1">
      <c r="B1723" s="104"/>
      <c r="C1723" s="104"/>
      <c r="D1723" s="104"/>
      <c r="E1723" s="104"/>
      <c r="F1723" s="104"/>
      <c r="G1723" s="104"/>
      <c r="H1723" s="104"/>
      <c r="I1723" s="104"/>
      <c r="J1723" s="104"/>
      <c r="K1723" s="104"/>
      <c r="L1723" s="104"/>
      <c r="R1723" s="105"/>
      <c r="S1723" s="105"/>
      <c r="T1723" s="105"/>
      <c r="U1723" s="105"/>
      <c r="V1723" s="105"/>
      <c r="W1723" s="105"/>
      <c r="AD1723" s="106"/>
      <c r="AE1723" s="97"/>
      <c r="AF1723" s="97"/>
      <c r="AG1723" s="97"/>
      <c r="AH1723" s="97"/>
      <c r="AI1723" s="97"/>
      <c r="AJ1723" s="97"/>
      <c r="AK1723" s="97"/>
      <c r="AL1723" s="97"/>
      <c r="AM1723" s="97"/>
      <c r="AN1723" s="97"/>
      <c r="AO1723" s="97"/>
      <c r="AP1723" s="97"/>
      <c r="AQ1723" s="97"/>
    </row>
    <row r="1724" spans="2:43" s="101" customFormat="1" ht="15" customHeight="1">
      <c r="B1724" s="104"/>
      <c r="C1724" s="104"/>
      <c r="D1724" s="104"/>
      <c r="E1724" s="104"/>
      <c r="F1724" s="104"/>
      <c r="G1724" s="104"/>
      <c r="H1724" s="104"/>
      <c r="I1724" s="104"/>
      <c r="J1724" s="104"/>
      <c r="K1724" s="104"/>
      <c r="L1724" s="104"/>
      <c r="R1724" s="105"/>
      <c r="S1724" s="105"/>
      <c r="T1724" s="105"/>
      <c r="U1724" s="105"/>
      <c r="V1724" s="105"/>
      <c r="W1724" s="105"/>
      <c r="AD1724" s="106"/>
      <c r="AE1724" s="97"/>
      <c r="AF1724" s="97"/>
      <c r="AG1724" s="97"/>
      <c r="AH1724" s="97"/>
      <c r="AI1724" s="97"/>
      <c r="AJ1724" s="97"/>
      <c r="AK1724" s="97"/>
      <c r="AL1724" s="97"/>
      <c r="AM1724" s="97"/>
      <c r="AN1724" s="97"/>
      <c r="AO1724" s="97"/>
      <c r="AP1724" s="97"/>
      <c r="AQ1724" s="97"/>
    </row>
    <row r="1725" spans="2:43" s="101" customFormat="1" ht="15" customHeight="1">
      <c r="B1725" s="104"/>
      <c r="C1725" s="104"/>
      <c r="D1725" s="104"/>
      <c r="E1725" s="104"/>
      <c r="F1725" s="104"/>
      <c r="G1725" s="104"/>
      <c r="H1725" s="104"/>
      <c r="I1725" s="104"/>
      <c r="J1725" s="104"/>
      <c r="K1725" s="104"/>
      <c r="L1725" s="104"/>
      <c r="R1725" s="105"/>
      <c r="S1725" s="105"/>
      <c r="T1725" s="105"/>
      <c r="U1725" s="105"/>
      <c r="V1725" s="105"/>
      <c r="W1725" s="105"/>
      <c r="AD1725" s="106"/>
      <c r="AE1725" s="97"/>
      <c r="AF1725" s="97"/>
      <c r="AG1725" s="97"/>
      <c r="AH1725" s="97"/>
      <c r="AI1725" s="97"/>
      <c r="AJ1725" s="97"/>
      <c r="AK1725" s="97"/>
      <c r="AL1725" s="97"/>
      <c r="AM1725" s="97"/>
      <c r="AN1725" s="97"/>
      <c r="AO1725" s="97"/>
      <c r="AP1725" s="97"/>
      <c r="AQ1725" s="97"/>
    </row>
    <row r="1726" spans="2:43" s="101" customFormat="1" ht="15" customHeight="1">
      <c r="B1726" s="104"/>
      <c r="C1726" s="104"/>
      <c r="D1726" s="104"/>
      <c r="E1726" s="104"/>
      <c r="F1726" s="104"/>
      <c r="G1726" s="104"/>
      <c r="H1726" s="104"/>
      <c r="I1726" s="104"/>
      <c r="J1726" s="104"/>
      <c r="K1726" s="104"/>
      <c r="L1726" s="104"/>
      <c r="R1726" s="105"/>
      <c r="S1726" s="105"/>
      <c r="T1726" s="105"/>
      <c r="U1726" s="105"/>
      <c r="V1726" s="105"/>
      <c r="W1726" s="105"/>
      <c r="AD1726" s="106"/>
      <c r="AE1726" s="97"/>
      <c r="AF1726" s="97"/>
      <c r="AG1726" s="97"/>
      <c r="AH1726" s="97"/>
      <c r="AI1726" s="97"/>
      <c r="AJ1726" s="97"/>
      <c r="AK1726" s="97"/>
      <c r="AL1726" s="97"/>
      <c r="AM1726" s="97"/>
      <c r="AN1726" s="97"/>
      <c r="AO1726" s="97"/>
      <c r="AP1726" s="97"/>
      <c r="AQ1726" s="97"/>
    </row>
    <row r="1727" spans="2:43" s="101" customFormat="1" ht="15" customHeight="1">
      <c r="B1727" s="104"/>
      <c r="C1727" s="104"/>
      <c r="D1727" s="104"/>
      <c r="E1727" s="104"/>
      <c r="F1727" s="104"/>
      <c r="G1727" s="104"/>
      <c r="H1727" s="104"/>
      <c r="I1727" s="104"/>
      <c r="J1727" s="104"/>
      <c r="K1727" s="104"/>
      <c r="L1727" s="104"/>
      <c r="R1727" s="105"/>
      <c r="S1727" s="105"/>
      <c r="T1727" s="105"/>
      <c r="U1727" s="105"/>
      <c r="V1727" s="105"/>
      <c r="W1727" s="105"/>
      <c r="AD1727" s="106"/>
      <c r="AE1727" s="97"/>
      <c r="AF1727" s="97"/>
      <c r="AG1727" s="97"/>
      <c r="AH1727" s="97"/>
      <c r="AI1727" s="97"/>
      <c r="AJ1727" s="97"/>
      <c r="AK1727" s="97"/>
      <c r="AL1727" s="97"/>
      <c r="AM1727" s="97"/>
      <c r="AN1727" s="97"/>
      <c r="AO1727" s="97"/>
      <c r="AP1727" s="97"/>
      <c r="AQ1727" s="97"/>
    </row>
    <row r="1728" spans="2:43" s="101" customFormat="1" ht="15" customHeight="1">
      <c r="B1728" s="104"/>
      <c r="C1728" s="104"/>
      <c r="D1728" s="104"/>
      <c r="E1728" s="104"/>
      <c r="F1728" s="104"/>
      <c r="G1728" s="104"/>
      <c r="H1728" s="104"/>
      <c r="I1728" s="104"/>
      <c r="J1728" s="104"/>
      <c r="K1728" s="104"/>
      <c r="L1728" s="104"/>
      <c r="R1728" s="105"/>
      <c r="S1728" s="105"/>
      <c r="T1728" s="105"/>
      <c r="U1728" s="105"/>
      <c r="V1728" s="105"/>
      <c r="W1728" s="105"/>
      <c r="AD1728" s="106"/>
      <c r="AE1728" s="97"/>
      <c r="AF1728" s="97"/>
      <c r="AG1728" s="97"/>
      <c r="AH1728" s="97"/>
      <c r="AI1728" s="97"/>
      <c r="AJ1728" s="97"/>
      <c r="AK1728" s="97"/>
      <c r="AL1728" s="97"/>
      <c r="AM1728" s="97"/>
      <c r="AN1728" s="97"/>
      <c r="AO1728" s="97"/>
      <c r="AP1728" s="97"/>
      <c r="AQ1728" s="97"/>
    </row>
    <row r="1729" spans="2:43" s="101" customFormat="1" ht="15" customHeight="1">
      <c r="B1729" s="104"/>
      <c r="C1729" s="104"/>
      <c r="D1729" s="104"/>
      <c r="E1729" s="104"/>
      <c r="F1729" s="104"/>
      <c r="G1729" s="104"/>
      <c r="H1729" s="104"/>
      <c r="I1729" s="104"/>
      <c r="J1729" s="104"/>
      <c r="K1729" s="104"/>
      <c r="L1729" s="104"/>
      <c r="R1729" s="105"/>
      <c r="S1729" s="105"/>
      <c r="T1729" s="105"/>
      <c r="U1729" s="105"/>
      <c r="V1729" s="105"/>
      <c r="W1729" s="105"/>
      <c r="AD1729" s="106"/>
      <c r="AE1729" s="97"/>
      <c r="AF1729" s="97"/>
      <c r="AG1729" s="97"/>
      <c r="AH1729" s="97"/>
      <c r="AI1729" s="97"/>
      <c r="AJ1729" s="97"/>
      <c r="AK1729" s="97"/>
      <c r="AL1729" s="97"/>
      <c r="AM1729" s="97"/>
      <c r="AN1729" s="97"/>
      <c r="AO1729" s="97"/>
      <c r="AP1729" s="97"/>
      <c r="AQ1729" s="97"/>
    </row>
    <row r="1730" spans="2:43" s="101" customFormat="1" ht="15" customHeight="1">
      <c r="B1730" s="104"/>
      <c r="C1730" s="104"/>
      <c r="D1730" s="104"/>
      <c r="E1730" s="104"/>
      <c r="F1730" s="104"/>
      <c r="G1730" s="104"/>
      <c r="H1730" s="104"/>
      <c r="I1730" s="104"/>
      <c r="J1730" s="104"/>
      <c r="K1730" s="104"/>
      <c r="L1730" s="104"/>
      <c r="R1730" s="105"/>
      <c r="S1730" s="105"/>
      <c r="T1730" s="105"/>
      <c r="U1730" s="105"/>
      <c r="V1730" s="105"/>
      <c r="W1730" s="105"/>
      <c r="AD1730" s="106"/>
      <c r="AE1730" s="97"/>
      <c r="AF1730" s="97"/>
      <c r="AG1730" s="97"/>
      <c r="AH1730" s="97"/>
      <c r="AI1730" s="97"/>
      <c r="AJ1730" s="97"/>
      <c r="AK1730" s="97"/>
      <c r="AL1730" s="97"/>
      <c r="AM1730" s="97"/>
      <c r="AN1730" s="97"/>
      <c r="AO1730" s="97"/>
      <c r="AP1730" s="97"/>
      <c r="AQ1730" s="97"/>
    </row>
    <row r="1731" spans="2:43" s="101" customFormat="1" ht="15" customHeight="1">
      <c r="B1731" s="104"/>
      <c r="C1731" s="104"/>
      <c r="D1731" s="104"/>
      <c r="E1731" s="104"/>
      <c r="F1731" s="104"/>
      <c r="G1731" s="104"/>
      <c r="H1731" s="104"/>
      <c r="I1731" s="104"/>
      <c r="J1731" s="104"/>
      <c r="K1731" s="104"/>
      <c r="L1731" s="104"/>
      <c r="R1731" s="105"/>
      <c r="S1731" s="105"/>
      <c r="T1731" s="105"/>
      <c r="U1731" s="105"/>
      <c r="V1731" s="105"/>
      <c r="W1731" s="105"/>
      <c r="AD1731" s="106"/>
      <c r="AE1731" s="97"/>
      <c r="AF1731" s="97"/>
      <c r="AG1731" s="97"/>
      <c r="AH1731" s="97"/>
      <c r="AI1731" s="97"/>
      <c r="AJ1731" s="97"/>
      <c r="AK1731" s="97"/>
      <c r="AL1731" s="97"/>
      <c r="AM1731" s="97"/>
      <c r="AN1731" s="97"/>
      <c r="AO1731" s="97"/>
      <c r="AP1731" s="97"/>
      <c r="AQ1731" s="97"/>
    </row>
    <row r="1732" spans="2:43" s="101" customFormat="1" ht="15" customHeight="1">
      <c r="B1732" s="104"/>
      <c r="C1732" s="104"/>
      <c r="D1732" s="104"/>
      <c r="E1732" s="104"/>
      <c r="F1732" s="104"/>
      <c r="G1732" s="104"/>
      <c r="H1732" s="104"/>
      <c r="I1732" s="104"/>
      <c r="J1732" s="104"/>
      <c r="K1732" s="104"/>
      <c r="L1732" s="104"/>
      <c r="R1732" s="105"/>
      <c r="S1732" s="105"/>
      <c r="T1732" s="105"/>
      <c r="U1732" s="105"/>
      <c r="V1732" s="105"/>
      <c r="W1732" s="105"/>
      <c r="AD1732" s="106"/>
      <c r="AE1732" s="97"/>
      <c r="AF1732" s="97"/>
      <c r="AG1732" s="97"/>
      <c r="AH1732" s="97"/>
      <c r="AI1732" s="97"/>
      <c r="AJ1732" s="97"/>
      <c r="AK1732" s="97"/>
      <c r="AL1732" s="97"/>
      <c r="AM1732" s="97"/>
      <c r="AN1732" s="97"/>
      <c r="AO1732" s="97"/>
      <c r="AP1732" s="97"/>
      <c r="AQ1732" s="97"/>
    </row>
    <row r="1733" spans="2:43" s="101" customFormat="1" ht="15" customHeight="1">
      <c r="B1733" s="104"/>
      <c r="C1733" s="104"/>
      <c r="D1733" s="104"/>
      <c r="E1733" s="104"/>
      <c r="F1733" s="104"/>
      <c r="G1733" s="104"/>
      <c r="H1733" s="104"/>
      <c r="I1733" s="104"/>
      <c r="J1733" s="104"/>
      <c r="K1733" s="104"/>
      <c r="L1733" s="104"/>
      <c r="R1733" s="105"/>
      <c r="S1733" s="105"/>
      <c r="T1733" s="105"/>
      <c r="U1733" s="105"/>
      <c r="V1733" s="105"/>
      <c r="W1733" s="105"/>
      <c r="AD1733" s="106"/>
      <c r="AE1733" s="97"/>
      <c r="AF1733" s="97"/>
      <c r="AG1733" s="97"/>
      <c r="AH1733" s="97"/>
      <c r="AI1733" s="97"/>
      <c r="AJ1733" s="97"/>
      <c r="AK1733" s="97"/>
      <c r="AL1733" s="97"/>
      <c r="AM1733" s="97"/>
      <c r="AN1733" s="97"/>
      <c r="AO1733" s="97"/>
      <c r="AP1733" s="97"/>
      <c r="AQ1733" s="97"/>
    </row>
    <row r="1734" spans="2:43" s="101" customFormat="1" ht="15" customHeight="1">
      <c r="B1734" s="104"/>
      <c r="C1734" s="104"/>
      <c r="D1734" s="104"/>
      <c r="E1734" s="104"/>
      <c r="F1734" s="104"/>
      <c r="G1734" s="104"/>
      <c r="H1734" s="104"/>
      <c r="I1734" s="104"/>
      <c r="J1734" s="104"/>
      <c r="K1734" s="104"/>
      <c r="L1734" s="104"/>
      <c r="R1734" s="105"/>
      <c r="S1734" s="105"/>
      <c r="T1734" s="105"/>
      <c r="U1734" s="105"/>
      <c r="V1734" s="105"/>
      <c r="W1734" s="105"/>
      <c r="AD1734" s="106"/>
      <c r="AE1734" s="97"/>
      <c r="AF1734" s="97"/>
      <c r="AG1734" s="97"/>
      <c r="AH1734" s="97"/>
      <c r="AI1734" s="97"/>
      <c r="AJ1734" s="97"/>
      <c r="AK1734" s="97"/>
      <c r="AL1734" s="97"/>
      <c r="AM1734" s="97"/>
      <c r="AN1734" s="97"/>
      <c r="AO1734" s="97"/>
      <c r="AP1734" s="97"/>
      <c r="AQ1734" s="97"/>
    </row>
    <row r="1735" spans="2:43" s="101" customFormat="1" ht="15" customHeight="1">
      <c r="B1735" s="104"/>
      <c r="C1735" s="104"/>
      <c r="D1735" s="104"/>
      <c r="E1735" s="104"/>
      <c r="F1735" s="104"/>
      <c r="G1735" s="104"/>
      <c r="H1735" s="104"/>
      <c r="I1735" s="104"/>
      <c r="J1735" s="104"/>
      <c r="K1735" s="104"/>
      <c r="L1735" s="104"/>
      <c r="R1735" s="105"/>
      <c r="S1735" s="105"/>
      <c r="T1735" s="105"/>
      <c r="U1735" s="105"/>
      <c r="V1735" s="105"/>
      <c r="W1735" s="105"/>
      <c r="AD1735" s="106"/>
      <c r="AE1735" s="97"/>
      <c r="AF1735" s="97"/>
      <c r="AG1735" s="97"/>
      <c r="AH1735" s="97"/>
      <c r="AI1735" s="97"/>
      <c r="AJ1735" s="97"/>
      <c r="AK1735" s="97"/>
      <c r="AL1735" s="97"/>
      <c r="AM1735" s="97"/>
      <c r="AN1735" s="97"/>
      <c r="AO1735" s="97"/>
      <c r="AP1735" s="97"/>
      <c r="AQ1735" s="97"/>
    </row>
    <row r="1736" spans="2:43" s="101" customFormat="1" ht="15" customHeight="1">
      <c r="B1736" s="104"/>
      <c r="C1736" s="104"/>
      <c r="D1736" s="104"/>
      <c r="E1736" s="104"/>
      <c r="F1736" s="104"/>
      <c r="G1736" s="104"/>
      <c r="H1736" s="104"/>
      <c r="I1736" s="104"/>
      <c r="J1736" s="104"/>
      <c r="K1736" s="104"/>
      <c r="L1736" s="104"/>
      <c r="R1736" s="105"/>
      <c r="S1736" s="105"/>
      <c r="T1736" s="105"/>
      <c r="U1736" s="105"/>
      <c r="V1736" s="105"/>
      <c r="W1736" s="105"/>
      <c r="AD1736" s="106"/>
      <c r="AE1736" s="97"/>
      <c r="AF1736" s="97"/>
      <c r="AG1736" s="97"/>
      <c r="AH1736" s="97"/>
      <c r="AI1736" s="97"/>
      <c r="AJ1736" s="97"/>
      <c r="AK1736" s="97"/>
      <c r="AL1736" s="97"/>
      <c r="AM1736" s="97"/>
      <c r="AN1736" s="97"/>
      <c r="AO1736" s="97"/>
      <c r="AP1736" s="97"/>
      <c r="AQ1736" s="97"/>
    </row>
    <row r="1737" spans="2:43" s="101" customFormat="1" ht="15" customHeight="1">
      <c r="B1737" s="104"/>
      <c r="C1737" s="104"/>
      <c r="D1737" s="104"/>
      <c r="E1737" s="104"/>
      <c r="F1737" s="104"/>
      <c r="G1737" s="104"/>
      <c r="H1737" s="104"/>
      <c r="I1737" s="104"/>
      <c r="J1737" s="104"/>
      <c r="K1737" s="104"/>
      <c r="L1737" s="104"/>
      <c r="R1737" s="105"/>
      <c r="S1737" s="105"/>
      <c r="T1737" s="105"/>
      <c r="U1737" s="105"/>
      <c r="V1737" s="105"/>
      <c r="W1737" s="105"/>
      <c r="AD1737" s="106"/>
      <c r="AE1737" s="97"/>
      <c r="AF1737" s="97"/>
      <c r="AG1737" s="97"/>
      <c r="AH1737" s="97"/>
      <c r="AI1737" s="97"/>
      <c r="AJ1737" s="97"/>
      <c r="AK1737" s="97"/>
      <c r="AL1737" s="97"/>
      <c r="AM1737" s="97"/>
      <c r="AN1737" s="97"/>
      <c r="AO1737" s="97"/>
      <c r="AP1737" s="97"/>
      <c r="AQ1737" s="97"/>
    </row>
    <row r="1738" spans="2:43" s="101" customFormat="1" ht="15" customHeight="1">
      <c r="B1738" s="104"/>
      <c r="C1738" s="104"/>
      <c r="D1738" s="104"/>
      <c r="E1738" s="104"/>
      <c r="F1738" s="104"/>
      <c r="G1738" s="104"/>
      <c r="H1738" s="104"/>
      <c r="I1738" s="104"/>
      <c r="J1738" s="104"/>
      <c r="K1738" s="104"/>
      <c r="L1738" s="104"/>
      <c r="R1738" s="105"/>
      <c r="S1738" s="105"/>
      <c r="T1738" s="105"/>
      <c r="U1738" s="105"/>
      <c r="V1738" s="105"/>
      <c r="W1738" s="105"/>
      <c r="AD1738" s="106"/>
      <c r="AE1738" s="97"/>
      <c r="AF1738" s="97"/>
      <c r="AG1738" s="97"/>
      <c r="AH1738" s="97"/>
      <c r="AI1738" s="97"/>
      <c r="AJ1738" s="97"/>
      <c r="AK1738" s="97"/>
      <c r="AL1738" s="97"/>
      <c r="AM1738" s="97"/>
      <c r="AN1738" s="97"/>
      <c r="AO1738" s="97"/>
      <c r="AP1738" s="97"/>
      <c r="AQ1738" s="97"/>
    </row>
    <row r="1739" spans="2:43" s="101" customFormat="1" ht="15" customHeight="1">
      <c r="B1739" s="104"/>
      <c r="C1739" s="104"/>
      <c r="D1739" s="104"/>
      <c r="E1739" s="104"/>
      <c r="F1739" s="104"/>
      <c r="G1739" s="104"/>
      <c r="H1739" s="104"/>
      <c r="I1739" s="104"/>
      <c r="J1739" s="104"/>
      <c r="K1739" s="104"/>
      <c r="L1739" s="104"/>
      <c r="R1739" s="105"/>
      <c r="S1739" s="105"/>
      <c r="T1739" s="105"/>
      <c r="U1739" s="105"/>
      <c r="V1739" s="105"/>
      <c r="W1739" s="105"/>
      <c r="AD1739" s="106"/>
      <c r="AE1739" s="97"/>
      <c r="AF1739" s="97"/>
      <c r="AG1739" s="97"/>
      <c r="AH1739" s="97"/>
      <c r="AI1739" s="97"/>
      <c r="AJ1739" s="97"/>
      <c r="AK1739" s="97"/>
      <c r="AL1739" s="97"/>
      <c r="AM1739" s="97"/>
      <c r="AN1739" s="97"/>
      <c r="AO1739" s="97"/>
      <c r="AP1739" s="97"/>
      <c r="AQ1739" s="97"/>
    </row>
    <row r="1740" spans="2:43" s="101" customFormat="1" ht="15" customHeight="1">
      <c r="B1740" s="104"/>
      <c r="C1740" s="104"/>
      <c r="D1740" s="104"/>
      <c r="E1740" s="104"/>
      <c r="F1740" s="104"/>
      <c r="G1740" s="104"/>
      <c r="H1740" s="104"/>
      <c r="I1740" s="104"/>
      <c r="J1740" s="104"/>
      <c r="K1740" s="104"/>
      <c r="L1740" s="104"/>
      <c r="R1740" s="105"/>
      <c r="S1740" s="105"/>
      <c r="T1740" s="105"/>
      <c r="U1740" s="105"/>
      <c r="V1740" s="105"/>
      <c r="W1740" s="105"/>
      <c r="AD1740" s="106"/>
      <c r="AE1740" s="97"/>
      <c r="AF1740" s="97"/>
      <c r="AG1740" s="97"/>
      <c r="AH1740" s="97"/>
      <c r="AI1740" s="97"/>
      <c r="AJ1740" s="97"/>
      <c r="AK1740" s="97"/>
      <c r="AL1740" s="97"/>
      <c r="AM1740" s="97"/>
      <c r="AN1740" s="97"/>
      <c r="AO1740" s="97"/>
      <c r="AP1740" s="97"/>
      <c r="AQ1740" s="97"/>
    </row>
    <row r="1741" spans="2:43" s="101" customFormat="1" ht="15" customHeight="1">
      <c r="B1741" s="104"/>
      <c r="C1741" s="104"/>
      <c r="D1741" s="104"/>
      <c r="E1741" s="104"/>
      <c r="F1741" s="104"/>
      <c r="G1741" s="104"/>
      <c r="H1741" s="104"/>
      <c r="I1741" s="104"/>
      <c r="J1741" s="104"/>
      <c r="K1741" s="104"/>
      <c r="L1741" s="104"/>
      <c r="R1741" s="105"/>
      <c r="S1741" s="105"/>
      <c r="T1741" s="105"/>
      <c r="U1741" s="105"/>
      <c r="V1741" s="105"/>
      <c r="W1741" s="105"/>
      <c r="AD1741" s="106"/>
      <c r="AE1741" s="97"/>
      <c r="AF1741" s="97"/>
      <c r="AG1741" s="97"/>
      <c r="AH1741" s="97"/>
      <c r="AI1741" s="97"/>
      <c r="AJ1741" s="97"/>
      <c r="AK1741" s="97"/>
      <c r="AL1741" s="97"/>
      <c r="AM1741" s="97"/>
      <c r="AN1741" s="97"/>
      <c r="AO1741" s="97"/>
      <c r="AP1741" s="97"/>
      <c r="AQ1741" s="97"/>
    </row>
    <row r="1742" spans="2:43" s="101" customFormat="1" ht="15" customHeight="1">
      <c r="B1742" s="104"/>
      <c r="C1742" s="104"/>
      <c r="D1742" s="104"/>
      <c r="E1742" s="104"/>
      <c r="F1742" s="104"/>
      <c r="G1742" s="104"/>
      <c r="H1742" s="104"/>
      <c r="I1742" s="104"/>
      <c r="J1742" s="104"/>
      <c r="K1742" s="104"/>
      <c r="L1742" s="104"/>
      <c r="R1742" s="105"/>
      <c r="S1742" s="105"/>
      <c r="T1742" s="105"/>
      <c r="U1742" s="105"/>
      <c r="V1742" s="105"/>
      <c r="W1742" s="105"/>
      <c r="AD1742" s="106"/>
      <c r="AE1742" s="97"/>
      <c r="AF1742" s="97"/>
      <c r="AG1742" s="97"/>
      <c r="AH1742" s="97"/>
      <c r="AI1742" s="97"/>
      <c r="AJ1742" s="97"/>
      <c r="AK1742" s="97"/>
      <c r="AL1742" s="97"/>
      <c r="AM1742" s="97"/>
      <c r="AN1742" s="97"/>
      <c r="AO1742" s="97"/>
      <c r="AP1742" s="97"/>
      <c r="AQ1742" s="97"/>
    </row>
    <row r="1743" spans="2:43" s="101" customFormat="1" ht="15" customHeight="1">
      <c r="B1743" s="104"/>
      <c r="C1743" s="104"/>
      <c r="D1743" s="104"/>
      <c r="E1743" s="104"/>
      <c r="F1743" s="104"/>
      <c r="G1743" s="104"/>
      <c r="H1743" s="104"/>
      <c r="I1743" s="104"/>
      <c r="J1743" s="104"/>
      <c r="K1743" s="104"/>
      <c r="L1743" s="104"/>
      <c r="R1743" s="105"/>
      <c r="S1743" s="105"/>
      <c r="T1743" s="105"/>
      <c r="U1743" s="105"/>
      <c r="V1743" s="105"/>
      <c r="W1743" s="105"/>
      <c r="AD1743" s="106"/>
      <c r="AE1743" s="97"/>
      <c r="AF1743" s="97"/>
      <c r="AG1743" s="97"/>
      <c r="AH1743" s="97"/>
      <c r="AI1743" s="97"/>
      <c r="AJ1743" s="97"/>
      <c r="AK1743" s="97"/>
      <c r="AL1743" s="97"/>
      <c r="AM1743" s="97"/>
      <c r="AN1743" s="97"/>
      <c r="AO1743" s="97"/>
      <c r="AP1743" s="97"/>
      <c r="AQ1743" s="97"/>
    </row>
    <row r="1744" spans="2:43" s="101" customFormat="1" ht="15" customHeight="1">
      <c r="B1744" s="104"/>
      <c r="C1744" s="104"/>
      <c r="D1744" s="104"/>
      <c r="E1744" s="104"/>
      <c r="F1744" s="104"/>
      <c r="G1744" s="104"/>
      <c r="H1744" s="104"/>
      <c r="I1744" s="104"/>
      <c r="J1744" s="104"/>
      <c r="K1744" s="104"/>
      <c r="L1744" s="104"/>
      <c r="R1744" s="105"/>
      <c r="S1744" s="105"/>
      <c r="T1744" s="105"/>
      <c r="U1744" s="105"/>
      <c r="V1744" s="105"/>
      <c r="W1744" s="105"/>
      <c r="AD1744" s="106"/>
      <c r="AE1744" s="97"/>
      <c r="AF1744" s="97"/>
      <c r="AG1744" s="97"/>
      <c r="AH1744" s="97"/>
      <c r="AI1744" s="97"/>
      <c r="AJ1744" s="97"/>
      <c r="AK1744" s="97"/>
      <c r="AL1744" s="97"/>
      <c r="AM1744" s="97"/>
      <c r="AN1744" s="97"/>
      <c r="AO1744" s="97"/>
      <c r="AP1744" s="97"/>
      <c r="AQ1744" s="97"/>
    </row>
    <row r="1745" spans="2:43" s="101" customFormat="1" ht="15" customHeight="1">
      <c r="B1745" s="104"/>
      <c r="C1745" s="104"/>
      <c r="D1745" s="104"/>
      <c r="E1745" s="104"/>
      <c r="F1745" s="104"/>
      <c r="G1745" s="104"/>
      <c r="H1745" s="104"/>
      <c r="I1745" s="104"/>
      <c r="J1745" s="104"/>
      <c r="K1745" s="104"/>
      <c r="L1745" s="104"/>
      <c r="R1745" s="105"/>
      <c r="S1745" s="105"/>
      <c r="T1745" s="105"/>
      <c r="U1745" s="105"/>
      <c r="V1745" s="105"/>
      <c r="W1745" s="105"/>
      <c r="AD1745" s="106"/>
      <c r="AE1745" s="97"/>
      <c r="AF1745" s="97"/>
      <c r="AG1745" s="97"/>
      <c r="AH1745" s="97"/>
      <c r="AI1745" s="97"/>
      <c r="AJ1745" s="97"/>
      <c r="AK1745" s="97"/>
      <c r="AL1745" s="97"/>
      <c r="AM1745" s="97"/>
      <c r="AN1745" s="97"/>
      <c r="AO1745" s="97"/>
      <c r="AP1745" s="97"/>
      <c r="AQ1745" s="97"/>
    </row>
    <row r="1746" spans="2:43" s="101" customFormat="1" ht="15" customHeight="1">
      <c r="B1746" s="104"/>
      <c r="C1746" s="104"/>
      <c r="D1746" s="104"/>
      <c r="E1746" s="104"/>
      <c r="F1746" s="104"/>
      <c r="G1746" s="104"/>
      <c r="H1746" s="104"/>
      <c r="I1746" s="104"/>
      <c r="J1746" s="104"/>
      <c r="K1746" s="104"/>
      <c r="L1746" s="104"/>
      <c r="R1746" s="105"/>
      <c r="S1746" s="105"/>
      <c r="T1746" s="105"/>
      <c r="U1746" s="105"/>
      <c r="V1746" s="105"/>
      <c r="W1746" s="105"/>
      <c r="AD1746" s="106"/>
      <c r="AE1746" s="97"/>
      <c r="AF1746" s="97"/>
      <c r="AG1746" s="97"/>
      <c r="AH1746" s="97"/>
      <c r="AI1746" s="97"/>
      <c r="AJ1746" s="97"/>
      <c r="AK1746" s="97"/>
      <c r="AL1746" s="97"/>
      <c r="AM1746" s="97"/>
      <c r="AN1746" s="97"/>
      <c r="AO1746" s="97"/>
      <c r="AP1746" s="97"/>
      <c r="AQ1746" s="97"/>
    </row>
    <row r="1747" spans="2:43" s="101" customFormat="1" ht="15" customHeight="1">
      <c r="B1747" s="104"/>
      <c r="C1747" s="104"/>
      <c r="D1747" s="104"/>
      <c r="E1747" s="104"/>
      <c r="F1747" s="104"/>
      <c r="G1747" s="104"/>
      <c r="H1747" s="104"/>
      <c r="I1747" s="104"/>
      <c r="J1747" s="104"/>
      <c r="K1747" s="104"/>
      <c r="L1747" s="104"/>
      <c r="R1747" s="105"/>
      <c r="S1747" s="105"/>
      <c r="T1747" s="105"/>
      <c r="U1747" s="105"/>
      <c r="V1747" s="105"/>
      <c r="W1747" s="105"/>
      <c r="AD1747" s="106"/>
      <c r="AE1747" s="97"/>
      <c r="AF1747" s="97"/>
      <c r="AG1747" s="97"/>
      <c r="AH1747" s="97"/>
      <c r="AI1747" s="97"/>
      <c r="AJ1747" s="97"/>
      <c r="AK1747" s="97"/>
      <c r="AL1747" s="97"/>
      <c r="AM1747" s="97"/>
      <c r="AN1747" s="97"/>
      <c r="AO1747" s="97"/>
      <c r="AP1747" s="97"/>
      <c r="AQ1747" s="97"/>
    </row>
    <row r="1748" spans="2:43" s="101" customFormat="1" ht="15" customHeight="1">
      <c r="B1748" s="104"/>
      <c r="C1748" s="104"/>
      <c r="D1748" s="104"/>
      <c r="E1748" s="104"/>
      <c r="F1748" s="104"/>
      <c r="G1748" s="104"/>
      <c r="H1748" s="104"/>
      <c r="I1748" s="104"/>
      <c r="J1748" s="104"/>
      <c r="K1748" s="104"/>
      <c r="L1748" s="104"/>
      <c r="R1748" s="105"/>
      <c r="S1748" s="105"/>
      <c r="T1748" s="105"/>
      <c r="U1748" s="105"/>
      <c r="V1748" s="105"/>
      <c r="W1748" s="105"/>
      <c r="AD1748" s="106"/>
      <c r="AE1748" s="97"/>
      <c r="AF1748" s="97"/>
      <c r="AG1748" s="97"/>
      <c r="AH1748" s="97"/>
      <c r="AI1748" s="97"/>
      <c r="AJ1748" s="97"/>
      <c r="AK1748" s="97"/>
      <c r="AL1748" s="97"/>
      <c r="AM1748" s="97"/>
      <c r="AN1748" s="97"/>
      <c r="AO1748" s="97"/>
      <c r="AP1748" s="97"/>
      <c r="AQ1748" s="97"/>
    </row>
    <row r="1749" spans="2:43" s="101" customFormat="1" ht="15" customHeight="1">
      <c r="B1749" s="104"/>
      <c r="C1749" s="104"/>
      <c r="D1749" s="104"/>
      <c r="E1749" s="104"/>
      <c r="F1749" s="104"/>
      <c r="G1749" s="104"/>
      <c r="H1749" s="104"/>
      <c r="I1749" s="104"/>
      <c r="J1749" s="104"/>
      <c r="K1749" s="104"/>
      <c r="L1749" s="104"/>
      <c r="R1749" s="105"/>
      <c r="S1749" s="105"/>
      <c r="T1749" s="105"/>
      <c r="U1749" s="105"/>
      <c r="V1749" s="105"/>
      <c r="W1749" s="105"/>
      <c r="AD1749" s="106"/>
      <c r="AE1749" s="97"/>
      <c r="AF1749" s="97"/>
      <c r="AG1749" s="97"/>
      <c r="AH1749" s="97"/>
      <c r="AI1749" s="97"/>
      <c r="AJ1749" s="97"/>
      <c r="AK1749" s="97"/>
      <c r="AL1749" s="97"/>
      <c r="AM1749" s="97"/>
      <c r="AN1749" s="97"/>
      <c r="AO1749" s="97"/>
      <c r="AP1749" s="97"/>
      <c r="AQ1749" s="97"/>
    </row>
    <row r="1750" spans="2:43" s="101" customFormat="1" ht="15" customHeight="1">
      <c r="B1750" s="104"/>
      <c r="C1750" s="104"/>
      <c r="D1750" s="104"/>
      <c r="E1750" s="104"/>
      <c r="F1750" s="104"/>
      <c r="G1750" s="104"/>
      <c r="H1750" s="104"/>
      <c r="I1750" s="104"/>
      <c r="J1750" s="104"/>
      <c r="K1750" s="104"/>
      <c r="L1750" s="104"/>
      <c r="R1750" s="105"/>
      <c r="S1750" s="105"/>
      <c r="T1750" s="105"/>
      <c r="U1750" s="105"/>
      <c r="V1750" s="105"/>
      <c r="W1750" s="105"/>
      <c r="AD1750" s="106"/>
      <c r="AE1750" s="97"/>
      <c r="AF1750" s="97"/>
      <c r="AG1750" s="97"/>
      <c r="AH1750" s="97"/>
      <c r="AI1750" s="97"/>
      <c r="AJ1750" s="97"/>
      <c r="AK1750" s="97"/>
      <c r="AL1750" s="97"/>
      <c r="AM1750" s="97"/>
      <c r="AN1750" s="97"/>
      <c r="AO1750" s="97"/>
      <c r="AP1750" s="97"/>
      <c r="AQ1750" s="97"/>
    </row>
    <row r="1751" spans="2:43" s="101" customFormat="1" ht="15" customHeight="1">
      <c r="B1751" s="104"/>
      <c r="C1751" s="104"/>
      <c r="D1751" s="104"/>
      <c r="E1751" s="104"/>
      <c r="F1751" s="104"/>
      <c r="G1751" s="104"/>
      <c r="H1751" s="104"/>
      <c r="I1751" s="104"/>
      <c r="J1751" s="104"/>
      <c r="K1751" s="104"/>
      <c r="L1751" s="104"/>
      <c r="R1751" s="105"/>
      <c r="S1751" s="105"/>
      <c r="T1751" s="105"/>
      <c r="U1751" s="105"/>
      <c r="V1751" s="105"/>
      <c r="W1751" s="105"/>
      <c r="AD1751" s="106"/>
      <c r="AE1751" s="97"/>
      <c r="AF1751" s="97"/>
      <c r="AG1751" s="97"/>
      <c r="AH1751" s="97"/>
      <c r="AI1751" s="97"/>
      <c r="AJ1751" s="97"/>
      <c r="AK1751" s="97"/>
      <c r="AL1751" s="97"/>
      <c r="AM1751" s="97"/>
      <c r="AN1751" s="97"/>
      <c r="AO1751" s="97"/>
      <c r="AP1751" s="97"/>
      <c r="AQ1751" s="97"/>
    </row>
    <row r="1752" spans="2:43" s="101" customFormat="1" ht="15" customHeight="1">
      <c r="B1752" s="104"/>
      <c r="C1752" s="104"/>
      <c r="D1752" s="104"/>
      <c r="E1752" s="104"/>
      <c r="F1752" s="104"/>
      <c r="G1752" s="104"/>
      <c r="H1752" s="104"/>
      <c r="I1752" s="104"/>
      <c r="J1752" s="104"/>
      <c r="K1752" s="104"/>
      <c r="L1752" s="104"/>
      <c r="R1752" s="105"/>
      <c r="S1752" s="105"/>
      <c r="T1752" s="105"/>
      <c r="U1752" s="105"/>
      <c r="V1752" s="105"/>
      <c r="W1752" s="105"/>
      <c r="AD1752" s="106"/>
      <c r="AE1752" s="97"/>
      <c r="AF1752" s="97"/>
      <c r="AG1752" s="97"/>
      <c r="AH1752" s="97"/>
      <c r="AI1752" s="97"/>
      <c r="AJ1752" s="97"/>
      <c r="AK1752" s="97"/>
      <c r="AL1752" s="97"/>
      <c r="AM1752" s="97"/>
      <c r="AN1752" s="97"/>
      <c r="AO1752" s="97"/>
      <c r="AP1752" s="97"/>
      <c r="AQ1752" s="97"/>
    </row>
    <row r="1753" spans="2:43" s="101" customFormat="1" ht="15" customHeight="1">
      <c r="B1753" s="104"/>
      <c r="C1753" s="104"/>
      <c r="D1753" s="104"/>
      <c r="E1753" s="104"/>
      <c r="F1753" s="104"/>
      <c r="G1753" s="104"/>
      <c r="H1753" s="104"/>
      <c r="I1753" s="104"/>
      <c r="J1753" s="104"/>
      <c r="K1753" s="104"/>
      <c r="L1753" s="104"/>
      <c r="R1753" s="105"/>
      <c r="S1753" s="105"/>
      <c r="T1753" s="105"/>
      <c r="U1753" s="105"/>
      <c r="V1753" s="105"/>
      <c r="W1753" s="105"/>
      <c r="AD1753" s="106"/>
      <c r="AE1753" s="97"/>
      <c r="AF1753" s="97"/>
      <c r="AG1753" s="97"/>
      <c r="AH1753" s="97"/>
      <c r="AI1753" s="97"/>
      <c r="AJ1753" s="97"/>
      <c r="AK1753" s="97"/>
      <c r="AL1753" s="97"/>
      <c r="AM1753" s="97"/>
      <c r="AN1753" s="97"/>
      <c r="AO1753" s="97"/>
      <c r="AP1753" s="97"/>
      <c r="AQ1753" s="97"/>
    </row>
    <row r="1754" spans="2:43" s="101" customFormat="1" ht="15" customHeight="1">
      <c r="B1754" s="104"/>
      <c r="C1754" s="104"/>
      <c r="D1754" s="104"/>
      <c r="E1754" s="104"/>
      <c r="F1754" s="104"/>
      <c r="G1754" s="104"/>
      <c r="H1754" s="104"/>
      <c r="I1754" s="104"/>
      <c r="J1754" s="104"/>
      <c r="K1754" s="104"/>
      <c r="L1754" s="104"/>
      <c r="R1754" s="105"/>
      <c r="S1754" s="105"/>
      <c r="T1754" s="105"/>
      <c r="U1754" s="105"/>
      <c r="V1754" s="105"/>
      <c r="W1754" s="105"/>
      <c r="AD1754" s="106"/>
      <c r="AE1754" s="97"/>
      <c r="AF1754" s="97"/>
      <c r="AG1754" s="97"/>
      <c r="AH1754" s="97"/>
      <c r="AI1754" s="97"/>
      <c r="AJ1754" s="97"/>
      <c r="AK1754" s="97"/>
      <c r="AL1754" s="97"/>
      <c r="AM1754" s="97"/>
      <c r="AN1754" s="97"/>
      <c r="AO1754" s="97"/>
      <c r="AP1754" s="97"/>
      <c r="AQ1754" s="97"/>
    </row>
    <row r="1755" spans="2:43" s="101" customFormat="1" ht="15" customHeight="1">
      <c r="B1755" s="104"/>
      <c r="C1755" s="104"/>
      <c r="D1755" s="104"/>
      <c r="E1755" s="104"/>
      <c r="F1755" s="104"/>
      <c r="G1755" s="104"/>
      <c r="H1755" s="104"/>
      <c r="I1755" s="104"/>
      <c r="J1755" s="104"/>
      <c r="K1755" s="104"/>
      <c r="L1755" s="104"/>
      <c r="R1755" s="105"/>
      <c r="S1755" s="105"/>
      <c r="T1755" s="105"/>
      <c r="U1755" s="105"/>
      <c r="V1755" s="105"/>
      <c r="W1755" s="105"/>
      <c r="AD1755" s="106"/>
      <c r="AE1755" s="97"/>
      <c r="AF1755" s="97"/>
      <c r="AG1755" s="97"/>
      <c r="AH1755" s="97"/>
      <c r="AI1755" s="97"/>
      <c r="AJ1755" s="97"/>
      <c r="AK1755" s="97"/>
      <c r="AL1755" s="97"/>
      <c r="AM1755" s="97"/>
      <c r="AN1755" s="97"/>
      <c r="AO1755" s="97"/>
      <c r="AP1755" s="97"/>
      <c r="AQ1755" s="97"/>
    </row>
    <row r="1756" spans="2:43" s="101" customFormat="1" ht="15" customHeight="1">
      <c r="B1756" s="104"/>
      <c r="C1756" s="104"/>
      <c r="D1756" s="104"/>
      <c r="E1756" s="104"/>
      <c r="F1756" s="104"/>
      <c r="G1756" s="104"/>
      <c r="H1756" s="104"/>
      <c r="I1756" s="104"/>
      <c r="J1756" s="104"/>
      <c r="K1756" s="104"/>
      <c r="L1756" s="104"/>
      <c r="R1756" s="105"/>
      <c r="S1756" s="105"/>
      <c r="T1756" s="105"/>
      <c r="U1756" s="105"/>
      <c r="V1756" s="105"/>
      <c r="W1756" s="105"/>
      <c r="AD1756" s="106"/>
      <c r="AE1756" s="97"/>
      <c r="AF1756" s="97"/>
      <c r="AG1756" s="97"/>
      <c r="AH1756" s="97"/>
      <c r="AI1756" s="97"/>
      <c r="AJ1756" s="97"/>
      <c r="AK1756" s="97"/>
      <c r="AL1756" s="97"/>
      <c r="AM1756" s="97"/>
      <c r="AN1756" s="97"/>
      <c r="AO1756" s="97"/>
      <c r="AP1756" s="97"/>
      <c r="AQ1756" s="97"/>
    </row>
    <row r="1757" spans="2:43" s="101" customFormat="1" ht="15" customHeight="1">
      <c r="B1757" s="104"/>
      <c r="C1757" s="104"/>
      <c r="D1757" s="104"/>
      <c r="E1757" s="104"/>
      <c r="F1757" s="104"/>
      <c r="G1757" s="104"/>
      <c r="H1757" s="104"/>
      <c r="I1757" s="104"/>
      <c r="J1757" s="104"/>
      <c r="K1757" s="104"/>
      <c r="L1757" s="104"/>
      <c r="R1757" s="105"/>
      <c r="S1757" s="105"/>
      <c r="T1757" s="105"/>
      <c r="U1757" s="105"/>
      <c r="V1757" s="105"/>
      <c r="W1757" s="105"/>
      <c r="AD1757" s="106"/>
      <c r="AE1757" s="97"/>
      <c r="AF1757" s="97"/>
      <c r="AG1757" s="97"/>
      <c r="AH1757" s="97"/>
      <c r="AI1757" s="97"/>
      <c r="AJ1757" s="97"/>
      <c r="AK1757" s="97"/>
      <c r="AL1757" s="97"/>
      <c r="AM1757" s="97"/>
      <c r="AN1757" s="97"/>
      <c r="AO1757" s="97"/>
      <c r="AP1757" s="97"/>
      <c r="AQ1757" s="97"/>
    </row>
    <row r="1758" spans="2:43" s="101" customFormat="1" ht="15" customHeight="1">
      <c r="B1758" s="104"/>
      <c r="C1758" s="104"/>
      <c r="D1758" s="104"/>
      <c r="E1758" s="104"/>
      <c r="F1758" s="104"/>
      <c r="G1758" s="104"/>
      <c r="H1758" s="104"/>
      <c r="I1758" s="104"/>
      <c r="J1758" s="104"/>
      <c r="K1758" s="104"/>
      <c r="L1758" s="104"/>
      <c r="R1758" s="105"/>
      <c r="S1758" s="105"/>
      <c r="T1758" s="105"/>
      <c r="U1758" s="105"/>
      <c r="V1758" s="105"/>
      <c r="W1758" s="105"/>
      <c r="AD1758" s="106"/>
      <c r="AE1758" s="97"/>
      <c r="AF1758" s="97"/>
      <c r="AG1758" s="97"/>
      <c r="AH1758" s="97"/>
      <c r="AI1758" s="97"/>
      <c r="AJ1758" s="97"/>
      <c r="AK1758" s="97"/>
      <c r="AL1758" s="97"/>
      <c r="AM1758" s="97"/>
      <c r="AN1758" s="97"/>
      <c r="AO1758" s="97"/>
      <c r="AP1758" s="97"/>
      <c r="AQ1758" s="97"/>
    </row>
    <row r="1759" spans="2:43" s="101" customFormat="1" ht="15" customHeight="1">
      <c r="B1759" s="104"/>
      <c r="C1759" s="104"/>
      <c r="D1759" s="104"/>
      <c r="E1759" s="104"/>
      <c r="F1759" s="104"/>
      <c r="G1759" s="104"/>
      <c r="H1759" s="104"/>
      <c r="I1759" s="104"/>
      <c r="J1759" s="104"/>
      <c r="K1759" s="104"/>
      <c r="L1759" s="104"/>
      <c r="R1759" s="105"/>
      <c r="S1759" s="105"/>
      <c r="T1759" s="105"/>
      <c r="U1759" s="105"/>
      <c r="V1759" s="105"/>
      <c r="W1759" s="105"/>
      <c r="AD1759" s="106"/>
      <c r="AE1759" s="97"/>
      <c r="AF1759" s="97"/>
      <c r="AG1759" s="97"/>
      <c r="AH1759" s="97"/>
      <c r="AI1759" s="97"/>
      <c r="AJ1759" s="97"/>
      <c r="AK1759" s="97"/>
      <c r="AL1759" s="97"/>
      <c r="AM1759" s="97"/>
      <c r="AN1759" s="97"/>
      <c r="AO1759" s="97"/>
      <c r="AP1759" s="97"/>
      <c r="AQ1759" s="97"/>
    </row>
    <row r="1760" spans="2:43" s="101" customFormat="1" ht="15" customHeight="1">
      <c r="B1760" s="104"/>
      <c r="C1760" s="104"/>
      <c r="D1760" s="104"/>
      <c r="E1760" s="104"/>
      <c r="F1760" s="104"/>
      <c r="G1760" s="104"/>
      <c r="H1760" s="104"/>
      <c r="I1760" s="104"/>
      <c r="J1760" s="104"/>
      <c r="K1760" s="104"/>
      <c r="L1760" s="104"/>
      <c r="R1760" s="105"/>
      <c r="S1760" s="105"/>
      <c r="T1760" s="105"/>
      <c r="U1760" s="105"/>
      <c r="V1760" s="105"/>
      <c r="W1760" s="105"/>
      <c r="AD1760" s="106"/>
      <c r="AE1760" s="97"/>
      <c r="AF1760" s="97"/>
      <c r="AG1760" s="97"/>
      <c r="AH1760" s="97"/>
      <c r="AI1760" s="97"/>
      <c r="AJ1760" s="97"/>
      <c r="AK1760" s="97"/>
      <c r="AL1760" s="97"/>
      <c r="AM1760" s="97"/>
      <c r="AN1760" s="97"/>
      <c r="AO1760" s="97"/>
      <c r="AP1760" s="97"/>
      <c r="AQ1760" s="97"/>
    </row>
    <row r="1761" spans="2:43" s="101" customFormat="1" ht="15" customHeight="1">
      <c r="B1761" s="104"/>
      <c r="C1761" s="104"/>
      <c r="D1761" s="104"/>
      <c r="E1761" s="104"/>
      <c r="F1761" s="104"/>
      <c r="G1761" s="104"/>
      <c r="H1761" s="104"/>
      <c r="I1761" s="104"/>
      <c r="J1761" s="104"/>
      <c r="K1761" s="104"/>
      <c r="L1761" s="104"/>
      <c r="R1761" s="105"/>
      <c r="S1761" s="105"/>
      <c r="T1761" s="105"/>
      <c r="U1761" s="105"/>
      <c r="V1761" s="105"/>
      <c r="W1761" s="105"/>
      <c r="AD1761" s="106"/>
      <c r="AE1761" s="97"/>
      <c r="AF1761" s="97"/>
      <c r="AG1761" s="97"/>
      <c r="AH1761" s="97"/>
      <c r="AI1761" s="97"/>
      <c r="AJ1761" s="97"/>
      <c r="AK1761" s="97"/>
      <c r="AL1761" s="97"/>
      <c r="AM1761" s="97"/>
      <c r="AN1761" s="97"/>
      <c r="AO1761" s="97"/>
      <c r="AP1761" s="97"/>
      <c r="AQ1761" s="97"/>
    </row>
    <row r="1762" spans="2:43" s="101" customFormat="1" ht="15" customHeight="1">
      <c r="B1762" s="104"/>
      <c r="C1762" s="104"/>
      <c r="D1762" s="104"/>
      <c r="E1762" s="104"/>
      <c r="F1762" s="104"/>
      <c r="G1762" s="104"/>
      <c r="H1762" s="104"/>
      <c r="I1762" s="104"/>
      <c r="J1762" s="104"/>
      <c r="K1762" s="104"/>
      <c r="L1762" s="104"/>
      <c r="R1762" s="105"/>
      <c r="S1762" s="105"/>
      <c r="T1762" s="105"/>
      <c r="U1762" s="105"/>
      <c r="V1762" s="105"/>
      <c r="W1762" s="105"/>
      <c r="AD1762" s="106"/>
      <c r="AE1762" s="97"/>
      <c r="AF1762" s="97"/>
      <c r="AG1762" s="97"/>
      <c r="AH1762" s="97"/>
      <c r="AI1762" s="97"/>
      <c r="AJ1762" s="97"/>
      <c r="AK1762" s="97"/>
      <c r="AL1762" s="97"/>
      <c r="AM1762" s="97"/>
      <c r="AN1762" s="97"/>
      <c r="AO1762" s="97"/>
      <c r="AP1762" s="97"/>
      <c r="AQ1762" s="97"/>
    </row>
    <row r="1763" spans="2:43" s="101" customFormat="1" ht="15" customHeight="1">
      <c r="B1763" s="104"/>
      <c r="C1763" s="104"/>
      <c r="D1763" s="104"/>
      <c r="E1763" s="104"/>
      <c r="F1763" s="104"/>
      <c r="G1763" s="104"/>
      <c r="H1763" s="104"/>
      <c r="I1763" s="104"/>
      <c r="J1763" s="104"/>
      <c r="K1763" s="104"/>
      <c r="L1763" s="104"/>
      <c r="R1763" s="105"/>
      <c r="S1763" s="105"/>
      <c r="T1763" s="105"/>
      <c r="U1763" s="105"/>
      <c r="V1763" s="105"/>
      <c r="W1763" s="105"/>
      <c r="AD1763" s="106"/>
      <c r="AE1763" s="97"/>
      <c r="AF1763" s="97"/>
      <c r="AG1763" s="97"/>
      <c r="AH1763" s="97"/>
      <c r="AI1763" s="97"/>
      <c r="AJ1763" s="97"/>
      <c r="AK1763" s="97"/>
      <c r="AL1763" s="97"/>
      <c r="AM1763" s="97"/>
      <c r="AN1763" s="97"/>
      <c r="AO1763" s="97"/>
      <c r="AP1763" s="97"/>
      <c r="AQ1763" s="97"/>
    </row>
    <row r="1764" spans="2:43" s="101" customFormat="1" ht="15" customHeight="1">
      <c r="B1764" s="104"/>
      <c r="C1764" s="104"/>
      <c r="D1764" s="104"/>
      <c r="E1764" s="104"/>
      <c r="F1764" s="104"/>
      <c r="G1764" s="104"/>
      <c r="H1764" s="104"/>
      <c r="I1764" s="104"/>
      <c r="J1764" s="104"/>
      <c r="K1764" s="104"/>
      <c r="L1764" s="104"/>
      <c r="R1764" s="105"/>
      <c r="S1764" s="105"/>
      <c r="T1764" s="105"/>
      <c r="U1764" s="105"/>
      <c r="V1764" s="105"/>
      <c r="W1764" s="105"/>
      <c r="AD1764" s="106"/>
      <c r="AE1764" s="97"/>
      <c r="AF1764" s="97"/>
      <c r="AG1764" s="97"/>
      <c r="AH1764" s="97"/>
      <c r="AI1764" s="97"/>
      <c r="AJ1764" s="97"/>
      <c r="AK1764" s="97"/>
      <c r="AL1764" s="97"/>
      <c r="AM1764" s="97"/>
      <c r="AN1764" s="97"/>
      <c r="AO1764" s="97"/>
      <c r="AP1764" s="97"/>
      <c r="AQ1764" s="97"/>
    </row>
    <row r="1765" spans="2:43" s="101" customFormat="1" ht="15" customHeight="1">
      <c r="B1765" s="104"/>
      <c r="C1765" s="104"/>
      <c r="D1765" s="104"/>
      <c r="E1765" s="104"/>
      <c r="F1765" s="104"/>
      <c r="G1765" s="104"/>
      <c r="H1765" s="104"/>
      <c r="I1765" s="104"/>
      <c r="J1765" s="104"/>
      <c r="K1765" s="104"/>
      <c r="L1765" s="104"/>
      <c r="R1765" s="105"/>
      <c r="S1765" s="105"/>
      <c r="T1765" s="105"/>
      <c r="U1765" s="105"/>
      <c r="V1765" s="105"/>
      <c r="W1765" s="105"/>
      <c r="AD1765" s="106"/>
      <c r="AE1765" s="97"/>
      <c r="AF1765" s="97"/>
      <c r="AG1765" s="97"/>
      <c r="AH1765" s="97"/>
      <c r="AI1765" s="97"/>
      <c r="AJ1765" s="97"/>
      <c r="AK1765" s="97"/>
      <c r="AL1765" s="97"/>
      <c r="AM1765" s="97"/>
      <c r="AN1765" s="97"/>
      <c r="AO1765" s="97"/>
      <c r="AP1765" s="97"/>
      <c r="AQ1765" s="97"/>
    </row>
    <row r="1766" spans="2:43" s="101" customFormat="1" ht="15" customHeight="1">
      <c r="B1766" s="104"/>
      <c r="C1766" s="104"/>
      <c r="D1766" s="104"/>
      <c r="E1766" s="104"/>
      <c r="F1766" s="104"/>
      <c r="G1766" s="104"/>
      <c r="H1766" s="104"/>
      <c r="I1766" s="104"/>
      <c r="J1766" s="104"/>
      <c r="K1766" s="104"/>
      <c r="L1766" s="104"/>
      <c r="R1766" s="105"/>
      <c r="S1766" s="105"/>
      <c r="T1766" s="105"/>
      <c r="U1766" s="105"/>
      <c r="V1766" s="105"/>
      <c r="W1766" s="105"/>
      <c r="AD1766" s="106"/>
      <c r="AE1766" s="97"/>
      <c r="AF1766" s="97"/>
      <c r="AG1766" s="97"/>
      <c r="AH1766" s="97"/>
      <c r="AI1766" s="97"/>
      <c r="AJ1766" s="97"/>
      <c r="AK1766" s="97"/>
      <c r="AL1766" s="97"/>
      <c r="AM1766" s="97"/>
      <c r="AN1766" s="97"/>
      <c r="AO1766" s="97"/>
      <c r="AP1766" s="97"/>
      <c r="AQ1766" s="97"/>
    </row>
    <row r="1767" spans="2:43" s="101" customFormat="1" ht="15" customHeight="1">
      <c r="B1767" s="104"/>
      <c r="C1767" s="104"/>
      <c r="D1767" s="104"/>
      <c r="E1767" s="104"/>
      <c r="F1767" s="104"/>
      <c r="G1767" s="104"/>
      <c r="H1767" s="104"/>
      <c r="I1767" s="104"/>
      <c r="J1767" s="104"/>
      <c r="K1767" s="104"/>
      <c r="L1767" s="104"/>
      <c r="R1767" s="105"/>
      <c r="S1767" s="105"/>
      <c r="T1767" s="105"/>
      <c r="U1767" s="105"/>
      <c r="V1767" s="105"/>
      <c r="W1767" s="105"/>
      <c r="AD1767" s="106"/>
      <c r="AE1767" s="97"/>
      <c r="AF1767" s="97"/>
      <c r="AG1767" s="97"/>
      <c r="AH1767" s="97"/>
      <c r="AI1767" s="97"/>
      <c r="AJ1767" s="97"/>
      <c r="AK1767" s="97"/>
      <c r="AL1767" s="97"/>
      <c r="AM1767" s="97"/>
      <c r="AN1767" s="97"/>
      <c r="AO1767" s="97"/>
      <c r="AP1767" s="97"/>
      <c r="AQ1767" s="97"/>
    </row>
    <row r="1768" spans="2:43" s="101" customFormat="1" ht="15" customHeight="1">
      <c r="B1768" s="104"/>
      <c r="C1768" s="104"/>
      <c r="D1768" s="104"/>
      <c r="E1768" s="104"/>
      <c r="F1768" s="104"/>
      <c r="G1768" s="104"/>
      <c r="H1768" s="104"/>
      <c r="I1768" s="104"/>
      <c r="J1768" s="104"/>
      <c r="K1768" s="104"/>
      <c r="L1768" s="104"/>
      <c r="R1768" s="105"/>
      <c r="S1768" s="105"/>
      <c r="T1768" s="105"/>
      <c r="U1768" s="105"/>
      <c r="V1768" s="105"/>
      <c r="W1768" s="105"/>
      <c r="AD1768" s="106"/>
      <c r="AE1768" s="97"/>
      <c r="AF1768" s="97"/>
      <c r="AG1768" s="97"/>
      <c r="AH1768" s="97"/>
      <c r="AI1768" s="97"/>
      <c r="AJ1768" s="97"/>
      <c r="AK1768" s="97"/>
      <c r="AL1768" s="97"/>
      <c r="AM1768" s="97"/>
      <c r="AN1768" s="97"/>
      <c r="AO1768" s="97"/>
      <c r="AP1768" s="97"/>
      <c r="AQ1768" s="97"/>
    </row>
    <row r="1769" spans="2:43" s="101" customFormat="1" ht="15" customHeight="1">
      <c r="B1769" s="104"/>
      <c r="C1769" s="104"/>
      <c r="D1769" s="104"/>
      <c r="E1769" s="104"/>
      <c r="F1769" s="104"/>
      <c r="G1769" s="104"/>
      <c r="H1769" s="104"/>
      <c r="I1769" s="104"/>
      <c r="J1769" s="104"/>
      <c r="K1769" s="104"/>
      <c r="L1769" s="104"/>
      <c r="R1769" s="105"/>
      <c r="S1769" s="105"/>
      <c r="T1769" s="105"/>
      <c r="U1769" s="105"/>
      <c r="V1769" s="105"/>
      <c r="W1769" s="105"/>
      <c r="AD1769" s="106"/>
      <c r="AE1769" s="97"/>
      <c r="AF1769" s="97"/>
      <c r="AG1769" s="97"/>
      <c r="AH1769" s="97"/>
      <c r="AI1769" s="97"/>
      <c r="AJ1769" s="97"/>
      <c r="AK1769" s="97"/>
      <c r="AL1769" s="97"/>
      <c r="AM1769" s="97"/>
      <c r="AN1769" s="97"/>
      <c r="AO1769" s="97"/>
      <c r="AP1769" s="97"/>
      <c r="AQ1769" s="97"/>
    </row>
    <row r="1770" spans="2:43" s="101" customFormat="1" ht="15" customHeight="1">
      <c r="B1770" s="104"/>
      <c r="C1770" s="104"/>
      <c r="D1770" s="104"/>
      <c r="E1770" s="104"/>
      <c r="F1770" s="104"/>
      <c r="G1770" s="104"/>
      <c r="H1770" s="104"/>
      <c r="I1770" s="104"/>
      <c r="J1770" s="104"/>
      <c r="K1770" s="104"/>
      <c r="L1770" s="104"/>
      <c r="R1770" s="105"/>
      <c r="S1770" s="105"/>
      <c r="T1770" s="105"/>
      <c r="U1770" s="105"/>
      <c r="V1770" s="105"/>
      <c r="W1770" s="105"/>
      <c r="AD1770" s="106"/>
      <c r="AE1770" s="97"/>
      <c r="AF1770" s="97"/>
      <c r="AG1770" s="97"/>
      <c r="AH1770" s="97"/>
      <c r="AI1770" s="97"/>
      <c r="AJ1770" s="97"/>
      <c r="AK1770" s="97"/>
      <c r="AL1770" s="97"/>
      <c r="AM1770" s="97"/>
      <c r="AN1770" s="97"/>
      <c r="AO1770" s="97"/>
      <c r="AP1770" s="97"/>
      <c r="AQ1770" s="97"/>
    </row>
    <row r="1771" spans="2:43" s="101" customFormat="1" ht="15" customHeight="1">
      <c r="B1771" s="104"/>
      <c r="C1771" s="104"/>
      <c r="D1771" s="104"/>
      <c r="E1771" s="104"/>
      <c r="F1771" s="104"/>
      <c r="G1771" s="104"/>
      <c r="H1771" s="104"/>
      <c r="I1771" s="104"/>
      <c r="J1771" s="104"/>
      <c r="K1771" s="104"/>
      <c r="L1771" s="104"/>
      <c r="R1771" s="105"/>
      <c r="S1771" s="105"/>
      <c r="T1771" s="105"/>
      <c r="U1771" s="105"/>
      <c r="V1771" s="105"/>
      <c r="W1771" s="105"/>
      <c r="AD1771" s="106"/>
      <c r="AE1771" s="97"/>
      <c r="AF1771" s="97"/>
      <c r="AG1771" s="97"/>
      <c r="AH1771" s="97"/>
      <c r="AI1771" s="97"/>
      <c r="AJ1771" s="97"/>
      <c r="AK1771" s="97"/>
      <c r="AL1771" s="97"/>
      <c r="AM1771" s="97"/>
      <c r="AN1771" s="97"/>
      <c r="AO1771" s="97"/>
      <c r="AP1771" s="97"/>
      <c r="AQ1771" s="97"/>
    </row>
    <row r="1772" spans="2:43" s="101" customFormat="1" ht="15" customHeight="1">
      <c r="B1772" s="104"/>
      <c r="C1772" s="104"/>
      <c r="D1772" s="104"/>
      <c r="E1772" s="104"/>
      <c r="F1772" s="104"/>
      <c r="G1772" s="104"/>
      <c r="H1772" s="104"/>
      <c r="I1772" s="104"/>
      <c r="J1772" s="104"/>
      <c r="K1772" s="104"/>
      <c r="L1772" s="104"/>
      <c r="R1772" s="105"/>
      <c r="S1772" s="105"/>
      <c r="T1772" s="105"/>
      <c r="U1772" s="105"/>
      <c r="V1772" s="105"/>
      <c r="W1772" s="105"/>
      <c r="AD1772" s="106"/>
      <c r="AE1772" s="97"/>
      <c r="AF1772" s="97"/>
      <c r="AG1772" s="97"/>
      <c r="AH1772" s="97"/>
      <c r="AI1772" s="97"/>
      <c r="AJ1772" s="97"/>
      <c r="AK1772" s="97"/>
      <c r="AL1772" s="97"/>
      <c r="AM1772" s="97"/>
      <c r="AN1772" s="97"/>
      <c r="AO1772" s="97"/>
      <c r="AP1772" s="97"/>
      <c r="AQ1772" s="97"/>
    </row>
    <row r="1773" spans="2:43" s="101" customFormat="1" ht="15" customHeight="1">
      <c r="B1773" s="104"/>
      <c r="C1773" s="104"/>
      <c r="D1773" s="104"/>
      <c r="E1773" s="104"/>
      <c r="F1773" s="104"/>
      <c r="G1773" s="104"/>
      <c r="H1773" s="104"/>
      <c r="I1773" s="104"/>
      <c r="J1773" s="104"/>
      <c r="K1773" s="104"/>
      <c r="L1773" s="104"/>
      <c r="R1773" s="105"/>
      <c r="S1773" s="105"/>
      <c r="T1773" s="105"/>
      <c r="U1773" s="105"/>
      <c r="V1773" s="105"/>
      <c r="W1773" s="105"/>
      <c r="AD1773" s="106"/>
      <c r="AE1773" s="97"/>
      <c r="AF1773" s="97"/>
      <c r="AG1773" s="97"/>
      <c r="AH1773" s="97"/>
      <c r="AI1773" s="97"/>
      <c r="AJ1773" s="97"/>
      <c r="AK1773" s="97"/>
      <c r="AL1773" s="97"/>
      <c r="AM1773" s="97"/>
      <c r="AN1773" s="97"/>
      <c r="AO1773" s="97"/>
      <c r="AP1773" s="97"/>
      <c r="AQ1773" s="97"/>
    </row>
    <row r="1774" spans="2:43" s="101" customFormat="1" ht="15" customHeight="1">
      <c r="B1774" s="104"/>
      <c r="C1774" s="104"/>
      <c r="D1774" s="104"/>
      <c r="E1774" s="104"/>
      <c r="F1774" s="104"/>
      <c r="G1774" s="104"/>
      <c r="H1774" s="104"/>
      <c r="I1774" s="104"/>
      <c r="J1774" s="104"/>
      <c r="K1774" s="104"/>
      <c r="L1774" s="104"/>
      <c r="R1774" s="105"/>
      <c r="S1774" s="105"/>
      <c r="T1774" s="105"/>
      <c r="U1774" s="105"/>
      <c r="V1774" s="105"/>
      <c r="W1774" s="105"/>
      <c r="AD1774" s="106"/>
      <c r="AE1774" s="97"/>
      <c r="AF1774" s="97"/>
      <c r="AG1774" s="97"/>
      <c r="AH1774" s="97"/>
      <c r="AI1774" s="97"/>
      <c r="AJ1774" s="97"/>
      <c r="AK1774" s="97"/>
      <c r="AL1774" s="97"/>
      <c r="AM1774" s="97"/>
      <c r="AN1774" s="97"/>
      <c r="AO1774" s="97"/>
      <c r="AP1774" s="97"/>
      <c r="AQ1774" s="97"/>
    </row>
    <row r="1775" spans="2:43" s="101" customFormat="1" ht="15" customHeight="1">
      <c r="B1775" s="104"/>
      <c r="C1775" s="104"/>
      <c r="D1775" s="104"/>
      <c r="E1775" s="104"/>
      <c r="F1775" s="104"/>
      <c r="G1775" s="104"/>
      <c r="H1775" s="104"/>
      <c r="I1775" s="104"/>
      <c r="J1775" s="104"/>
      <c r="K1775" s="104"/>
      <c r="L1775" s="104"/>
      <c r="R1775" s="105"/>
      <c r="S1775" s="105"/>
      <c r="T1775" s="105"/>
      <c r="U1775" s="105"/>
      <c r="V1775" s="105"/>
      <c r="W1775" s="105"/>
      <c r="AD1775" s="106"/>
      <c r="AE1775" s="97"/>
      <c r="AF1775" s="97"/>
      <c r="AG1775" s="97"/>
      <c r="AH1775" s="97"/>
      <c r="AI1775" s="97"/>
      <c r="AJ1775" s="97"/>
      <c r="AK1775" s="97"/>
      <c r="AL1775" s="97"/>
      <c r="AM1775" s="97"/>
      <c r="AN1775" s="97"/>
      <c r="AO1775" s="97"/>
      <c r="AP1775" s="97"/>
      <c r="AQ1775" s="97"/>
    </row>
    <row r="1776" spans="2:43" s="101" customFormat="1" ht="15" customHeight="1">
      <c r="B1776" s="104"/>
      <c r="C1776" s="104"/>
      <c r="D1776" s="104"/>
      <c r="E1776" s="104"/>
      <c r="F1776" s="104"/>
      <c r="G1776" s="104"/>
      <c r="H1776" s="104"/>
      <c r="I1776" s="104"/>
      <c r="J1776" s="104"/>
      <c r="K1776" s="104"/>
      <c r="L1776" s="104"/>
      <c r="R1776" s="105"/>
      <c r="S1776" s="105"/>
      <c r="T1776" s="105"/>
      <c r="U1776" s="105"/>
      <c r="V1776" s="105"/>
      <c r="W1776" s="105"/>
      <c r="AD1776" s="106"/>
      <c r="AE1776" s="97"/>
      <c r="AF1776" s="97"/>
      <c r="AG1776" s="97"/>
      <c r="AH1776" s="97"/>
      <c r="AI1776" s="97"/>
      <c r="AJ1776" s="97"/>
      <c r="AK1776" s="97"/>
      <c r="AL1776" s="97"/>
      <c r="AM1776" s="97"/>
      <c r="AN1776" s="97"/>
      <c r="AO1776" s="97"/>
      <c r="AP1776" s="97"/>
      <c r="AQ1776" s="97"/>
    </row>
    <row r="1777" spans="2:43" s="101" customFormat="1" ht="15" customHeight="1">
      <c r="B1777" s="104"/>
      <c r="C1777" s="104"/>
      <c r="D1777" s="104"/>
      <c r="E1777" s="104"/>
      <c r="F1777" s="104"/>
      <c r="G1777" s="104"/>
      <c r="H1777" s="104"/>
      <c r="I1777" s="104"/>
      <c r="J1777" s="104"/>
      <c r="K1777" s="104"/>
      <c r="L1777" s="104"/>
      <c r="R1777" s="105"/>
      <c r="S1777" s="105"/>
      <c r="T1777" s="105"/>
      <c r="U1777" s="105"/>
      <c r="V1777" s="105"/>
      <c r="W1777" s="105"/>
      <c r="AD1777" s="106"/>
      <c r="AE1777" s="97"/>
      <c r="AF1777" s="97"/>
      <c r="AG1777" s="97"/>
      <c r="AH1777" s="97"/>
      <c r="AI1777" s="97"/>
      <c r="AJ1777" s="97"/>
      <c r="AK1777" s="97"/>
      <c r="AL1777" s="97"/>
      <c r="AM1777" s="97"/>
      <c r="AN1777" s="97"/>
      <c r="AO1777" s="97"/>
      <c r="AP1777" s="97"/>
      <c r="AQ1777" s="97"/>
    </row>
    <row r="1778" spans="2:43" s="101" customFormat="1" ht="15" customHeight="1">
      <c r="B1778" s="104"/>
      <c r="C1778" s="104"/>
      <c r="D1778" s="104"/>
      <c r="E1778" s="104"/>
      <c r="F1778" s="104"/>
      <c r="G1778" s="104"/>
      <c r="H1778" s="104"/>
      <c r="I1778" s="104"/>
      <c r="J1778" s="104"/>
      <c r="K1778" s="104"/>
      <c r="L1778" s="104"/>
      <c r="R1778" s="105"/>
      <c r="S1778" s="105"/>
      <c r="T1778" s="105"/>
      <c r="U1778" s="105"/>
      <c r="V1778" s="105"/>
      <c r="W1778" s="105"/>
      <c r="AD1778" s="106"/>
      <c r="AE1778" s="97"/>
      <c r="AF1778" s="97"/>
      <c r="AG1778" s="97"/>
      <c r="AH1778" s="97"/>
      <c r="AI1778" s="97"/>
      <c r="AJ1778" s="97"/>
      <c r="AK1778" s="97"/>
      <c r="AL1778" s="97"/>
      <c r="AM1778" s="97"/>
      <c r="AN1778" s="97"/>
      <c r="AO1778" s="97"/>
      <c r="AP1778" s="97"/>
      <c r="AQ1778" s="97"/>
    </row>
    <row r="1779" spans="2:43" s="101" customFormat="1" ht="15" customHeight="1">
      <c r="B1779" s="104"/>
      <c r="C1779" s="104"/>
      <c r="D1779" s="104"/>
      <c r="E1779" s="104"/>
      <c r="F1779" s="104"/>
      <c r="G1779" s="104"/>
      <c r="H1779" s="104"/>
      <c r="I1779" s="104"/>
      <c r="J1779" s="104"/>
      <c r="K1779" s="104"/>
      <c r="L1779" s="104"/>
      <c r="R1779" s="105"/>
      <c r="S1779" s="105"/>
      <c r="T1779" s="105"/>
      <c r="U1779" s="105"/>
      <c r="V1779" s="105"/>
      <c r="W1779" s="105"/>
      <c r="AD1779" s="106"/>
      <c r="AE1779" s="97"/>
      <c r="AF1779" s="97"/>
      <c r="AG1779" s="97"/>
      <c r="AH1779" s="97"/>
      <c r="AI1779" s="97"/>
      <c r="AJ1779" s="97"/>
      <c r="AK1779" s="97"/>
      <c r="AL1779" s="97"/>
      <c r="AM1779" s="97"/>
      <c r="AN1779" s="97"/>
      <c r="AO1779" s="97"/>
      <c r="AP1779" s="97"/>
      <c r="AQ1779" s="97"/>
    </row>
    <row r="1780" spans="2:43" s="101" customFormat="1" ht="15" customHeight="1">
      <c r="B1780" s="104"/>
      <c r="C1780" s="104"/>
      <c r="D1780" s="104"/>
      <c r="E1780" s="104"/>
      <c r="F1780" s="104"/>
      <c r="G1780" s="104"/>
      <c r="H1780" s="104"/>
      <c r="I1780" s="104"/>
      <c r="J1780" s="104"/>
      <c r="K1780" s="104"/>
      <c r="L1780" s="104"/>
      <c r="R1780" s="105"/>
      <c r="S1780" s="105"/>
      <c r="T1780" s="105"/>
      <c r="U1780" s="105"/>
      <c r="V1780" s="105"/>
      <c r="W1780" s="105"/>
      <c r="AD1780" s="106"/>
      <c r="AE1780" s="97"/>
      <c r="AF1780" s="97"/>
      <c r="AG1780" s="97"/>
      <c r="AH1780" s="97"/>
      <c r="AI1780" s="97"/>
      <c r="AJ1780" s="97"/>
      <c r="AK1780" s="97"/>
      <c r="AL1780" s="97"/>
      <c r="AM1780" s="97"/>
      <c r="AN1780" s="97"/>
      <c r="AO1780" s="97"/>
      <c r="AP1780" s="97"/>
      <c r="AQ1780" s="97"/>
    </row>
    <row r="1781" spans="2:43" s="101" customFormat="1" ht="15" customHeight="1">
      <c r="B1781" s="104"/>
      <c r="C1781" s="104"/>
      <c r="D1781" s="104"/>
      <c r="E1781" s="104"/>
      <c r="F1781" s="104"/>
      <c r="G1781" s="104"/>
      <c r="H1781" s="104"/>
      <c r="I1781" s="104"/>
      <c r="J1781" s="104"/>
      <c r="K1781" s="104"/>
      <c r="L1781" s="104"/>
      <c r="R1781" s="105"/>
      <c r="S1781" s="105"/>
      <c r="T1781" s="105"/>
      <c r="U1781" s="105"/>
      <c r="V1781" s="105"/>
      <c r="W1781" s="105"/>
      <c r="AD1781" s="106"/>
      <c r="AE1781" s="97"/>
      <c r="AF1781" s="97"/>
      <c r="AG1781" s="97"/>
      <c r="AH1781" s="97"/>
      <c r="AI1781" s="97"/>
      <c r="AJ1781" s="97"/>
      <c r="AK1781" s="97"/>
      <c r="AL1781" s="97"/>
      <c r="AM1781" s="97"/>
      <c r="AN1781" s="97"/>
      <c r="AO1781" s="97"/>
      <c r="AP1781" s="97"/>
      <c r="AQ1781" s="97"/>
    </row>
    <row r="1782" spans="2:43" s="101" customFormat="1" ht="15" customHeight="1">
      <c r="B1782" s="104"/>
      <c r="C1782" s="104"/>
      <c r="D1782" s="104"/>
      <c r="E1782" s="104"/>
      <c r="F1782" s="104"/>
      <c r="G1782" s="104"/>
      <c r="H1782" s="104"/>
      <c r="I1782" s="104"/>
      <c r="J1782" s="104"/>
      <c r="K1782" s="104"/>
      <c r="L1782" s="104"/>
      <c r="R1782" s="105"/>
      <c r="S1782" s="105"/>
      <c r="T1782" s="105"/>
      <c r="U1782" s="105"/>
      <c r="V1782" s="105"/>
      <c r="W1782" s="105"/>
      <c r="AD1782" s="106"/>
      <c r="AE1782" s="97"/>
      <c r="AF1782" s="97"/>
      <c r="AG1782" s="97"/>
      <c r="AH1782" s="97"/>
      <c r="AI1782" s="97"/>
      <c r="AJ1782" s="97"/>
      <c r="AK1782" s="97"/>
      <c r="AL1782" s="97"/>
      <c r="AM1782" s="97"/>
      <c r="AN1782" s="97"/>
      <c r="AO1782" s="97"/>
      <c r="AP1782" s="97"/>
      <c r="AQ1782" s="97"/>
    </row>
    <row r="1783" spans="2:43" s="101" customFormat="1" ht="15" customHeight="1">
      <c r="B1783" s="104"/>
      <c r="C1783" s="104"/>
      <c r="D1783" s="104"/>
      <c r="E1783" s="104"/>
      <c r="F1783" s="104"/>
      <c r="G1783" s="104"/>
      <c r="H1783" s="104"/>
      <c r="I1783" s="104"/>
      <c r="J1783" s="104"/>
      <c r="K1783" s="104"/>
      <c r="L1783" s="104"/>
      <c r="R1783" s="105"/>
      <c r="S1783" s="105"/>
      <c r="T1783" s="105"/>
      <c r="U1783" s="105"/>
      <c r="V1783" s="105"/>
      <c r="W1783" s="105"/>
      <c r="AD1783" s="106"/>
      <c r="AE1783" s="97"/>
      <c r="AF1783" s="97"/>
      <c r="AG1783" s="97"/>
      <c r="AH1783" s="97"/>
      <c r="AI1783" s="97"/>
      <c r="AJ1783" s="97"/>
      <c r="AK1783" s="97"/>
      <c r="AL1783" s="97"/>
      <c r="AM1783" s="97"/>
      <c r="AN1783" s="97"/>
      <c r="AO1783" s="97"/>
      <c r="AP1783" s="97"/>
      <c r="AQ1783" s="97"/>
    </row>
    <row r="1784" spans="2:43" s="101" customFormat="1" ht="15" customHeight="1">
      <c r="B1784" s="104"/>
      <c r="C1784" s="104"/>
      <c r="D1784" s="104"/>
      <c r="E1784" s="104"/>
      <c r="F1784" s="104"/>
      <c r="G1784" s="104"/>
      <c r="H1784" s="104"/>
      <c r="I1784" s="104"/>
      <c r="J1784" s="104"/>
      <c r="K1784" s="104"/>
      <c r="L1784" s="104"/>
      <c r="R1784" s="105"/>
      <c r="S1784" s="105"/>
      <c r="T1784" s="105"/>
      <c r="U1784" s="105"/>
      <c r="V1784" s="105"/>
      <c r="W1784" s="105"/>
      <c r="AD1784" s="106"/>
      <c r="AE1784" s="97"/>
      <c r="AF1784" s="97"/>
      <c r="AG1784" s="97"/>
      <c r="AH1784" s="97"/>
      <c r="AI1784" s="97"/>
      <c r="AJ1784" s="97"/>
      <c r="AK1784" s="97"/>
      <c r="AL1784" s="97"/>
      <c r="AM1784" s="97"/>
      <c r="AN1784" s="97"/>
      <c r="AO1784" s="97"/>
      <c r="AP1784" s="97"/>
      <c r="AQ1784" s="97"/>
    </row>
    <row r="1785" spans="2:43" s="101" customFormat="1" ht="15" customHeight="1">
      <c r="B1785" s="104"/>
      <c r="C1785" s="104"/>
      <c r="D1785" s="104"/>
      <c r="E1785" s="104"/>
      <c r="F1785" s="104"/>
      <c r="G1785" s="104"/>
      <c r="H1785" s="104"/>
      <c r="I1785" s="104"/>
      <c r="J1785" s="104"/>
      <c r="K1785" s="104"/>
      <c r="L1785" s="104"/>
      <c r="R1785" s="105"/>
      <c r="S1785" s="105"/>
      <c r="T1785" s="105"/>
      <c r="U1785" s="105"/>
      <c r="V1785" s="105"/>
      <c r="W1785" s="105"/>
      <c r="AD1785" s="106"/>
      <c r="AE1785" s="97"/>
      <c r="AF1785" s="97"/>
      <c r="AG1785" s="97"/>
      <c r="AH1785" s="97"/>
      <c r="AI1785" s="97"/>
      <c r="AJ1785" s="97"/>
      <c r="AK1785" s="97"/>
      <c r="AL1785" s="97"/>
      <c r="AM1785" s="97"/>
      <c r="AN1785" s="97"/>
      <c r="AO1785" s="97"/>
      <c r="AP1785" s="97"/>
      <c r="AQ1785" s="97"/>
    </row>
    <row r="1786" spans="2:43" s="101" customFormat="1" ht="15" customHeight="1">
      <c r="B1786" s="104"/>
      <c r="C1786" s="104"/>
      <c r="D1786" s="104"/>
      <c r="E1786" s="104"/>
      <c r="F1786" s="104"/>
      <c r="G1786" s="104"/>
      <c r="H1786" s="104"/>
      <c r="I1786" s="104"/>
      <c r="J1786" s="104"/>
      <c r="K1786" s="104"/>
      <c r="L1786" s="104"/>
      <c r="R1786" s="105"/>
      <c r="S1786" s="105"/>
      <c r="T1786" s="105"/>
      <c r="U1786" s="105"/>
      <c r="V1786" s="105"/>
      <c r="W1786" s="105"/>
      <c r="AD1786" s="106"/>
      <c r="AE1786" s="97"/>
      <c r="AF1786" s="97"/>
      <c r="AG1786" s="97"/>
      <c r="AH1786" s="97"/>
      <c r="AI1786" s="97"/>
      <c r="AJ1786" s="97"/>
      <c r="AK1786" s="97"/>
      <c r="AL1786" s="97"/>
      <c r="AM1786" s="97"/>
      <c r="AN1786" s="97"/>
      <c r="AO1786" s="97"/>
      <c r="AP1786" s="97"/>
      <c r="AQ1786" s="97"/>
    </row>
    <row r="1787" spans="2:43" s="101" customFormat="1" ht="15" customHeight="1">
      <c r="B1787" s="104"/>
      <c r="C1787" s="104"/>
      <c r="D1787" s="104"/>
      <c r="E1787" s="104"/>
      <c r="F1787" s="104"/>
      <c r="G1787" s="104"/>
      <c r="H1787" s="104"/>
      <c r="I1787" s="104"/>
      <c r="J1787" s="104"/>
      <c r="K1787" s="104"/>
      <c r="L1787" s="104"/>
      <c r="R1787" s="105"/>
      <c r="S1787" s="105"/>
      <c r="T1787" s="105"/>
      <c r="U1787" s="105"/>
      <c r="V1787" s="105"/>
      <c r="W1787" s="105"/>
      <c r="AD1787" s="106"/>
      <c r="AE1787" s="97"/>
      <c r="AF1787" s="97"/>
      <c r="AG1787" s="97"/>
      <c r="AH1787" s="97"/>
      <c r="AI1787" s="97"/>
      <c r="AJ1787" s="97"/>
      <c r="AK1787" s="97"/>
      <c r="AL1787" s="97"/>
      <c r="AM1787" s="97"/>
      <c r="AN1787" s="97"/>
      <c r="AO1787" s="97"/>
      <c r="AP1787" s="97"/>
      <c r="AQ1787" s="97"/>
    </row>
    <row r="1788" spans="2:43" s="101" customFormat="1" ht="15" customHeight="1">
      <c r="B1788" s="104"/>
      <c r="C1788" s="104"/>
      <c r="D1788" s="104"/>
      <c r="E1788" s="104"/>
      <c r="F1788" s="104"/>
      <c r="G1788" s="104"/>
      <c r="H1788" s="104"/>
      <c r="I1788" s="104"/>
      <c r="J1788" s="104"/>
      <c r="K1788" s="104"/>
      <c r="L1788" s="104"/>
      <c r="R1788" s="105"/>
      <c r="S1788" s="105"/>
      <c r="T1788" s="105"/>
      <c r="U1788" s="105"/>
      <c r="V1788" s="105"/>
      <c r="W1788" s="105"/>
      <c r="AD1788" s="106"/>
      <c r="AE1788" s="97"/>
      <c r="AF1788" s="97"/>
      <c r="AG1788" s="97"/>
      <c r="AH1788" s="97"/>
      <c r="AI1788" s="97"/>
      <c r="AJ1788" s="97"/>
      <c r="AK1788" s="97"/>
      <c r="AL1788" s="97"/>
      <c r="AM1788" s="97"/>
      <c r="AN1788" s="97"/>
      <c r="AO1788" s="97"/>
      <c r="AP1788" s="97"/>
      <c r="AQ1788" s="97"/>
    </row>
    <row r="1789" spans="2:43" s="101" customFormat="1" ht="15" customHeight="1">
      <c r="B1789" s="104"/>
      <c r="C1789" s="104"/>
      <c r="D1789" s="104"/>
      <c r="E1789" s="104"/>
      <c r="F1789" s="104"/>
      <c r="G1789" s="104"/>
      <c r="H1789" s="104"/>
      <c r="I1789" s="104"/>
      <c r="J1789" s="104"/>
      <c r="K1789" s="104"/>
      <c r="L1789" s="104"/>
      <c r="R1789" s="105"/>
      <c r="S1789" s="105"/>
      <c r="T1789" s="105"/>
      <c r="U1789" s="105"/>
      <c r="V1789" s="105"/>
      <c r="W1789" s="105"/>
      <c r="AD1789" s="106"/>
      <c r="AE1789" s="97"/>
      <c r="AF1789" s="97"/>
      <c r="AG1789" s="97"/>
      <c r="AH1789" s="97"/>
      <c r="AI1789" s="97"/>
      <c r="AJ1789" s="97"/>
      <c r="AK1789" s="97"/>
      <c r="AL1789" s="97"/>
      <c r="AM1789" s="97"/>
      <c r="AN1789" s="97"/>
      <c r="AO1789" s="97"/>
      <c r="AP1789" s="97"/>
      <c r="AQ1789" s="97"/>
    </row>
    <row r="1790" spans="2:43" s="101" customFormat="1" ht="15" customHeight="1">
      <c r="B1790" s="104"/>
      <c r="C1790" s="104"/>
      <c r="D1790" s="104"/>
      <c r="E1790" s="104"/>
      <c r="F1790" s="104"/>
      <c r="G1790" s="104"/>
      <c r="H1790" s="104"/>
      <c r="I1790" s="104"/>
      <c r="J1790" s="104"/>
      <c r="K1790" s="104"/>
      <c r="L1790" s="104"/>
      <c r="R1790" s="105"/>
      <c r="S1790" s="105"/>
      <c r="T1790" s="105"/>
      <c r="U1790" s="105"/>
      <c r="V1790" s="105"/>
      <c r="W1790" s="105"/>
      <c r="AD1790" s="106"/>
      <c r="AE1790" s="97"/>
      <c r="AF1790" s="97"/>
      <c r="AG1790" s="97"/>
      <c r="AH1790" s="97"/>
      <c r="AI1790" s="97"/>
      <c r="AJ1790" s="97"/>
      <c r="AK1790" s="97"/>
      <c r="AL1790" s="97"/>
      <c r="AM1790" s="97"/>
      <c r="AN1790" s="97"/>
      <c r="AO1790" s="97"/>
      <c r="AP1790" s="97"/>
      <c r="AQ1790" s="97"/>
    </row>
    <row r="1791" spans="2:43" s="101" customFormat="1" ht="15" customHeight="1">
      <c r="B1791" s="104"/>
      <c r="C1791" s="104"/>
      <c r="D1791" s="104"/>
      <c r="E1791" s="104"/>
      <c r="F1791" s="104"/>
      <c r="G1791" s="104"/>
      <c r="H1791" s="104"/>
      <c r="I1791" s="104"/>
      <c r="J1791" s="104"/>
      <c r="K1791" s="104"/>
      <c r="L1791" s="104"/>
      <c r="R1791" s="105"/>
      <c r="S1791" s="105"/>
      <c r="T1791" s="105"/>
      <c r="U1791" s="105"/>
      <c r="V1791" s="105"/>
      <c r="W1791" s="105"/>
      <c r="AD1791" s="106"/>
      <c r="AE1791" s="97"/>
      <c r="AF1791" s="97"/>
      <c r="AG1791" s="97"/>
      <c r="AH1791" s="97"/>
      <c r="AI1791" s="97"/>
      <c r="AJ1791" s="97"/>
      <c r="AK1791" s="97"/>
      <c r="AL1791" s="97"/>
      <c r="AM1791" s="97"/>
      <c r="AN1791" s="97"/>
      <c r="AO1791" s="97"/>
      <c r="AP1791" s="97"/>
      <c r="AQ1791" s="97"/>
    </row>
    <row r="1792" spans="2:43" s="101" customFormat="1" ht="15" customHeight="1">
      <c r="B1792" s="104"/>
      <c r="C1792" s="104"/>
      <c r="D1792" s="104"/>
      <c r="E1792" s="104"/>
      <c r="F1792" s="104"/>
      <c r="G1792" s="104"/>
      <c r="H1792" s="104"/>
      <c r="I1792" s="104"/>
      <c r="J1792" s="104"/>
      <c r="K1792" s="104"/>
      <c r="L1792" s="104"/>
      <c r="R1792" s="105"/>
      <c r="S1792" s="105"/>
      <c r="T1792" s="105"/>
      <c r="U1792" s="105"/>
      <c r="V1792" s="105"/>
      <c r="W1792" s="105"/>
      <c r="AD1792" s="106"/>
      <c r="AE1792" s="97"/>
      <c r="AF1792" s="97"/>
      <c r="AG1792" s="97"/>
      <c r="AH1792" s="97"/>
      <c r="AI1792" s="97"/>
      <c r="AJ1792" s="97"/>
      <c r="AK1792" s="97"/>
      <c r="AL1792" s="97"/>
      <c r="AM1792" s="97"/>
      <c r="AN1792" s="97"/>
      <c r="AO1792" s="97"/>
      <c r="AP1792" s="97"/>
      <c r="AQ1792" s="97"/>
    </row>
    <row r="1793" spans="2:43" s="101" customFormat="1" ht="15" customHeight="1">
      <c r="B1793" s="104"/>
      <c r="C1793" s="104"/>
      <c r="D1793" s="104"/>
      <c r="E1793" s="104"/>
      <c r="F1793" s="104"/>
      <c r="G1793" s="104"/>
      <c r="H1793" s="104"/>
      <c r="I1793" s="104"/>
      <c r="J1793" s="104"/>
      <c r="K1793" s="104"/>
      <c r="L1793" s="104"/>
      <c r="R1793" s="105"/>
      <c r="S1793" s="105"/>
      <c r="T1793" s="105"/>
      <c r="U1793" s="105"/>
      <c r="V1793" s="105"/>
      <c r="W1793" s="105"/>
      <c r="AD1793" s="106"/>
      <c r="AE1793" s="97"/>
      <c r="AF1793" s="97"/>
      <c r="AG1793" s="97"/>
      <c r="AH1793" s="97"/>
      <c r="AI1793" s="97"/>
      <c r="AJ1793" s="97"/>
      <c r="AK1793" s="97"/>
      <c r="AL1793" s="97"/>
      <c r="AM1793" s="97"/>
      <c r="AN1793" s="97"/>
      <c r="AO1793" s="97"/>
      <c r="AP1793" s="97"/>
      <c r="AQ1793" s="97"/>
    </row>
    <row r="1794" spans="2:43" s="101" customFormat="1" ht="15" customHeight="1">
      <c r="B1794" s="104"/>
      <c r="C1794" s="104"/>
      <c r="D1794" s="104"/>
      <c r="E1794" s="104"/>
      <c r="F1794" s="104"/>
      <c r="G1794" s="104"/>
      <c r="H1794" s="104"/>
      <c r="I1794" s="104"/>
      <c r="J1794" s="104"/>
      <c r="K1794" s="104"/>
      <c r="L1794" s="104"/>
      <c r="R1794" s="105"/>
      <c r="S1794" s="105"/>
      <c r="T1794" s="105"/>
      <c r="U1794" s="105"/>
      <c r="V1794" s="105"/>
      <c r="W1794" s="105"/>
      <c r="AD1794" s="106"/>
      <c r="AE1794" s="97"/>
      <c r="AF1794" s="97"/>
      <c r="AG1794" s="97"/>
      <c r="AH1794" s="97"/>
      <c r="AI1794" s="97"/>
      <c r="AJ1794" s="97"/>
      <c r="AK1794" s="97"/>
      <c r="AL1794" s="97"/>
      <c r="AM1794" s="97"/>
      <c r="AN1794" s="97"/>
      <c r="AO1794" s="97"/>
      <c r="AP1794" s="97"/>
      <c r="AQ1794" s="97"/>
    </row>
    <row r="1795" spans="2:43" s="101" customFormat="1" ht="15" customHeight="1">
      <c r="B1795" s="104"/>
      <c r="C1795" s="104"/>
      <c r="D1795" s="104"/>
      <c r="E1795" s="104"/>
      <c r="F1795" s="104"/>
      <c r="G1795" s="104"/>
      <c r="H1795" s="104"/>
      <c r="I1795" s="104"/>
      <c r="J1795" s="104"/>
      <c r="K1795" s="104"/>
      <c r="L1795" s="104"/>
      <c r="R1795" s="105"/>
      <c r="S1795" s="105"/>
      <c r="T1795" s="105"/>
      <c r="U1795" s="105"/>
      <c r="V1795" s="105"/>
      <c r="W1795" s="105"/>
      <c r="AD1795" s="106"/>
      <c r="AE1795" s="97"/>
      <c r="AF1795" s="97"/>
      <c r="AG1795" s="97"/>
      <c r="AH1795" s="97"/>
      <c r="AI1795" s="97"/>
      <c r="AJ1795" s="97"/>
      <c r="AK1795" s="97"/>
      <c r="AL1795" s="97"/>
      <c r="AM1795" s="97"/>
      <c r="AN1795" s="97"/>
      <c r="AO1795" s="97"/>
      <c r="AP1795" s="97"/>
      <c r="AQ1795" s="97"/>
    </row>
    <row r="1796" spans="2:43" s="101" customFormat="1" ht="15" customHeight="1">
      <c r="B1796" s="104"/>
      <c r="C1796" s="104"/>
      <c r="D1796" s="104"/>
      <c r="E1796" s="104"/>
      <c r="F1796" s="104"/>
      <c r="G1796" s="104"/>
      <c r="H1796" s="104"/>
      <c r="I1796" s="104"/>
      <c r="J1796" s="104"/>
      <c r="K1796" s="104"/>
      <c r="L1796" s="104"/>
      <c r="R1796" s="105"/>
      <c r="S1796" s="105"/>
      <c r="T1796" s="105"/>
      <c r="U1796" s="105"/>
      <c r="V1796" s="105"/>
      <c r="W1796" s="105"/>
      <c r="AD1796" s="106"/>
      <c r="AE1796" s="97"/>
      <c r="AF1796" s="97"/>
      <c r="AG1796" s="97"/>
      <c r="AH1796" s="97"/>
      <c r="AI1796" s="97"/>
      <c r="AJ1796" s="97"/>
      <c r="AK1796" s="97"/>
      <c r="AL1796" s="97"/>
      <c r="AM1796" s="97"/>
      <c r="AN1796" s="97"/>
      <c r="AO1796" s="97"/>
      <c r="AP1796" s="97"/>
      <c r="AQ1796" s="97"/>
    </row>
    <row r="1797" spans="2:43" s="101" customFormat="1" ht="15" customHeight="1">
      <c r="B1797" s="104"/>
      <c r="C1797" s="104"/>
      <c r="D1797" s="104"/>
      <c r="E1797" s="104"/>
      <c r="F1797" s="104"/>
      <c r="G1797" s="104"/>
      <c r="H1797" s="104"/>
      <c r="I1797" s="104"/>
      <c r="J1797" s="104"/>
      <c r="K1797" s="104"/>
      <c r="L1797" s="104"/>
      <c r="R1797" s="105"/>
      <c r="S1797" s="105"/>
      <c r="T1797" s="105"/>
      <c r="U1797" s="105"/>
      <c r="V1797" s="105"/>
      <c r="W1797" s="105"/>
      <c r="AD1797" s="106"/>
      <c r="AE1797" s="97"/>
      <c r="AF1797" s="97"/>
      <c r="AG1797" s="97"/>
      <c r="AH1797" s="97"/>
      <c r="AI1797" s="97"/>
      <c r="AJ1797" s="97"/>
      <c r="AK1797" s="97"/>
      <c r="AL1797" s="97"/>
      <c r="AM1797" s="97"/>
      <c r="AN1797" s="97"/>
      <c r="AO1797" s="97"/>
      <c r="AP1797" s="97"/>
      <c r="AQ1797" s="97"/>
    </row>
    <row r="1798" spans="2:43" s="101" customFormat="1" ht="15" customHeight="1">
      <c r="B1798" s="104"/>
      <c r="C1798" s="104"/>
      <c r="D1798" s="104"/>
      <c r="E1798" s="104"/>
      <c r="F1798" s="104"/>
      <c r="G1798" s="104"/>
      <c r="H1798" s="104"/>
      <c r="I1798" s="104"/>
      <c r="J1798" s="104"/>
      <c r="K1798" s="104"/>
      <c r="L1798" s="104"/>
      <c r="R1798" s="105"/>
      <c r="S1798" s="105"/>
      <c r="T1798" s="105"/>
      <c r="U1798" s="105"/>
      <c r="V1798" s="105"/>
      <c r="W1798" s="105"/>
      <c r="AD1798" s="106"/>
      <c r="AE1798" s="97"/>
      <c r="AF1798" s="97"/>
      <c r="AG1798" s="97"/>
      <c r="AH1798" s="97"/>
      <c r="AI1798" s="97"/>
      <c r="AJ1798" s="97"/>
      <c r="AK1798" s="97"/>
      <c r="AL1798" s="97"/>
      <c r="AM1798" s="97"/>
      <c r="AN1798" s="97"/>
      <c r="AO1798" s="97"/>
      <c r="AP1798" s="97"/>
      <c r="AQ1798" s="97"/>
    </row>
    <row r="1799" spans="2:43" s="101" customFormat="1" ht="15" customHeight="1">
      <c r="B1799" s="104"/>
      <c r="C1799" s="104"/>
      <c r="D1799" s="104"/>
      <c r="E1799" s="104"/>
      <c r="F1799" s="104"/>
      <c r="G1799" s="104"/>
      <c r="H1799" s="104"/>
      <c r="I1799" s="104"/>
      <c r="J1799" s="104"/>
      <c r="K1799" s="104"/>
      <c r="L1799" s="104"/>
      <c r="R1799" s="105"/>
      <c r="S1799" s="105"/>
      <c r="T1799" s="105"/>
      <c r="U1799" s="105"/>
      <c r="V1799" s="105"/>
      <c r="W1799" s="105"/>
      <c r="AD1799" s="106"/>
      <c r="AE1799" s="97"/>
      <c r="AF1799" s="97"/>
      <c r="AG1799" s="97"/>
      <c r="AH1799" s="97"/>
      <c r="AI1799" s="97"/>
      <c r="AJ1799" s="97"/>
      <c r="AK1799" s="97"/>
      <c r="AL1799" s="97"/>
      <c r="AM1799" s="97"/>
      <c r="AN1799" s="97"/>
      <c r="AO1799" s="97"/>
      <c r="AP1799" s="97"/>
      <c r="AQ1799" s="97"/>
    </row>
    <row r="1800" spans="2:43" s="101" customFormat="1" ht="15" customHeight="1">
      <c r="B1800" s="104"/>
      <c r="C1800" s="104"/>
      <c r="D1800" s="104"/>
      <c r="E1800" s="104"/>
      <c r="F1800" s="104"/>
      <c r="G1800" s="104"/>
      <c r="H1800" s="104"/>
      <c r="I1800" s="104"/>
      <c r="J1800" s="104"/>
      <c r="K1800" s="104"/>
      <c r="L1800" s="104"/>
      <c r="R1800" s="105"/>
      <c r="S1800" s="105"/>
      <c r="T1800" s="105"/>
      <c r="U1800" s="105"/>
      <c r="V1800" s="105"/>
      <c r="W1800" s="105"/>
      <c r="AD1800" s="106"/>
      <c r="AE1800" s="97"/>
      <c r="AF1800" s="97"/>
      <c r="AG1800" s="97"/>
      <c r="AH1800" s="97"/>
      <c r="AI1800" s="97"/>
      <c r="AJ1800" s="97"/>
      <c r="AK1800" s="97"/>
      <c r="AL1800" s="97"/>
      <c r="AM1800" s="97"/>
      <c r="AN1800" s="97"/>
      <c r="AO1800" s="97"/>
      <c r="AP1800" s="97"/>
      <c r="AQ1800" s="97"/>
    </row>
    <row r="1801" spans="2:43" s="101" customFormat="1" ht="15" customHeight="1">
      <c r="B1801" s="104"/>
      <c r="C1801" s="104"/>
      <c r="D1801" s="104"/>
      <c r="E1801" s="104"/>
      <c r="F1801" s="104"/>
      <c r="G1801" s="104"/>
      <c r="H1801" s="104"/>
      <c r="I1801" s="104"/>
      <c r="J1801" s="104"/>
      <c r="K1801" s="104"/>
      <c r="L1801" s="104"/>
      <c r="R1801" s="105"/>
      <c r="S1801" s="105"/>
      <c r="T1801" s="105"/>
      <c r="U1801" s="105"/>
      <c r="V1801" s="105"/>
      <c r="W1801" s="105"/>
      <c r="AD1801" s="106"/>
      <c r="AE1801" s="97"/>
      <c r="AF1801" s="97"/>
      <c r="AG1801" s="97"/>
      <c r="AH1801" s="97"/>
      <c r="AI1801" s="97"/>
      <c r="AJ1801" s="97"/>
      <c r="AK1801" s="97"/>
      <c r="AL1801" s="97"/>
      <c r="AM1801" s="97"/>
      <c r="AN1801" s="97"/>
      <c r="AO1801" s="97"/>
      <c r="AP1801" s="97"/>
      <c r="AQ1801" s="97"/>
    </row>
    <row r="1802" spans="2:43" s="101" customFormat="1" ht="15" customHeight="1">
      <c r="B1802" s="104"/>
      <c r="C1802" s="104"/>
      <c r="D1802" s="104"/>
      <c r="E1802" s="104"/>
      <c r="F1802" s="104"/>
      <c r="G1802" s="104"/>
      <c r="H1802" s="104"/>
      <c r="I1802" s="104"/>
      <c r="J1802" s="104"/>
      <c r="K1802" s="104"/>
      <c r="L1802" s="104"/>
      <c r="R1802" s="105"/>
      <c r="S1802" s="105"/>
      <c r="T1802" s="105"/>
      <c r="U1802" s="105"/>
      <c r="V1802" s="105"/>
      <c r="W1802" s="105"/>
      <c r="AD1802" s="106"/>
      <c r="AE1802" s="97"/>
      <c r="AF1802" s="97"/>
      <c r="AG1802" s="97"/>
      <c r="AH1802" s="97"/>
      <c r="AI1802" s="97"/>
      <c r="AJ1802" s="97"/>
      <c r="AK1802" s="97"/>
      <c r="AL1802" s="97"/>
      <c r="AM1802" s="97"/>
      <c r="AN1802" s="97"/>
      <c r="AO1802" s="97"/>
      <c r="AP1802" s="97"/>
      <c r="AQ1802" s="97"/>
    </row>
    <row r="1803" spans="2:43" s="101" customFormat="1" ht="15" customHeight="1">
      <c r="B1803" s="104"/>
      <c r="C1803" s="104"/>
      <c r="D1803" s="104"/>
      <c r="E1803" s="104"/>
      <c r="F1803" s="104"/>
      <c r="G1803" s="104"/>
      <c r="H1803" s="104"/>
      <c r="I1803" s="104"/>
      <c r="J1803" s="104"/>
      <c r="K1803" s="104"/>
      <c r="L1803" s="104"/>
      <c r="R1803" s="105"/>
      <c r="S1803" s="105"/>
      <c r="T1803" s="105"/>
      <c r="U1803" s="105"/>
      <c r="V1803" s="105"/>
      <c r="W1803" s="105"/>
      <c r="AD1803" s="106"/>
      <c r="AE1803" s="97"/>
      <c r="AF1803" s="97"/>
      <c r="AG1803" s="97"/>
      <c r="AH1803" s="97"/>
      <c r="AI1803" s="97"/>
      <c r="AJ1803" s="97"/>
      <c r="AK1803" s="97"/>
      <c r="AL1803" s="97"/>
      <c r="AM1803" s="97"/>
      <c r="AN1803" s="97"/>
      <c r="AO1803" s="97"/>
      <c r="AP1803" s="97"/>
      <c r="AQ1803" s="97"/>
    </row>
    <row r="1804" spans="2:43" s="101" customFormat="1" ht="15" customHeight="1">
      <c r="B1804" s="104"/>
      <c r="C1804" s="104"/>
      <c r="D1804" s="104"/>
      <c r="E1804" s="104"/>
      <c r="F1804" s="104"/>
      <c r="G1804" s="104"/>
      <c r="H1804" s="104"/>
      <c r="I1804" s="104"/>
      <c r="J1804" s="104"/>
      <c r="K1804" s="104"/>
      <c r="L1804" s="104"/>
      <c r="R1804" s="105"/>
      <c r="S1804" s="105"/>
      <c r="T1804" s="105"/>
      <c r="U1804" s="105"/>
      <c r="V1804" s="105"/>
      <c r="W1804" s="105"/>
      <c r="AD1804" s="106"/>
      <c r="AE1804" s="97"/>
      <c r="AF1804" s="97"/>
      <c r="AG1804" s="97"/>
      <c r="AH1804" s="97"/>
      <c r="AI1804" s="97"/>
      <c r="AJ1804" s="97"/>
      <c r="AK1804" s="97"/>
      <c r="AL1804" s="97"/>
      <c r="AM1804" s="97"/>
      <c r="AN1804" s="97"/>
      <c r="AO1804" s="97"/>
      <c r="AP1804" s="97"/>
      <c r="AQ1804" s="97"/>
    </row>
    <row r="1805" spans="2:43" s="101" customFormat="1" ht="15" customHeight="1">
      <c r="B1805" s="104"/>
      <c r="C1805" s="104"/>
      <c r="D1805" s="104"/>
      <c r="E1805" s="104"/>
      <c r="F1805" s="104"/>
      <c r="G1805" s="104"/>
      <c r="H1805" s="104"/>
      <c r="I1805" s="104"/>
      <c r="J1805" s="104"/>
      <c r="K1805" s="104"/>
      <c r="L1805" s="104"/>
      <c r="R1805" s="105"/>
      <c r="S1805" s="105"/>
      <c r="T1805" s="105"/>
      <c r="U1805" s="105"/>
      <c r="V1805" s="105"/>
      <c r="W1805" s="105"/>
      <c r="AD1805" s="106"/>
      <c r="AE1805" s="97"/>
      <c r="AF1805" s="97"/>
      <c r="AG1805" s="97"/>
      <c r="AH1805" s="97"/>
      <c r="AI1805" s="97"/>
      <c r="AJ1805" s="97"/>
      <c r="AK1805" s="97"/>
      <c r="AL1805" s="97"/>
      <c r="AM1805" s="97"/>
      <c r="AN1805" s="97"/>
      <c r="AO1805" s="97"/>
      <c r="AP1805" s="97"/>
      <c r="AQ1805" s="97"/>
    </row>
    <row r="1806" spans="2:43" s="101" customFormat="1" ht="15" customHeight="1">
      <c r="B1806" s="104"/>
      <c r="C1806" s="104"/>
      <c r="D1806" s="104"/>
      <c r="E1806" s="104"/>
      <c r="F1806" s="104"/>
      <c r="G1806" s="104"/>
      <c r="H1806" s="104"/>
      <c r="I1806" s="104"/>
      <c r="J1806" s="104"/>
      <c r="K1806" s="104"/>
      <c r="L1806" s="104"/>
      <c r="R1806" s="105"/>
      <c r="S1806" s="105"/>
      <c r="T1806" s="105"/>
      <c r="U1806" s="105"/>
      <c r="V1806" s="105"/>
      <c r="W1806" s="105"/>
      <c r="AD1806" s="106"/>
      <c r="AE1806" s="97"/>
      <c r="AF1806" s="97"/>
      <c r="AG1806" s="97"/>
      <c r="AH1806" s="97"/>
      <c r="AI1806" s="97"/>
      <c r="AJ1806" s="97"/>
      <c r="AK1806" s="97"/>
      <c r="AL1806" s="97"/>
      <c r="AM1806" s="97"/>
      <c r="AN1806" s="97"/>
      <c r="AO1806" s="97"/>
      <c r="AP1806" s="97"/>
      <c r="AQ1806" s="97"/>
    </row>
    <row r="1807" spans="2:43" s="101" customFormat="1" ht="15" customHeight="1">
      <c r="B1807" s="104"/>
      <c r="C1807" s="104"/>
      <c r="D1807" s="104"/>
      <c r="E1807" s="104"/>
      <c r="F1807" s="104"/>
      <c r="G1807" s="104"/>
      <c r="H1807" s="104"/>
      <c r="I1807" s="104"/>
      <c r="J1807" s="104"/>
      <c r="K1807" s="104"/>
      <c r="L1807" s="104"/>
      <c r="R1807" s="105"/>
      <c r="S1807" s="105"/>
      <c r="T1807" s="105"/>
      <c r="U1807" s="105"/>
      <c r="V1807" s="105"/>
      <c r="W1807" s="105"/>
      <c r="AD1807" s="106"/>
      <c r="AE1807" s="97"/>
      <c r="AF1807" s="97"/>
      <c r="AG1807" s="97"/>
      <c r="AH1807" s="97"/>
      <c r="AI1807" s="97"/>
      <c r="AJ1807" s="97"/>
      <c r="AK1807" s="97"/>
      <c r="AL1807" s="97"/>
      <c r="AM1807" s="97"/>
      <c r="AN1807" s="97"/>
      <c r="AO1807" s="97"/>
      <c r="AP1807" s="97"/>
      <c r="AQ1807" s="97"/>
    </row>
    <row r="1808" spans="2:43" s="101" customFormat="1" ht="15" customHeight="1">
      <c r="B1808" s="104"/>
      <c r="C1808" s="104"/>
      <c r="D1808" s="104"/>
      <c r="E1808" s="104"/>
      <c r="F1808" s="104"/>
      <c r="G1808" s="104"/>
      <c r="H1808" s="104"/>
      <c r="I1808" s="104"/>
      <c r="J1808" s="104"/>
      <c r="K1808" s="104"/>
      <c r="L1808" s="104"/>
      <c r="R1808" s="105"/>
      <c r="S1808" s="105"/>
      <c r="T1808" s="105"/>
      <c r="U1808" s="105"/>
      <c r="V1808" s="105"/>
      <c r="W1808" s="105"/>
      <c r="AD1808" s="106"/>
      <c r="AE1808" s="97"/>
      <c r="AF1808" s="97"/>
      <c r="AG1808" s="97"/>
      <c r="AH1808" s="97"/>
      <c r="AI1808" s="97"/>
      <c r="AJ1808" s="97"/>
      <c r="AK1808" s="97"/>
      <c r="AL1808" s="97"/>
      <c r="AM1808" s="97"/>
      <c r="AN1808" s="97"/>
      <c r="AO1808" s="97"/>
      <c r="AP1808" s="97"/>
      <c r="AQ1808" s="97"/>
    </row>
    <row r="1809" spans="2:43" s="101" customFormat="1" ht="15" customHeight="1">
      <c r="B1809" s="104"/>
      <c r="C1809" s="104"/>
      <c r="D1809" s="104"/>
      <c r="E1809" s="104"/>
      <c r="F1809" s="104"/>
      <c r="G1809" s="104"/>
      <c r="H1809" s="104"/>
      <c r="I1809" s="104"/>
      <c r="J1809" s="104"/>
      <c r="K1809" s="104"/>
      <c r="L1809" s="104"/>
      <c r="R1809" s="105"/>
      <c r="S1809" s="105"/>
      <c r="T1809" s="105"/>
      <c r="U1809" s="105"/>
      <c r="V1809" s="105"/>
      <c r="W1809" s="105"/>
      <c r="AD1809" s="106"/>
      <c r="AE1809" s="97"/>
      <c r="AF1809" s="97"/>
      <c r="AG1809" s="97"/>
      <c r="AH1809" s="97"/>
      <c r="AI1809" s="97"/>
      <c r="AJ1809" s="97"/>
      <c r="AK1809" s="97"/>
      <c r="AL1809" s="97"/>
      <c r="AM1809" s="97"/>
      <c r="AN1809" s="97"/>
      <c r="AO1809" s="97"/>
      <c r="AP1809" s="97"/>
      <c r="AQ1809" s="97"/>
    </row>
    <row r="1810" spans="2:43" s="101" customFormat="1" ht="15" customHeight="1">
      <c r="B1810" s="104"/>
      <c r="C1810" s="104"/>
      <c r="D1810" s="104"/>
      <c r="E1810" s="104"/>
      <c r="F1810" s="104"/>
      <c r="G1810" s="104"/>
      <c r="H1810" s="104"/>
      <c r="I1810" s="104"/>
      <c r="J1810" s="104"/>
      <c r="K1810" s="104"/>
      <c r="L1810" s="104"/>
      <c r="R1810" s="105"/>
      <c r="S1810" s="105"/>
      <c r="T1810" s="105"/>
      <c r="U1810" s="105"/>
      <c r="V1810" s="105"/>
      <c r="W1810" s="105"/>
      <c r="AD1810" s="106"/>
      <c r="AE1810" s="97"/>
      <c r="AF1810" s="97"/>
      <c r="AG1810" s="97"/>
      <c r="AH1810" s="97"/>
      <c r="AI1810" s="97"/>
      <c r="AJ1810" s="97"/>
      <c r="AK1810" s="97"/>
      <c r="AL1810" s="97"/>
      <c r="AM1810" s="97"/>
      <c r="AN1810" s="97"/>
      <c r="AO1810" s="97"/>
      <c r="AP1810" s="97"/>
      <c r="AQ1810" s="97"/>
    </row>
    <row r="1811" spans="2:43" s="101" customFormat="1" ht="15" customHeight="1">
      <c r="B1811" s="104"/>
      <c r="C1811" s="104"/>
      <c r="D1811" s="104"/>
      <c r="E1811" s="104"/>
      <c r="F1811" s="104"/>
      <c r="G1811" s="104"/>
      <c r="H1811" s="104"/>
      <c r="I1811" s="104"/>
      <c r="J1811" s="104"/>
      <c r="K1811" s="104"/>
      <c r="L1811" s="104"/>
      <c r="R1811" s="105"/>
      <c r="S1811" s="105"/>
      <c r="T1811" s="105"/>
      <c r="U1811" s="105"/>
      <c r="V1811" s="105"/>
      <c r="W1811" s="105"/>
      <c r="AD1811" s="106"/>
      <c r="AE1811" s="97"/>
      <c r="AF1811" s="97"/>
      <c r="AG1811" s="97"/>
      <c r="AH1811" s="97"/>
      <c r="AI1811" s="97"/>
      <c r="AJ1811" s="97"/>
      <c r="AK1811" s="97"/>
      <c r="AL1811" s="97"/>
      <c r="AM1811" s="97"/>
      <c r="AN1811" s="97"/>
      <c r="AO1811" s="97"/>
      <c r="AP1811" s="97"/>
      <c r="AQ1811" s="97"/>
    </row>
    <row r="1812" spans="2:43" s="101" customFormat="1" ht="15" customHeight="1">
      <c r="B1812" s="104"/>
      <c r="C1812" s="104"/>
      <c r="D1812" s="104"/>
      <c r="E1812" s="104"/>
      <c r="F1812" s="104"/>
      <c r="G1812" s="104"/>
      <c r="H1812" s="104"/>
      <c r="I1812" s="104"/>
      <c r="J1812" s="104"/>
      <c r="K1812" s="104"/>
      <c r="L1812" s="104"/>
      <c r="R1812" s="105"/>
      <c r="S1812" s="105"/>
      <c r="T1812" s="105"/>
      <c r="U1812" s="105"/>
      <c r="V1812" s="105"/>
      <c r="W1812" s="105"/>
      <c r="AD1812" s="106"/>
      <c r="AE1812" s="97"/>
      <c r="AF1812" s="97"/>
      <c r="AG1812" s="97"/>
      <c r="AH1812" s="97"/>
      <c r="AI1812" s="97"/>
      <c r="AJ1812" s="97"/>
      <c r="AK1812" s="97"/>
      <c r="AL1812" s="97"/>
      <c r="AM1812" s="97"/>
      <c r="AN1812" s="97"/>
      <c r="AO1812" s="97"/>
      <c r="AP1812" s="97"/>
      <c r="AQ1812" s="97"/>
    </row>
    <row r="1813" spans="2:43" s="101" customFormat="1" ht="15" customHeight="1">
      <c r="B1813" s="104"/>
      <c r="C1813" s="104"/>
      <c r="D1813" s="104"/>
      <c r="E1813" s="104"/>
      <c r="F1813" s="104"/>
      <c r="G1813" s="104"/>
      <c r="H1813" s="104"/>
      <c r="I1813" s="104"/>
      <c r="J1813" s="104"/>
      <c r="K1813" s="104"/>
      <c r="L1813" s="104"/>
      <c r="R1813" s="105"/>
      <c r="S1813" s="105"/>
      <c r="T1813" s="105"/>
      <c r="U1813" s="105"/>
      <c r="V1813" s="105"/>
      <c r="W1813" s="105"/>
      <c r="AD1813" s="106"/>
      <c r="AE1813" s="97"/>
      <c r="AF1813" s="97"/>
      <c r="AG1813" s="97"/>
      <c r="AH1813" s="97"/>
      <c r="AI1813" s="97"/>
      <c r="AJ1813" s="97"/>
      <c r="AK1813" s="97"/>
      <c r="AL1813" s="97"/>
      <c r="AM1813" s="97"/>
      <c r="AN1813" s="97"/>
      <c r="AO1813" s="97"/>
      <c r="AP1813" s="97"/>
      <c r="AQ1813" s="97"/>
    </row>
    <row r="1814" spans="2:43" s="101" customFormat="1" ht="15" customHeight="1">
      <c r="B1814" s="104"/>
      <c r="C1814" s="104"/>
      <c r="D1814" s="104"/>
      <c r="E1814" s="104"/>
      <c r="F1814" s="104"/>
      <c r="G1814" s="104"/>
      <c r="H1814" s="104"/>
      <c r="I1814" s="104"/>
      <c r="J1814" s="104"/>
      <c r="K1814" s="104"/>
      <c r="L1814" s="104"/>
      <c r="R1814" s="105"/>
      <c r="S1814" s="105"/>
      <c r="T1814" s="105"/>
      <c r="U1814" s="105"/>
      <c r="V1814" s="105"/>
      <c r="W1814" s="105"/>
      <c r="AD1814" s="106"/>
      <c r="AE1814" s="97"/>
      <c r="AF1814" s="97"/>
      <c r="AG1814" s="97"/>
      <c r="AH1814" s="97"/>
      <c r="AI1814" s="97"/>
      <c r="AJ1814" s="97"/>
      <c r="AK1814" s="97"/>
      <c r="AL1814" s="97"/>
      <c r="AM1814" s="97"/>
      <c r="AN1814" s="97"/>
      <c r="AO1814" s="97"/>
      <c r="AP1814" s="97"/>
      <c r="AQ1814" s="97"/>
    </row>
    <row r="1815" spans="2:43" s="101" customFormat="1" ht="15" customHeight="1">
      <c r="B1815" s="104"/>
      <c r="C1815" s="104"/>
      <c r="D1815" s="104"/>
      <c r="E1815" s="104"/>
      <c r="F1815" s="104"/>
      <c r="G1815" s="104"/>
      <c r="H1815" s="104"/>
      <c r="I1815" s="104"/>
      <c r="J1815" s="104"/>
      <c r="K1815" s="104"/>
      <c r="L1815" s="104"/>
      <c r="R1815" s="105"/>
      <c r="S1815" s="105"/>
      <c r="T1815" s="105"/>
      <c r="U1815" s="105"/>
      <c r="V1815" s="105"/>
      <c r="W1815" s="105"/>
      <c r="AD1815" s="106"/>
      <c r="AE1815" s="97"/>
      <c r="AF1815" s="97"/>
      <c r="AG1815" s="97"/>
      <c r="AH1815" s="97"/>
      <c r="AI1815" s="97"/>
      <c r="AJ1815" s="97"/>
      <c r="AK1815" s="97"/>
      <c r="AL1815" s="97"/>
      <c r="AM1815" s="97"/>
      <c r="AN1815" s="97"/>
      <c r="AO1815" s="97"/>
      <c r="AP1815" s="97"/>
      <c r="AQ1815" s="97"/>
    </row>
    <row r="1816" spans="2:43" s="101" customFormat="1" ht="15" customHeight="1">
      <c r="B1816" s="104"/>
      <c r="C1816" s="104"/>
      <c r="D1816" s="104"/>
      <c r="E1816" s="104"/>
      <c r="F1816" s="104"/>
      <c r="G1816" s="104"/>
      <c r="H1816" s="104"/>
      <c r="I1816" s="104"/>
      <c r="J1816" s="104"/>
      <c r="K1816" s="104"/>
      <c r="L1816" s="104"/>
      <c r="R1816" s="105"/>
      <c r="S1816" s="105"/>
      <c r="T1816" s="105"/>
      <c r="U1816" s="105"/>
      <c r="V1816" s="105"/>
      <c r="W1816" s="105"/>
      <c r="AD1816" s="106"/>
      <c r="AE1816" s="97"/>
      <c r="AF1816" s="97"/>
      <c r="AG1816" s="97"/>
      <c r="AH1816" s="97"/>
      <c r="AI1816" s="97"/>
      <c r="AJ1816" s="97"/>
      <c r="AK1816" s="97"/>
      <c r="AL1816" s="97"/>
      <c r="AM1816" s="97"/>
      <c r="AN1816" s="97"/>
      <c r="AO1816" s="97"/>
      <c r="AP1816" s="97"/>
      <c r="AQ1816" s="97"/>
    </row>
    <row r="1817" spans="2:43" s="101" customFormat="1" ht="15" customHeight="1">
      <c r="B1817" s="104"/>
      <c r="C1817" s="104"/>
      <c r="D1817" s="104"/>
      <c r="E1817" s="104"/>
      <c r="F1817" s="104"/>
      <c r="G1817" s="104"/>
      <c r="H1817" s="104"/>
      <c r="I1817" s="104"/>
      <c r="J1817" s="104"/>
      <c r="K1817" s="104"/>
      <c r="L1817" s="104"/>
      <c r="R1817" s="105"/>
      <c r="S1817" s="105"/>
      <c r="T1817" s="105"/>
      <c r="U1817" s="105"/>
      <c r="V1817" s="105"/>
      <c r="W1817" s="105"/>
      <c r="AD1817" s="106"/>
      <c r="AE1817" s="97"/>
      <c r="AF1817" s="97"/>
      <c r="AG1817" s="97"/>
      <c r="AH1817" s="97"/>
      <c r="AI1817" s="97"/>
      <c r="AJ1817" s="97"/>
      <c r="AK1817" s="97"/>
      <c r="AL1817" s="97"/>
      <c r="AM1817" s="97"/>
      <c r="AN1817" s="97"/>
      <c r="AO1817" s="97"/>
      <c r="AP1817" s="97"/>
      <c r="AQ1817" s="97"/>
    </row>
    <row r="1818" spans="2:43" s="101" customFormat="1" ht="15" customHeight="1">
      <c r="B1818" s="104"/>
      <c r="C1818" s="104"/>
      <c r="D1818" s="104"/>
      <c r="E1818" s="104"/>
      <c r="F1818" s="104"/>
      <c r="G1818" s="104"/>
      <c r="H1818" s="104"/>
      <c r="I1818" s="104"/>
      <c r="J1818" s="104"/>
      <c r="K1818" s="104"/>
      <c r="L1818" s="104"/>
      <c r="R1818" s="105"/>
      <c r="S1818" s="105"/>
      <c r="T1818" s="105"/>
      <c r="U1818" s="105"/>
      <c r="V1818" s="105"/>
      <c r="W1818" s="105"/>
      <c r="AD1818" s="106"/>
      <c r="AE1818" s="97"/>
      <c r="AF1818" s="97"/>
      <c r="AG1818" s="97"/>
      <c r="AH1818" s="97"/>
      <c r="AI1818" s="97"/>
      <c r="AJ1818" s="97"/>
      <c r="AK1818" s="97"/>
      <c r="AL1818" s="97"/>
      <c r="AM1818" s="97"/>
      <c r="AN1818" s="97"/>
      <c r="AO1818" s="97"/>
      <c r="AP1818" s="97"/>
      <c r="AQ1818" s="97"/>
    </row>
    <row r="1819" spans="2:43" s="101" customFormat="1" ht="15" customHeight="1">
      <c r="B1819" s="104"/>
      <c r="C1819" s="104"/>
      <c r="D1819" s="104"/>
      <c r="E1819" s="104"/>
      <c r="F1819" s="104"/>
      <c r="G1819" s="104"/>
      <c r="H1819" s="104"/>
      <c r="I1819" s="104"/>
      <c r="J1819" s="104"/>
      <c r="K1819" s="104"/>
      <c r="L1819" s="104"/>
      <c r="R1819" s="105"/>
      <c r="S1819" s="105"/>
      <c r="T1819" s="105"/>
      <c r="U1819" s="105"/>
      <c r="V1819" s="105"/>
      <c r="W1819" s="105"/>
      <c r="AD1819" s="106"/>
      <c r="AE1819" s="97"/>
      <c r="AF1819" s="97"/>
      <c r="AG1819" s="97"/>
      <c r="AH1819" s="97"/>
      <c r="AI1819" s="97"/>
      <c r="AJ1819" s="97"/>
      <c r="AK1819" s="97"/>
      <c r="AL1819" s="97"/>
      <c r="AM1819" s="97"/>
      <c r="AN1819" s="97"/>
      <c r="AO1819" s="97"/>
      <c r="AP1819" s="97"/>
      <c r="AQ1819" s="97"/>
    </row>
    <row r="1820" spans="2:43" s="101" customFormat="1" ht="15" customHeight="1">
      <c r="B1820" s="104"/>
      <c r="C1820" s="104"/>
      <c r="D1820" s="104"/>
      <c r="E1820" s="104"/>
      <c r="F1820" s="104"/>
      <c r="G1820" s="104"/>
      <c r="H1820" s="104"/>
      <c r="I1820" s="104"/>
      <c r="J1820" s="104"/>
      <c r="K1820" s="104"/>
      <c r="L1820" s="104"/>
      <c r="R1820" s="105"/>
      <c r="S1820" s="105"/>
      <c r="T1820" s="105"/>
      <c r="U1820" s="105"/>
      <c r="V1820" s="105"/>
      <c r="W1820" s="105"/>
      <c r="AD1820" s="106"/>
      <c r="AE1820" s="97"/>
      <c r="AF1820" s="97"/>
      <c r="AG1820" s="97"/>
      <c r="AH1820" s="97"/>
      <c r="AI1820" s="97"/>
      <c r="AJ1820" s="97"/>
      <c r="AK1820" s="97"/>
      <c r="AL1820" s="97"/>
      <c r="AM1820" s="97"/>
      <c r="AN1820" s="97"/>
      <c r="AO1820" s="97"/>
      <c r="AP1820" s="97"/>
      <c r="AQ1820" s="97"/>
    </row>
    <row r="1821" spans="2:43" s="101" customFormat="1" ht="15" customHeight="1">
      <c r="B1821" s="104"/>
      <c r="C1821" s="104"/>
      <c r="D1821" s="104"/>
      <c r="E1821" s="104"/>
      <c r="F1821" s="104"/>
      <c r="G1821" s="104"/>
      <c r="H1821" s="104"/>
      <c r="I1821" s="104"/>
      <c r="J1821" s="104"/>
      <c r="K1821" s="104"/>
      <c r="L1821" s="104"/>
      <c r="R1821" s="105"/>
      <c r="S1821" s="105"/>
      <c r="T1821" s="105"/>
      <c r="U1821" s="105"/>
      <c r="V1821" s="105"/>
      <c r="W1821" s="105"/>
      <c r="AD1821" s="106"/>
      <c r="AE1821" s="97"/>
      <c r="AF1821" s="97"/>
      <c r="AG1821" s="97"/>
      <c r="AH1821" s="97"/>
      <c r="AI1821" s="97"/>
      <c r="AJ1821" s="97"/>
      <c r="AK1821" s="97"/>
      <c r="AL1821" s="97"/>
      <c r="AM1821" s="97"/>
      <c r="AN1821" s="97"/>
      <c r="AO1821" s="97"/>
      <c r="AP1821" s="97"/>
      <c r="AQ1821" s="97"/>
    </row>
    <row r="1822" spans="2:43" s="101" customFormat="1" ht="15" customHeight="1">
      <c r="B1822" s="104"/>
      <c r="C1822" s="104"/>
      <c r="D1822" s="104"/>
      <c r="E1822" s="104"/>
      <c r="F1822" s="104"/>
      <c r="G1822" s="104"/>
      <c r="H1822" s="104"/>
      <c r="I1822" s="104"/>
      <c r="J1822" s="104"/>
      <c r="K1822" s="104"/>
      <c r="L1822" s="104"/>
      <c r="R1822" s="105"/>
      <c r="S1822" s="105"/>
      <c r="T1822" s="105"/>
      <c r="U1822" s="105"/>
      <c r="V1822" s="105"/>
      <c r="W1822" s="105"/>
      <c r="AD1822" s="106"/>
      <c r="AE1822" s="97"/>
      <c r="AF1822" s="97"/>
      <c r="AG1822" s="97"/>
      <c r="AH1822" s="97"/>
      <c r="AI1822" s="97"/>
      <c r="AJ1822" s="97"/>
      <c r="AK1822" s="97"/>
      <c r="AL1822" s="97"/>
      <c r="AM1822" s="97"/>
      <c r="AN1822" s="97"/>
      <c r="AO1822" s="97"/>
      <c r="AP1822" s="97"/>
      <c r="AQ1822" s="97"/>
    </row>
    <row r="1823" spans="2:43" s="101" customFormat="1" ht="15" customHeight="1">
      <c r="B1823" s="104"/>
      <c r="C1823" s="104"/>
      <c r="D1823" s="104"/>
      <c r="E1823" s="104"/>
      <c r="F1823" s="104"/>
      <c r="G1823" s="104"/>
      <c r="H1823" s="104"/>
      <c r="I1823" s="104"/>
      <c r="J1823" s="104"/>
      <c r="K1823" s="104"/>
      <c r="L1823" s="104"/>
      <c r="R1823" s="105"/>
      <c r="S1823" s="105"/>
      <c r="T1823" s="105"/>
      <c r="U1823" s="105"/>
      <c r="V1823" s="105"/>
      <c r="W1823" s="105"/>
      <c r="AD1823" s="106"/>
      <c r="AE1823" s="97"/>
      <c r="AF1823" s="97"/>
      <c r="AG1823" s="97"/>
      <c r="AH1823" s="97"/>
      <c r="AI1823" s="97"/>
      <c r="AJ1823" s="97"/>
      <c r="AK1823" s="97"/>
      <c r="AL1823" s="97"/>
      <c r="AM1823" s="97"/>
      <c r="AN1823" s="97"/>
      <c r="AO1823" s="97"/>
      <c r="AP1823" s="97"/>
      <c r="AQ1823" s="97"/>
    </row>
    <row r="1824" spans="2:43" s="101" customFormat="1" ht="15" customHeight="1">
      <c r="B1824" s="104"/>
      <c r="C1824" s="104"/>
      <c r="D1824" s="104"/>
      <c r="E1824" s="104"/>
      <c r="F1824" s="104"/>
      <c r="G1824" s="104"/>
      <c r="H1824" s="104"/>
      <c r="I1824" s="104"/>
      <c r="J1824" s="104"/>
      <c r="K1824" s="104"/>
      <c r="L1824" s="104"/>
      <c r="R1824" s="105"/>
      <c r="S1824" s="105"/>
      <c r="T1824" s="105"/>
      <c r="U1824" s="105"/>
      <c r="V1824" s="105"/>
      <c r="W1824" s="105"/>
      <c r="AD1824" s="106"/>
      <c r="AE1824" s="97"/>
      <c r="AF1824" s="97"/>
      <c r="AG1824" s="97"/>
      <c r="AH1824" s="97"/>
      <c r="AI1824" s="97"/>
      <c r="AJ1824" s="97"/>
      <c r="AK1824" s="97"/>
      <c r="AL1824" s="97"/>
      <c r="AM1824" s="97"/>
      <c r="AN1824" s="97"/>
      <c r="AO1824" s="97"/>
      <c r="AP1824" s="97"/>
      <c r="AQ1824" s="97"/>
    </row>
    <row r="1825" spans="2:43" s="101" customFormat="1" ht="15" customHeight="1">
      <c r="B1825" s="104"/>
      <c r="C1825" s="104"/>
      <c r="D1825" s="104"/>
      <c r="E1825" s="104"/>
      <c r="F1825" s="104"/>
      <c r="G1825" s="104"/>
      <c r="H1825" s="104"/>
      <c r="I1825" s="104"/>
      <c r="J1825" s="104"/>
      <c r="K1825" s="104"/>
      <c r="L1825" s="104"/>
      <c r="R1825" s="105"/>
      <c r="S1825" s="105"/>
      <c r="T1825" s="105"/>
      <c r="U1825" s="105"/>
      <c r="V1825" s="105"/>
      <c r="W1825" s="105"/>
      <c r="AD1825" s="106"/>
      <c r="AE1825" s="97"/>
      <c r="AF1825" s="97"/>
      <c r="AG1825" s="97"/>
      <c r="AH1825" s="97"/>
      <c r="AI1825" s="97"/>
      <c r="AJ1825" s="97"/>
      <c r="AK1825" s="97"/>
      <c r="AL1825" s="97"/>
      <c r="AM1825" s="97"/>
      <c r="AN1825" s="97"/>
      <c r="AO1825" s="97"/>
      <c r="AP1825" s="97"/>
      <c r="AQ1825" s="97"/>
    </row>
    <row r="1826" spans="2:43" s="101" customFormat="1" ht="15" customHeight="1">
      <c r="B1826" s="104"/>
      <c r="C1826" s="104"/>
      <c r="D1826" s="104"/>
      <c r="E1826" s="104"/>
      <c r="F1826" s="104"/>
      <c r="G1826" s="104"/>
      <c r="H1826" s="104"/>
      <c r="I1826" s="104"/>
      <c r="J1826" s="104"/>
      <c r="K1826" s="104"/>
      <c r="L1826" s="104"/>
      <c r="R1826" s="105"/>
      <c r="S1826" s="105"/>
      <c r="T1826" s="105"/>
      <c r="U1826" s="105"/>
      <c r="V1826" s="105"/>
      <c r="W1826" s="105"/>
      <c r="AD1826" s="106"/>
      <c r="AE1826" s="97"/>
      <c r="AF1826" s="97"/>
      <c r="AG1826" s="97"/>
      <c r="AH1826" s="97"/>
      <c r="AI1826" s="97"/>
      <c r="AJ1826" s="97"/>
      <c r="AK1826" s="97"/>
      <c r="AL1826" s="97"/>
      <c r="AM1826" s="97"/>
      <c r="AN1826" s="97"/>
      <c r="AO1826" s="97"/>
      <c r="AP1826" s="97"/>
      <c r="AQ1826" s="97"/>
    </row>
    <row r="1827" spans="2:43" s="101" customFormat="1" ht="15" customHeight="1">
      <c r="B1827" s="104"/>
      <c r="C1827" s="104"/>
      <c r="D1827" s="104"/>
      <c r="E1827" s="104"/>
      <c r="F1827" s="104"/>
      <c r="G1827" s="104"/>
      <c r="H1827" s="104"/>
      <c r="I1827" s="104"/>
      <c r="J1827" s="104"/>
      <c r="K1827" s="104"/>
      <c r="L1827" s="104"/>
      <c r="R1827" s="105"/>
      <c r="S1827" s="105"/>
      <c r="T1827" s="105"/>
      <c r="U1827" s="105"/>
      <c r="V1827" s="105"/>
      <c r="W1827" s="105"/>
      <c r="AD1827" s="106"/>
      <c r="AE1827" s="97"/>
      <c r="AF1827" s="97"/>
      <c r="AG1827" s="97"/>
      <c r="AH1827" s="97"/>
      <c r="AI1827" s="97"/>
      <c r="AJ1827" s="97"/>
      <c r="AK1827" s="97"/>
      <c r="AL1827" s="97"/>
      <c r="AM1827" s="97"/>
      <c r="AN1827" s="97"/>
      <c r="AO1827" s="97"/>
      <c r="AP1827" s="97"/>
      <c r="AQ1827" s="97"/>
    </row>
    <row r="1828" spans="2:43" s="101" customFormat="1" ht="15" customHeight="1">
      <c r="B1828" s="104"/>
      <c r="C1828" s="104"/>
      <c r="D1828" s="104"/>
      <c r="E1828" s="104"/>
      <c r="F1828" s="104"/>
      <c r="G1828" s="104"/>
      <c r="H1828" s="104"/>
      <c r="I1828" s="104"/>
      <c r="J1828" s="104"/>
      <c r="K1828" s="104"/>
      <c r="L1828" s="104"/>
      <c r="R1828" s="105"/>
      <c r="S1828" s="105"/>
      <c r="T1828" s="105"/>
      <c r="U1828" s="105"/>
      <c r="V1828" s="105"/>
      <c r="W1828" s="105"/>
      <c r="AD1828" s="106"/>
      <c r="AE1828" s="97"/>
      <c r="AF1828" s="97"/>
      <c r="AG1828" s="97"/>
      <c r="AH1828" s="97"/>
      <c r="AI1828" s="97"/>
      <c r="AJ1828" s="97"/>
      <c r="AK1828" s="97"/>
      <c r="AL1828" s="97"/>
      <c r="AM1828" s="97"/>
      <c r="AN1828" s="97"/>
      <c r="AO1828" s="97"/>
      <c r="AP1828" s="97"/>
      <c r="AQ1828" s="97"/>
    </row>
    <row r="1829" spans="2:43" s="101" customFormat="1" ht="15" customHeight="1">
      <c r="B1829" s="104"/>
      <c r="C1829" s="104"/>
      <c r="D1829" s="104"/>
      <c r="E1829" s="104"/>
      <c r="F1829" s="104"/>
      <c r="G1829" s="104"/>
      <c r="H1829" s="104"/>
      <c r="I1829" s="104"/>
      <c r="J1829" s="104"/>
      <c r="K1829" s="104"/>
      <c r="L1829" s="104"/>
      <c r="R1829" s="105"/>
      <c r="S1829" s="105"/>
      <c r="T1829" s="105"/>
      <c r="U1829" s="105"/>
      <c r="V1829" s="105"/>
      <c r="W1829" s="105"/>
      <c r="AD1829" s="106"/>
      <c r="AE1829" s="97"/>
      <c r="AF1829" s="97"/>
      <c r="AG1829" s="97"/>
      <c r="AH1829" s="97"/>
      <c r="AI1829" s="97"/>
      <c r="AJ1829" s="97"/>
      <c r="AK1829" s="97"/>
      <c r="AL1829" s="97"/>
      <c r="AM1829" s="97"/>
      <c r="AN1829" s="97"/>
      <c r="AO1829" s="97"/>
      <c r="AP1829" s="97"/>
      <c r="AQ1829" s="97"/>
    </row>
    <row r="1830" spans="2:43" s="101" customFormat="1" ht="15" customHeight="1">
      <c r="B1830" s="104"/>
      <c r="C1830" s="104"/>
      <c r="D1830" s="104"/>
      <c r="E1830" s="104"/>
      <c r="F1830" s="104"/>
      <c r="G1830" s="104"/>
      <c r="H1830" s="104"/>
      <c r="I1830" s="104"/>
      <c r="J1830" s="104"/>
      <c r="K1830" s="104"/>
      <c r="L1830" s="104"/>
      <c r="R1830" s="105"/>
      <c r="S1830" s="105"/>
      <c r="T1830" s="105"/>
      <c r="U1830" s="105"/>
      <c r="V1830" s="105"/>
      <c r="W1830" s="105"/>
      <c r="AD1830" s="106"/>
      <c r="AE1830" s="97"/>
      <c r="AF1830" s="97"/>
      <c r="AG1830" s="97"/>
      <c r="AH1830" s="97"/>
      <c r="AI1830" s="97"/>
      <c r="AJ1830" s="97"/>
      <c r="AK1830" s="97"/>
      <c r="AL1830" s="97"/>
      <c r="AM1830" s="97"/>
      <c r="AN1830" s="97"/>
      <c r="AO1830" s="97"/>
      <c r="AP1830" s="97"/>
      <c r="AQ1830" s="97"/>
    </row>
    <row r="1831" spans="2:43" s="101" customFormat="1" ht="15" customHeight="1">
      <c r="B1831" s="104"/>
      <c r="C1831" s="104"/>
      <c r="D1831" s="104"/>
      <c r="E1831" s="104"/>
      <c r="F1831" s="104"/>
      <c r="G1831" s="104"/>
      <c r="H1831" s="104"/>
      <c r="I1831" s="104"/>
      <c r="J1831" s="104"/>
      <c r="K1831" s="104"/>
      <c r="L1831" s="104"/>
      <c r="R1831" s="105"/>
      <c r="S1831" s="105"/>
      <c r="T1831" s="105"/>
      <c r="U1831" s="105"/>
      <c r="V1831" s="105"/>
      <c r="W1831" s="105"/>
      <c r="AD1831" s="106"/>
      <c r="AE1831" s="97"/>
      <c r="AF1831" s="97"/>
      <c r="AG1831" s="97"/>
      <c r="AH1831" s="97"/>
      <c r="AI1831" s="97"/>
      <c r="AJ1831" s="97"/>
      <c r="AK1831" s="97"/>
      <c r="AL1831" s="97"/>
      <c r="AM1831" s="97"/>
      <c r="AN1831" s="97"/>
      <c r="AO1831" s="97"/>
      <c r="AP1831" s="97"/>
      <c r="AQ1831" s="97"/>
    </row>
    <row r="1832" spans="2:43" s="101" customFormat="1" ht="15" customHeight="1">
      <c r="B1832" s="104"/>
      <c r="C1832" s="104"/>
      <c r="D1832" s="104"/>
      <c r="E1832" s="104"/>
      <c r="F1832" s="104"/>
      <c r="G1832" s="104"/>
      <c r="H1832" s="104"/>
      <c r="I1832" s="104"/>
      <c r="J1832" s="104"/>
      <c r="K1832" s="104"/>
      <c r="L1832" s="104"/>
      <c r="R1832" s="105"/>
      <c r="S1832" s="105"/>
      <c r="T1832" s="105"/>
      <c r="U1832" s="105"/>
      <c r="V1832" s="105"/>
      <c r="W1832" s="105"/>
      <c r="AD1832" s="106"/>
      <c r="AE1832" s="97"/>
      <c r="AF1832" s="97"/>
      <c r="AG1832" s="97"/>
      <c r="AH1832" s="97"/>
      <c r="AI1832" s="97"/>
      <c r="AJ1832" s="97"/>
      <c r="AK1832" s="97"/>
      <c r="AL1832" s="97"/>
      <c r="AM1832" s="97"/>
      <c r="AN1832" s="97"/>
      <c r="AO1832" s="97"/>
      <c r="AP1832" s="97"/>
      <c r="AQ1832" s="97"/>
    </row>
    <row r="1833" spans="2:43" s="101" customFormat="1" ht="15" customHeight="1">
      <c r="B1833" s="104"/>
      <c r="C1833" s="104"/>
      <c r="D1833" s="104"/>
      <c r="E1833" s="104"/>
      <c r="F1833" s="104"/>
      <c r="G1833" s="104"/>
      <c r="H1833" s="104"/>
      <c r="I1833" s="104"/>
      <c r="J1833" s="104"/>
      <c r="K1833" s="104"/>
      <c r="L1833" s="104"/>
      <c r="R1833" s="105"/>
      <c r="S1833" s="105"/>
      <c r="T1833" s="105"/>
      <c r="U1833" s="105"/>
      <c r="V1833" s="105"/>
      <c r="W1833" s="105"/>
      <c r="AD1833" s="106"/>
      <c r="AE1833" s="97"/>
      <c r="AF1833" s="97"/>
      <c r="AG1833" s="97"/>
      <c r="AH1833" s="97"/>
      <c r="AI1833" s="97"/>
      <c r="AJ1833" s="97"/>
      <c r="AK1833" s="97"/>
      <c r="AL1833" s="97"/>
      <c r="AM1833" s="97"/>
      <c r="AN1833" s="97"/>
      <c r="AO1833" s="97"/>
      <c r="AP1833" s="97"/>
      <c r="AQ1833" s="97"/>
    </row>
    <row r="1834" spans="2:43" s="101" customFormat="1" ht="15" customHeight="1">
      <c r="B1834" s="104"/>
      <c r="C1834" s="104"/>
      <c r="D1834" s="104"/>
      <c r="E1834" s="104"/>
      <c r="F1834" s="104"/>
      <c r="G1834" s="104"/>
      <c r="H1834" s="104"/>
      <c r="I1834" s="104"/>
      <c r="J1834" s="104"/>
      <c r="K1834" s="104"/>
      <c r="L1834" s="104"/>
      <c r="R1834" s="105"/>
      <c r="S1834" s="105"/>
      <c r="T1834" s="105"/>
      <c r="U1834" s="105"/>
      <c r="V1834" s="105"/>
      <c r="W1834" s="105"/>
      <c r="AD1834" s="106"/>
      <c r="AE1834" s="97"/>
      <c r="AF1834" s="97"/>
      <c r="AG1834" s="97"/>
      <c r="AH1834" s="97"/>
      <c r="AI1834" s="97"/>
      <c r="AJ1834" s="97"/>
      <c r="AK1834" s="97"/>
      <c r="AL1834" s="97"/>
      <c r="AM1834" s="97"/>
      <c r="AN1834" s="97"/>
      <c r="AO1834" s="97"/>
      <c r="AP1834" s="97"/>
      <c r="AQ1834" s="97"/>
    </row>
    <row r="1835" spans="2:43" s="101" customFormat="1" ht="15" customHeight="1">
      <c r="B1835" s="104"/>
      <c r="C1835" s="104"/>
      <c r="D1835" s="104"/>
      <c r="E1835" s="104"/>
      <c r="F1835" s="104"/>
      <c r="G1835" s="104"/>
      <c r="H1835" s="104"/>
      <c r="I1835" s="104"/>
      <c r="J1835" s="104"/>
      <c r="K1835" s="104"/>
      <c r="L1835" s="104"/>
      <c r="R1835" s="105"/>
      <c r="S1835" s="105"/>
      <c r="T1835" s="105"/>
      <c r="U1835" s="105"/>
      <c r="V1835" s="105"/>
      <c r="W1835" s="105"/>
      <c r="AD1835" s="106"/>
      <c r="AE1835" s="97"/>
      <c r="AF1835" s="97"/>
      <c r="AG1835" s="97"/>
      <c r="AH1835" s="97"/>
      <c r="AI1835" s="97"/>
      <c r="AJ1835" s="97"/>
      <c r="AK1835" s="97"/>
      <c r="AL1835" s="97"/>
      <c r="AM1835" s="97"/>
      <c r="AN1835" s="97"/>
      <c r="AO1835" s="97"/>
      <c r="AP1835" s="97"/>
      <c r="AQ1835" s="97"/>
    </row>
    <row r="1836" spans="2:43" s="101" customFormat="1" ht="15" customHeight="1">
      <c r="B1836" s="104"/>
      <c r="C1836" s="104"/>
      <c r="D1836" s="104"/>
      <c r="E1836" s="104"/>
      <c r="F1836" s="104"/>
      <c r="G1836" s="104"/>
      <c r="H1836" s="104"/>
      <c r="I1836" s="104"/>
      <c r="J1836" s="104"/>
      <c r="K1836" s="104"/>
      <c r="L1836" s="104"/>
      <c r="R1836" s="105"/>
      <c r="S1836" s="105"/>
      <c r="T1836" s="105"/>
      <c r="U1836" s="105"/>
      <c r="V1836" s="105"/>
      <c r="W1836" s="105"/>
      <c r="AD1836" s="106"/>
      <c r="AE1836" s="97"/>
      <c r="AF1836" s="97"/>
      <c r="AG1836" s="97"/>
      <c r="AH1836" s="97"/>
      <c r="AI1836" s="97"/>
      <c r="AJ1836" s="97"/>
      <c r="AK1836" s="97"/>
      <c r="AL1836" s="97"/>
      <c r="AM1836" s="97"/>
      <c r="AN1836" s="97"/>
      <c r="AO1836" s="97"/>
      <c r="AP1836" s="97"/>
      <c r="AQ1836" s="97"/>
    </row>
    <row r="1837" spans="2:43" s="101" customFormat="1" ht="15" customHeight="1">
      <c r="B1837" s="104"/>
      <c r="C1837" s="104"/>
      <c r="D1837" s="104"/>
      <c r="E1837" s="104"/>
      <c r="F1837" s="104"/>
      <c r="G1837" s="104"/>
      <c r="H1837" s="104"/>
      <c r="I1837" s="104"/>
      <c r="J1837" s="104"/>
      <c r="K1837" s="104"/>
      <c r="L1837" s="104"/>
      <c r="R1837" s="105"/>
      <c r="S1837" s="105"/>
      <c r="T1837" s="105"/>
      <c r="U1837" s="105"/>
      <c r="V1837" s="105"/>
      <c r="W1837" s="105"/>
      <c r="AD1837" s="106"/>
      <c r="AE1837" s="97"/>
      <c r="AF1837" s="97"/>
      <c r="AG1837" s="97"/>
      <c r="AH1837" s="97"/>
      <c r="AI1837" s="97"/>
      <c r="AJ1837" s="97"/>
      <c r="AK1837" s="97"/>
      <c r="AL1837" s="97"/>
      <c r="AM1837" s="97"/>
      <c r="AN1837" s="97"/>
      <c r="AO1837" s="97"/>
      <c r="AP1837" s="97"/>
      <c r="AQ1837" s="97"/>
    </row>
    <row r="1838" spans="2:43" s="101" customFormat="1" ht="15" customHeight="1">
      <c r="B1838" s="104"/>
      <c r="C1838" s="104"/>
      <c r="D1838" s="104"/>
      <c r="E1838" s="104"/>
      <c r="F1838" s="104"/>
      <c r="G1838" s="104"/>
      <c r="H1838" s="104"/>
      <c r="I1838" s="104"/>
      <c r="J1838" s="104"/>
      <c r="K1838" s="104"/>
      <c r="L1838" s="104"/>
      <c r="R1838" s="105"/>
      <c r="S1838" s="105"/>
      <c r="T1838" s="105"/>
      <c r="U1838" s="105"/>
      <c r="V1838" s="105"/>
      <c r="W1838" s="105"/>
      <c r="AD1838" s="106"/>
      <c r="AE1838" s="97"/>
      <c r="AF1838" s="97"/>
      <c r="AG1838" s="97"/>
      <c r="AH1838" s="97"/>
      <c r="AI1838" s="97"/>
      <c r="AJ1838" s="97"/>
      <c r="AK1838" s="97"/>
      <c r="AL1838" s="97"/>
      <c r="AM1838" s="97"/>
      <c r="AN1838" s="97"/>
      <c r="AO1838" s="97"/>
      <c r="AP1838" s="97"/>
      <c r="AQ1838" s="97"/>
    </row>
    <row r="1839" spans="2:43" s="101" customFormat="1" ht="15" customHeight="1">
      <c r="B1839" s="104"/>
      <c r="C1839" s="104"/>
      <c r="D1839" s="104"/>
      <c r="E1839" s="104"/>
      <c r="F1839" s="104"/>
      <c r="G1839" s="104"/>
      <c r="H1839" s="104"/>
      <c r="I1839" s="104"/>
      <c r="J1839" s="104"/>
      <c r="K1839" s="104"/>
      <c r="L1839" s="104"/>
      <c r="R1839" s="105"/>
      <c r="S1839" s="105"/>
      <c r="T1839" s="105"/>
      <c r="U1839" s="105"/>
      <c r="V1839" s="105"/>
      <c r="W1839" s="105"/>
      <c r="AD1839" s="106"/>
      <c r="AE1839" s="97"/>
      <c r="AF1839" s="97"/>
      <c r="AG1839" s="97"/>
      <c r="AH1839" s="97"/>
      <c r="AI1839" s="97"/>
      <c r="AJ1839" s="97"/>
      <c r="AK1839" s="97"/>
      <c r="AL1839" s="97"/>
      <c r="AM1839" s="97"/>
      <c r="AN1839" s="97"/>
      <c r="AO1839" s="97"/>
      <c r="AP1839" s="97"/>
      <c r="AQ1839" s="97"/>
    </row>
    <row r="1840" spans="2:43" s="101" customFormat="1" ht="15" customHeight="1">
      <c r="B1840" s="104"/>
      <c r="C1840" s="104"/>
      <c r="D1840" s="104"/>
      <c r="E1840" s="104"/>
      <c r="F1840" s="104"/>
      <c r="G1840" s="104"/>
      <c r="H1840" s="104"/>
      <c r="I1840" s="104"/>
      <c r="J1840" s="104"/>
      <c r="K1840" s="104"/>
      <c r="L1840" s="104"/>
      <c r="R1840" s="105"/>
      <c r="S1840" s="105"/>
      <c r="T1840" s="105"/>
      <c r="U1840" s="105"/>
      <c r="V1840" s="105"/>
      <c r="W1840" s="105"/>
      <c r="AD1840" s="106"/>
      <c r="AE1840" s="97"/>
      <c r="AF1840" s="97"/>
      <c r="AG1840" s="97"/>
      <c r="AH1840" s="97"/>
      <c r="AI1840" s="97"/>
      <c r="AJ1840" s="97"/>
      <c r="AK1840" s="97"/>
      <c r="AL1840" s="97"/>
      <c r="AM1840" s="97"/>
      <c r="AN1840" s="97"/>
      <c r="AO1840" s="97"/>
      <c r="AP1840" s="97"/>
      <c r="AQ1840" s="97"/>
    </row>
    <row r="1841" spans="2:43" s="101" customFormat="1" ht="15" customHeight="1">
      <c r="B1841" s="104"/>
      <c r="C1841" s="104"/>
      <c r="D1841" s="104"/>
      <c r="E1841" s="104"/>
      <c r="F1841" s="104"/>
      <c r="G1841" s="104"/>
      <c r="H1841" s="104"/>
      <c r="I1841" s="104"/>
      <c r="J1841" s="104"/>
      <c r="K1841" s="104"/>
      <c r="L1841" s="104"/>
      <c r="R1841" s="105"/>
      <c r="S1841" s="105"/>
      <c r="T1841" s="105"/>
      <c r="U1841" s="105"/>
      <c r="V1841" s="105"/>
      <c r="W1841" s="105"/>
      <c r="AD1841" s="106"/>
      <c r="AE1841" s="97"/>
      <c r="AF1841" s="97"/>
      <c r="AG1841" s="97"/>
      <c r="AH1841" s="97"/>
      <c r="AI1841" s="97"/>
      <c r="AJ1841" s="97"/>
      <c r="AK1841" s="97"/>
      <c r="AL1841" s="97"/>
      <c r="AM1841" s="97"/>
      <c r="AN1841" s="97"/>
      <c r="AO1841" s="97"/>
      <c r="AP1841" s="97"/>
      <c r="AQ1841" s="97"/>
    </row>
    <row r="1842" spans="2:43" s="101" customFormat="1" ht="15" customHeight="1">
      <c r="B1842" s="104"/>
      <c r="C1842" s="104"/>
      <c r="D1842" s="104"/>
      <c r="E1842" s="104"/>
      <c r="F1842" s="104"/>
      <c r="G1842" s="104"/>
      <c r="H1842" s="104"/>
      <c r="I1842" s="104"/>
      <c r="J1842" s="104"/>
      <c r="K1842" s="104"/>
      <c r="L1842" s="104"/>
      <c r="R1842" s="105"/>
      <c r="S1842" s="105"/>
      <c r="T1842" s="105"/>
      <c r="U1842" s="105"/>
      <c r="V1842" s="105"/>
      <c r="W1842" s="105"/>
      <c r="AD1842" s="106"/>
      <c r="AE1842" s="97"/>
      <c r="AF1842" s="97"/>
      <c r="AG1842" s="97"/>
      <c r="AH1842" s="97"/>
      <c r="AI1842" s="97"/>
      <c r="AJ1842" s="97"/>
      <c r="AK1842" s="97"/>
      <c r="AL1842" s="97"/>
      <c r="AM1842" s="97"/>
      <c r="AN1842" s="97"/>
      <c r="AO1842" s="97"/>
      <c r="AP1842" s="97"/>
      <c r="AQ1842" s="97"/>
    </row>
    <row r="1843" spans="2:43" s="101" customFormat="1" ht="15" customHeight="1">
      <c r="B1843" s="104"/>
      <c r="C1843" s="104"/>
      <c r="D1843" s="104"/>
      <c r="E1843" s="104"/>
      <c r="F1843" s="104"/>
      <c r="G1843" s="104"/>
      <c r="H1843" s="104"/>
      <c r="I1843" s="104"/>
      <c r="J1843" s="104"/>
      <c r="K1843" s="104"/>
      <c r="L1843" s="104"/>
      <c r="R1843" s="105"/>
      <c r="S1843" s="105"/>
      <c r="T1843" s="105"/>
      <c r="U1843" s="105"/>
      <c r="V1843" s="105"/>
      <c r="W1843" s="105"/>
      <c r="AD1843" s="106"/>
      <c r="AE1843" s="97"/>
      <c r="AF1843" s="97"/>
      <c r="AG1843" s="97"/>
      <c r="AH1843" s="97"/>
      <c r="AI1843" s="97"/>
      <c r="AJ1843" s="97"/>
      <c r="AK1843" s="97"/>
      <c r="AL1843" s="97"/>
      <c r="AM1843" s="97"/>
      <c r="AN1843" s="97"/>
      <c r="AO1843" s="97"/>
      <c r="AP1843" s="97"/>
      <c r="AQ1843" s="97"/>
    </row>
    <row r="1844" spans="2:43" s="101" customFormat="1" ht="15" customHeight="1">
      <c r="B1844" s="104"/>
      <c r="C1844" s="104"/>
      <c r="D1844" s="104"/>
      <c r="E1844" s="104"/>
      <c r="F1844" s="104"/>
      <c r="G1844" s="104"/>
      <c r="H1844" s="104"/>
      <c r="I1844" s="104"/>
      <c r="J1844" s="104"/>
      <c r="K1844" s="104"/>
      <c r="L1844" s="104"/>
      <c r="R1844" s="105"/>
      <c r="S1844" s="105"/>
      <c r="T1844" s="105"/>
      <c r="U1844" s="105"/>
      <c r="V1844" s="105"/>
      <c r="W1844" s="105"/>
      <c r="AD1844" s="106"/>
      <c r="AE1844" s="97"/>
      <c r="AF1844" s="97"/>
      <c r="AG1844" s="97"/>
      <c r="AH1844" s="97"/>
      <c r="AI1844" s="97"/>
      <c r="AJ1844" s="97"/>
      <c r="AK1844" s="97"/>
      <c r="AL1844" s="97"/>
      <c r="AM1844" s="97"/>
      <c r="AN1844" s="97"/>
      <c r="AO1844" s="97"/>
      <c r="AP1844" s="97"/>
      <c r="AQ1844" s="97"/>
    </row>
    <row r="1845" spans="2:43" s="101" customFormat="1" ht="15" customHeight="1">
      <c r="B1845" s="104"/>
      <c r="C1845" s="104"/>
      <c r="D1845" s="104"/>
      <c r="E1845" s="104"/>
      <c r="F1845" s="104"/>
      <c r="G1845" s="104"/>
      <c r="H1845" s="104"/>
      <c r="I1845" s="104"/>
      <c r="J1845" s="104"/>
      <c r="K1845" s="104"/>
      <c r="L1845" s="104"/>
      <c r="R1845" s="105"/>
      <c r="S1845" s="105"/>
      <c r="T1845" s="105"/>
      <c r="U1845" s="105"/>
      <c r="V1845" s="105"/>
      <c r="W1845" s="105"/>
      <c r="AD1845" s="106"/>
      <c r="AE1845" s="97"/>
      <c r="AF1845" s="97"/>
      <c r="AG1845" s="97"/>
      <c r="AH1845" s="97"/>
      <c r="AI1845" s="97"/>
      <c r="AJ1845" s="97"/>
      <c r="AK1845" s="97"/>
      <c r="AL1845" s="97"/>
      <c r="AM1845" s="97"/>
      <c r="AN1845" s="97"/>
      <c r="AO1845" s="97"/>
      <c r="AP1845" s="97"/>
      <c r="AQ1845" s="97"/>
    </row>
    <row r="1846" spans="2:43" s="101" customFormat="1" ht="15" customHeight="1">
      <c r="B1846" s="104"/>
      <c r="C1846" s="104"/>
      <c r="D1846" s="104"/>
      <c r="E1846" s="104"/>
      <c r="F1846" s="104"/>
      <c r="G1846" s="104"/>
      <c r="H1846" s="104"/>
      <c r="I1846" s="104"/>
      <c r="J1846" s="104"/>
      <c r="K1846" s="104"/>
      <c r="L1846" s="104"/>
      <c r="R1846" s="105"/>
      <c r="S1846" s="105"/>
      <c r="T1846" s="105"/>
      <c r="U1846" s="105"/>
      <c r="V1846" s="105"/>
      <c r="W1846" s="105"/>
      <c r="AD1846" s="106"/>
      <c r="AE1846" s="97"/>
      <c r="AF1846" s="97"/>
      <c r="AG1846" s="97"/>
      <c r="AH1846" s="97"/>
      <c r="AI1846" s="97"/>
      <c r="AJ1846" s="97"/>
      <c r="AK1846" s="97"/>
      <c r="AL1846" s="97"/>
      <c r="AM1846" s="97"/>
      <c r="AN1846" s="97"/>
      <c r="AO1846" s="97"/>
      <c r="AP1846" s="97"/>
      <c r="AQ1846" s="97"/>
    </row>
    <row r="1847" spans="2:43" s="101" customFormat="1" ht="15" customHeight="1">
      <c r="B1847" s="104"/>
      <c r="C1847" s="104"/>
      <c r="D1847" s="104"/>
      <c r="E1847" s="104"/>
      <c r="F1847" s="104"/>
      <c r="G1847" s="104"/>
      <c r="H1847" s="104"/>
      <c r="I1847" s="104"/>
      <c r="J1847" s="104"/>
      <c r="K1847" s="104"/>
      <c r="L1847" s="104"/>
      <c r="R1847" s="105"/>
      <c r="S1847" s="105"/>
      <c r="T1847" s="105"/>
      <c r="U1847" s="105"/>
      <c r="V1847" s="105"/>
      <c r="W1847" s="105"/>
      <c r="AD1847" s="106"/>
      <c r="AE1847" s="97"/>
      <c r="AF1847" s="97"/>
      <c r="AG1847" s="97"/>
      <c r="AH1847" s="97"/>
      <c r="AI1847" s="97"/>
      <c r="AJ1847" s="97"/>
      <c r="AK1847" s="97"/>
      <c r="AL1847" s="97"/>
      <c r="AM1847" s="97"/>
      <c r="AN1847" s="97"/>
      <c r="AO1847" s="97"/>
      <c r="AP1847" s="97"/>
      <c r="AQ1847" s="97"/>
    </row>
    <row r="1848" spans="2:43" s="101" customFormat="1" ht="15" customHeight="1">
      <c r="B1848" s="104"/>
      <c r="C1848" s="104"/>
      <c r="D1848" s="104"/>
      <c r="E1848" s="104"/>
      <c r="F1848" s="104"/>
      <c r="G1848" s="104"/>
      <c r="H1848" s="104"/>
      <c r="I1848" s="104"/>
      <c r="J1848" s="104"/>
      <c r="K1848" s="104"/>
      <c r="L1848" s="104"/>
      <c r="R1848" s="105"/>
      <c r="S1848" s="105"/>
      <c r="T1848" s="105"/>
      <c r="U1848" s="105"/>
      <c r="V1848" s="105"/>
      <c r="W1848" s="105"/>
      <c r="AD1848" s="106"/>
      <c r="AE1848" s="97"/>
      <c r="AF1848" s="97"/>
      <c r="AG1848" s="97"/>
      <c r="AH1848" s="97"/>
      <c r="AI1848" s="97"/>
      <c r="AJ1848" s="97"/>
      <c r="AK1848" s="97"/>
      <c r="AL1848" s="97"/>
      <c r="AM1848" s="97"/>
      <c r="AN1848" s="97"/>
      <c r="AO1848" s="97"/>
      <c r="AP1848" s="97"/>
      <c r="AQ1848" s="97"/>
    </row>
    <row r="1849" spans="2:43" s="101" customFormat="1" ht="15" customHeight="1">
      <c r="B1849" s="104"/>
      <c r="C1849" s="104"/>
      <c r="D1849" s="104"/>
      <c r="E1849" s="104"/>
      <c r="F1849" s="104"/>
      <c r="G1849" s="104"/>
      <c r="H1849" s="104"/>
      <c r="I1849" s="104"/>
      <c r="J1849" s="104"/>
      <c r="K1849" s="104"/>
      <c r="L1849" s="104"/>
      <c r="R1849" s="105"/>
      <c r="S1849" s="105"/>
      <c r="T1849" s="105"/>
      <c r="U1849" s="105"/>
      <c r="V1849" s="105"/>
      <c r="W1849" s="105"/>
      <c r="AD1849" s="106"/>
      <c r="AE1849" s="97"/>
      <c r="AF1849" s="97"/>
      <c r="AG1849" s="97"/>
      <c r="AH1849" s="97"/>
      <c r="AI1849" s="97"/>
      <c r="AJ1849" s="97"/>
      <c r="AK1849" s="97"/>
      <c r="AL1849" s="97"/>
      <c r="AM1849" s="97"/>
      <c r="AN1849" s="97"/>
      <c r="AO1849" s="97"/>
      <c r="AP1849" s="97"/>
      <c r="AQ1849" s="97"/>
    </row>
    <row r="1850" spans="2:43" s="101" customFormat="1" ht="15" customHeight="1">
      <c r="B1850" s="104"/>
      <c r="C1850" s="104"/>
      <c r="D1850" s="104"/>
      <c r="E1850" s="104"/>
      <c r="F1850" s="104"/>
      <c r="G1850" s="104"/>
      <c r="H1850" s="104"/>
      <c r="I1850" s="104"/>
      <c r="J1850" s="104"/>
      <c r="K1850" s="104"/>
      <c r="L1850" s="104"/>
      <c r="R1850" s="105"/>
      <c r="S1850" s="105"/>
      <c r="T1850" s="105"/>
      <c r="U1850" s="105"/>
      <c r="V1850" s="105"/>
      <c r="W1850" s="105"/>
      <c r="AD1850" s="106"/>
      <c r="AE1850" s="97"/>
      <c r="AF1850" s="97"/>
      <c r="AG1850" s="97"/>
      <c r="AH1850" s="97"/>
      <c r="AI1850" s="97"/>
      <c r="AJ1850" s="97"/>
      <c r="AK1850" s="97"/>
      <c r="AL1850" s="97"/>
      <c r="AM1850" s="97"/>
      <c r="AN1850" s="97"/>
      <c r="AO1850" s="97"/>
      <c r="AP1850" s="97"/>
      <c r="AQ1850" s="97"/>
    </row>
    <row r="1851" spans="2:43" s="101" customFormat="1" ht="15" customHeight="1">
      <c r="B1851" s="104"/>
      <c r="C1851" s="104"/>
      <c r="D1851" s="104"/>
      <c r="E1851" s="104"/>
      <c r="F1851" s="104"/>
      <c r="G1851" s="104"/>
      <c r="H1851" s="104"/>
      <c r="I1851" s="104"/>
      <c r="J1851" s="104"/>
      <c r="K1851" s="104"/>
      <c r="L1851" s="104"/>
      <c r="R1851" s="105"/>
      <c r="S1851" s="105"/>
      <c r="T1851" s="105"/>
      <c r="U1851" s="105"/>
      <c r="V1851" s="105"/>
      <c r="W1851" s="105"/>
      <c r="AD1851" s="106"/>
      <c r="AE1851" s="97"/>
      <c r="AF1851" s="97"/>
      <c r="AG1851" s="97"/>
      <c r="AH1851" s="97"/>
      <c r="AI1851" s="97"/>
      <c r="AJ1851" s="97"/>
      <c r="AK1851" s="97"/>
      <c r="AL1851" s="97"/>
      <c r="AM1851" s="97"/>
      <c r="AN1851" s="97"/>
      <c r="AO1851" s="97"/>
      <c r="AP1851" s="97"/>
      <c r="AQ1851" s="97"/>
    </row>
    <row r="1852" spans="2:43" s="101" customFormat="1" ht="15" customHeight="1">
      <c r="B1852" s="104"/>
      <c r="C1852" s="104"/>
      <c r="D1852" s="104"/>
      <c r="E1852" s="104"/>
      <c r="F1852" s="104"/>
      <c r="G1852" s="104"/>
      <c r="H1852" s="104"/>
      <c r="I1852" s="104"/>
      <c r="J1852" s="104"/>
      <c r="K1852" s="104"/>
      <c r="L1852" s="104"/>
      <c r="R1852" s="105"/>
      <c r="S1852" s="105"/>
      <c r="T1852" s="105"/>
      <c r="U1852" s="105"/>
      <c r="V1852" s="105"/>
      <c r="W1852" s="105"/>
      <c r="AD1852" s="106"/>
      <c r="AE1852" s="97"/>
      <c r="AF1852" s="97"/>
      <c r="AG1852" s="97"/>
      <c r="AH1852" s="97"/>
      <c r="AI1852" s="97"/>
      <c r="AJ1852" s="97"/>
      <c r="AK1852" s="97"/>
      <c r="AL1852" s="97"/>
      <c r="AM1852" s="97"/>
      <c r="AN1852" s="97"/>
      <c r="AO1852" s="97"/>
      <c r="AP1852" s="97"/>
      <c r="AQ1852" s="97"/>
    </row>
    <row r="1853" spans="2:43" s="101" customFormat="1" ht="15" customHeight="1">
      <c r="B1853" s="104"/>
      <c r="C1853" s="104"/>
      <c r="D1853" s="104"/>
      <c r="E1853" s="104"/>
      <c r="F1853" s="104"/>
      <c r="G1853" s="104"/>
      <c r="H1853" s="104"/>
      <c r="I1853" s="104"/>
      <c r="J1853" s="104"/>
      <c r="K1853" s="104"/>
      <c r="L1853" s="104"/>
      <c r="R1853" s="105"/>
      <c r="S1853" s="105"/>
      <c r="T1853" s="105"/>
      <c r="U1853" s="105"/>
      <c r="V1853" s="105"/>
      <c r="W1853" s="105"/>
      <c r="AD1853" s="106"/>
      <c r="AE1853" s="97"/>
      <c r="AF1853" s="97"/>
      <c r="AG1853" s="97"/>
      <c r="AH1853" s="97"/>
      <c r="AI1853" s="97"/>
      <c r="AJ1853" s="97"/>
      <c r="AK1853" s="97"/>
      <c r="AL1853" s="97"/>
      <c r="AM1853" s="97"/>
      <c r="AN1853" s="97"/>
      <c r="AO1853" s="97"/>
      <c r="AP1853" s="97"/>
      <c r="AQ1853" s="97"/>
    </row>
    <row r="1854" spans="2:43" s="101" customFormat="1" ht="15" customHeight="1">
      <c r="B1854" s="104"/>
      <c r="C1854" s="104"/>
      <c r="D1854" s="104"/>
      <c r="E1854" s="104"/>
      <c r="F1854" s="104"/>
      <c r="G1854" s="104"/>
      <c r="H1854" s="104"/>
      <c r="I1854" s="104"/>
      <c r="J1854" s="104"/>
      <c r="K1854" s="104"/>
      <c r="L1854" s="104"/>
      <c r="R1854" s="105"/>
      <c r="S1854" s="105"/>
      <c r="T1854" s="105"/>
      <c r="U1854" s="105"/>
      <c r="V1854" s="105"/>
      <c r="W1854" s="105"/>
      <c r="AD1854" s="106"/>
      <c r="AE1854" s="97"/>
      <c r="AF1854" s="97"/>
      <c r="AG1854" s="97"/>
      <c r="AH1854" s="97"/>
      <c r="AI1854" s="97"/>
      <c r="AJ1854" s="97"/>
      <c r="AK1854" s="97"/>
      <c r="AL1854" s="97"/>
      <c r="AM1854" s="97"/>
      <c r="AN1854" s="97"/>
      <c r="AO1854" s="97"/>
      <c r="AP1854" s="97"/>
      <c r="AQ1854" s="97"/>
    </row>
    <row r="1855" spans="2:43" s="101" customFormat="1" ht="15" customHeight="1">
      <c r="B1855" s="104"/>
      <c r="C1855" s="104"/>
      <c r="D1855" s="104"/>
      <c r="E1855" s="104"/>
      <c r="F1855" s="104"/>
      <c r="G1855" s="104"/>
      <c r="H1855" s="104"/>
      <c r="I1855" s="104"/>
      <c r="J1855" s="104"/>
      <c r="K1855" s="104"/>
      <c r="L1855" s="104"/>
      <c r="R1855" s="105"/>
      <c r="S1855" s="105"/>
      <c r="T1855" s="105"/>
      <c r="U1855" s="105"/>
      <c r="V1855" s="105"/>
      <c r="W1855" s="105"/>
      <c r="AD1855" s="106"/>
      <c r="AE1855" s="97"/>
      <c r="AF1855" s="97"/>
      <c r="AG1855" s="97"/>
      <c r="AH1855" s="97"/>
      <c r="AI1855" s="97"/>
      <c r="AJ1855" s="97"/>
      <c r="AK1855" s="97"/>
      <c r="AL1855" s="97"/>
      <c r="AM1855" s="97"/>
      <c r="AN1855" s="97"/>
      <c r="AO1855" s="97"/>
      <c r="AP1855" s="97"/>
      <c r="AQ1855" s="97"/>
    </row>
    <row r="1856" spans="2:43" s="101" customFormat="1" ht="15" customHeight="1">
      <c r="B1856" s="104"/>
      <c r="C1856" s="104"/>
      <c r="D1856" s="104"/>
      <c r="E1856" s="104"/>
      <c r="F1856" s="104"/>
      <c r="G1856" s="104"/>
      <c r="H1856" s="104"/>
      <c r="I1856" s="104"/>
      <c r="J1856" s="104"/>
      <c r="K1856" s="104"/>
      <c r="L1856" s="104"/>
      <c r="R1856" s="105"/>
      <c r="S1856" s="105"/>
      <c r="T1856" s="105"/>
      <c r="U1856" s="105"/>
      <c r="V1856" s="105"/>
      <c r="W1856" s="105"/>
      <c r="AD1856" s="106"/>
      <c r="AE1856" s="97"/>
      <c r="AF1856" s="97"/>
      <c r="AG1856" s="97"/>
      <c r="AH1856" s="97"/>
      <c r="AI1856" s="97"/>
      <c r="AJ1856" s="97"/>
      <c r="AK1856" s="97"/>
      <c r="AL1856" s="97"/>
      <c r="AM1856" s="97"/>
      <c r="AN1856" s="97"/>
      <c r="AO1856" s="97"/>
      <c r="AP1856" s="97"/>
      <c r="AQ1856" s="97"/>
    </row>
    <row r="1857" spans="2:43" s="101" customFormat="1" ht="15" customHeight="1">
      <c r="B1857" s="104"/>
      <c r="C1857" s="104"/>
      <c r="D1857" s="104"/>
      <c r="E1857" s="104"/>
      <c r="F1857" s="104"/>
      <c r="G1857" s="104"/>
      <c r="H1857" s="104"/>
      <c r="I1857" s="104"/>
      <c r="J1857" s="104"/>
      <c r="K1857" s="104"/>
      <c r="L1857" s="104"/>
      <c r="R1857" s="105"/>
      <c r="S1857" s="105"/>
      <c r="T1857" s="105"/>
      <c r="U1857" s="105"/>
      <c r="V1857" s="105"/>
      <c r="W1857" s="105"/>
      <c r="AD1857" s="106"/>
      <c r="AE1857" s="97"/>
      <c r="AF1857" s="97"/>
      <c r="AG1857" s="97"/>
      <c r="AH1857" s="97"/>
      <c r="AI1857" s="97"/>
      <c r="AJ1857" s="97"/>
      <c r="AK1857" s="97"/>
      <c r="AL1857" s="97"/>
      <c r="AM1857" s="97"/>
      <c r="AN1857" s="97"/>
      <c r="AO1857" s="97"/>
      <c r="AP1857" s="97"/>
      <c r="AQ1857" s="97"/>
    </row>
    <row r="1858" spans="2:43" s="101" customFormat="1" ht="15" customHeight="1">
      <c r="B1858" s="104"/>
      <c r="C1858" s="104"/>
      <c r="D1858" s="104"/>
      <c r="E1858" s="104"/>
      <c r="F1858" s="104"/>
      <c r="G1858" s="104"/>
      <c r="H1858" s="104"/>
      <c r="I1858" s="104"/>
      <c r="J1858" s="104"/>
      <c r="K1858" s="104"/>
      <c r="L1858" s="104"/>
      <c r="R1858" s="105"/>
      <c r="S1858" s="105"/>
      <c r="T1858" s="105"/>
      <c r="U1858" s="105"/>
      <c r="V1858" s="105"/>
      <c r="W1858" s="105"/>
      <c r="AD1858" s="106"/>
      <c r="AE1858" s="97"/>
      <c r="AF1858" s="97"/>
      <c r="AG1858" s="97"/>
      <c r="AH1858" s="97"/>
      <c r="AI1858" s="97"/>
      <c r="AJ1858" s="97"/>
      <c r="AK1858" s="97"/>
      <c r="AL1858" s="97"/>
      <c r="AM1858" s="97"/>
      <c r="AN1858" s="97"/>
      <c r="AO1858" s="97"/>
      <c r="AP1858" s="97"/>
      <c r="AQ1858" s="97"/>
    </row>
    <row r="1859" spans="2:43" s="101" customFormat="1" ht="15" customHeight="1">
      <c r="B1859" s="104"/>
      <c r="C1859" s="104"/>
      <c r="D1859" s="104"/>
      <c r="E1859" s="104"/>
      <c r="F1859" s="104"/>
      <c r="G1859" s="104"/>
      <c r="H1859" s="104"/>
      <c r="I1859" s="104"/>
      <c r="J1859" s="104"/>
      <c r="K1859" s="104"/>
      <c r="L1859" s="104"/>
      <c r="R1859" s="105"/>
      <c r="S1859" s="105"/>
      <c r="T1859" s="105"/>
      <c r="U1859" s="105"/>
      <c r="V1859" s="105"/>
      <c r="W1859" s="105"/>
      <c r="AD1859" s="106"/>
      <c r="AE1859" s="97"/>
      <c r="AF1859" s="97"/>
      <c r="AG1859" s="97"/>
      <c r="AH1859" s="97"/>
      <c r="AI1859" s="97"/>
      <c r="AJ1859" s="97"/>
      <c r="AK1859" s="97"/>
      <c r="AL1859" s="97"/>
      <c r="AM1859" s="97"/>
      <c r="AN1859" s="97"/>
      <c r="AO1859" s="97"/>
      <c r="AP1859" s="97"/>
      <c r="AQ1859" s="97"/>
    </row>
    <row r="1860" spans="2:43" s="101" customFormat="1" ht="15" customHeight="1">
      <c r="B1860" s="104"/>
      <c r="C1860" s="104"/>
      <c r="D1860" s="104"/>
      <c r="E1860" s="104"/>
      <c r="F1860" s="104"/>
      <c r="G1860" s="104"/>
      <c r="H1860" s="104"/>
      <c r="I1860" s="104"/>
      <c r="J1860" s="104"/>
      <c r="K1860" s="104"/>
      <c r="L1860" s="104"/>
      <c r="R1860" s="105"/>
      <c r="S1860" s="105"/>
      <c r="T1860" s="105"/>
      <c r="U1860" s="105"/>
      <c r="V1860" s="105"/>
      <c r="W1860" s="105"/>
      <c r="AD1860" s="106"/>
      <c r="AE1860" s="97"/>
      <c r="AF1860" s="97"/>
      <c r="AG1860" s="97"/>
      <c r="AH1860" s="97"/>
      <c r="AI1860" s="97"/>
      <c r="AJ1860" s="97"/>
      <c r="AK1860" s="97"/>
      <c r="AL1860" s="97"/>
      <c r="AM1860" s="97"/>
      <c r="AN1860" s="97"/>
      <c r="AO1860" s="97"/>
      <c r="AP1860" s="97"/>
      <c r="AQ1860" s="97"/>
    </row>
    <row r="1861" spans="2:43" s="101" customFormat="1" ht="15" customHeight="1">
      <c r="B1861" s="104"/>
      <c r="C1861" s="104"/>
      <c r="D1861" s="104"/>
      <c r="E1861" s="104"/>
      <c r="F1861" s="104"/>
      <c r="G1861" s="104"/>
      <c r="H1861" s="104"/>
      <c r="I1861" s="104"/>
      <c r="J1861" s="104"/>
      <c r="K1861" s="104"/>
      <c r="L1861" s="104"/>
      <c r="R1861" s="105"/>
      <c r="S1861" s="105"/>
      <c r="T1861" s="105"/>
      <c r="U1861" s="105"/>
      <c r="V1861" s="105"/>
      <c r="W1861" s="105"/>
      <c r="AD1861" s="106"/>
      <c r="AE1861" s="97"/>
      <c r="AF1861" s="97"/>
      <c r="AG1861" s="97"/>
      <c r="AH1861" s="97"/>
      <c r="AI1861" s="97"/>
      <c r="AJ1861" s="97"/>
      <c r="AK1861" s="97"/>
      <c r="AL1861" s="97"/>
      <c r="AM1861" s="97"/>
      <c r="AN1861" s="97"/>
      <c r="AO1861" s="97"/>
      <c r="AP1861" s="97"/>
      <c r="AQ1861" s="97"/>
    </row>
    <row r="1862" spans="2:43" s="101" customFormat="1" ht="15" customHeight="1">
      <c r="B1862" s="104"/>
      <c r="C1862" s="104"/>
      <c r="D1862" s="104"/>
      <c r="E1862" s="104"/>
      <c r="F1862" s="104"/>
      <c r="G1862" s="104"/>
      <c r="H1862" s="104"/>
      <c r="I1862" s="104"/>
      <c r="J1862" s="104"/>
      <c r="K1862" s="104"/>
      <c r="L1862" s="104"/>
      <c r="R1862" s="105"/>
      <c r="S1862" s="105"/>
      <c r="T1862" s="105"/>
      <c r="U1862" s="105"/>
      <c r="V1862" s="105"/>
      <c r="W1862" s="105"/>
      <c r="AD1862" s="106"/>
      <c r="AE1862" s="97"/>
      <c r="AF1862" s="97"/>
      <c r="AG1862" s="97"/>
      <c r="AH1862" s="97"/>
      <c r="AI1862" s="97"/>
      <c r="AJ1862" s="97"/>
      <c r="AK1862" s="97"/>
      <c r="AL1862" s="97"/>
      <c r="AM1862" s="97"/>
      <c r="AN1862" s="97"/>
      <c r="AO1862" s="97"/>
      <c r="AP1862" s="97"/>
      <c r="AQ1862" s="97"/>
    </row>
    <row r="1863" spans="2:43" s="101" customFormat="1" ht="15" customHeight="1">
      <c r="B1863" s="104"/>
      <c r="C1863" s="104"/>
      <c r="D1863" s="104"/>
      <c r="E1863" s="104"/>
      <c r="F1863" s="104"/>
      <c r="G1863" s="104"/>
      <c r="H1863" s="104"/>
      <c r="I1863" s="104"/>
      <c r="J1863" s="104"/>
      <c r="K1863" s="104"/>
      <c r="L1863" s="104"/>
      <c r="R1863" s="105"/>
      <c r="S1863" s="105"/>
      <c r="T1863" s="105"/>
      <c r="U1863" s="105"/>
      <c r="V1863" s="105"/>
      <c r="W1863" s="105"/>
      <c r="AD1863" s="106"/>
      <c r="AE1863" s="97"/>
      <c r="AF1863" s="97"/>
      <c r="AG1863" s="97"/>
      <c r="AH1863" s="97"/>
      <c r="AI1863" s="97"/>
      <c r="AJ1863" s="97"/>
      <c r="AK1863" s="97"/>
      <c r="AL1863" s="97"/>
      <c r="AM1863" s="97"/>
      <c r="AN1863" s="97"/>
      <c r="AO1863" s="97"/>
      <c r="AP1863" s="97"/>
      <c r="AQ1863" s="97"/>
    </row>
    <row r="1864" spans="2:43" s="101" customFormat="1" ht="15" customHeight="1">
      <c r="B1864" s="104"/>
      <c r="C1864" s="104"/>
      <c r="D1864" s="104"/>
      <c r="E1864" s="104"/>
      <c r="F1864" s="104"/>
      <c r="G1864" s="104"/>
      <c r="H1864" s="104"/>
      <c r="I1864" s="104"/>
      <c r="J1864" s="104"/>
      <c r="K1864" s="104"/>
      <c r="L1864" s="104"/>
      <c r="R1864" s="105"/>
      <c r="S1864" s="105"/>
      <c r="T1864" s="105"/>
      <c r="U1864" s="105"/>
      <c r="V1864" s="105"/>
      <c r="W1864" s="105"/>
      <c r="AD1864" s="106"/>
      <c r="AE1864" s="97"/>
      <c r="AF1864" s="97"/>
      <c r="AG1864" s="97"/>
      <c r="AH1864" s="97"/>
      <c r="AI1864" s="97"/>
      <c r="AJ1864" s="97"/>
      <c r="AK1864" s="97"/>
      <c r="AL1864" s="97"/>
      <c r="AM1864" s="97"/>
      <c r="AN1864" s="97"/>
      <c r="AO1864" s="97"/>
      <c r="AP1864" s="97"/>
      <c r="AQ1864" s="97"/>
    </row>
    <row r="1865" spans="2:43" s="101" customFormat="1" ht="15" customHeight="1">
      <c r="B1865" s="104"/>
      <c r="C1865" s="104"/>
      <c r="D1865" s="104"/>
      <c r="E1865" s="104"/>
      <c r="F1865" s="104"/>
      <c r="G1865" s="104"/>
      <c r="H1865" s="104"/>
      <c r="I1865" s="104"/>
      <c r="J1865" s="104"/>
      <c r="K1865" s="104"/>
      <c r="L1865" s="104"/>
      <c r="R1865" s="105"/>
      <c r="S1865" s="105"/>
      <c r="T1865" s="105"/>
      <c r="U1865" s="105"/>
      <c r="V1865" s="105"/>
      <c r="W1865" s="105"/>
      <c r="AD1865" s="106"/>
      <c r="AE1865" s="97"/>
      <c r="AF1865" s="97"/>
      <c r="AG1865" s="97"/>
      <c r="AH1865" s="97"/>
      <c r="AI1865" s="97"/>
      <c r="AJ1865" s="97"/>
      <c r="AK1865" s="97"/>
      <c r="AL1865" s="97"/>
      <c r="AM1865" s="97"/>
      <c r="AN1865" s="97"/>
      <c r="AO1865" s="97"/>
      <c r="AP1865" s="97"/>
      <c r="AQ1865" s="97"/>
    </row>
    <row r="1866" spans="2:43" s="101" customFormat="1" ht="15" customHeight="1">
      <c r="B1866" s="104"/>
      <c r="C1866" s="104"/>
      <c r="D1866" s="104"/>
      <c r="E1866" s="104"/>
      <c r="F1866" s="104"/>
      <c r="G1866" s="104"/>
      <c r="H1866" s="104"/>
      <c r="I1866" s="104"/>
      <c r="J1866" s="104"/>
      <c r="K1866" s="104"/>
      <c r="L1866" s="104"/>
      <c r="R1866" s="105"/>
      <c r="S1866" s="105"/>
      <c r="T1866" s="105"/>
      <c r="U1866" s="105"/>
      <c r="V1866" s="105"/>
      <c r="W1866" s="105"/>
      <c r="AD1866" s="106"/>
      <c r="AE1866" s="97"/>
      <c r="AF1866" s="97"/>
      <c r="AG1866" s="97"/>
      <c r="AH1866" s="97"/>
      <c r="AI1866" s="97"/>
      <c r="AJ1866" s="97"/>
      <c r="AK1866" s="97"/>
      <c r="AL1866" s="97"/>
      <c r="AM1866" s="97"/>
      <c r="AN1866" s="97"/>
      <c r="AO1866" s="97"/>
      <c r="AP1866" s="97"/>
      <c r="AQ1866" s="97"/>
    </row>
    <row r="1867" spans="2:43" s="101" customFormat="1" ht="15" customHeight="1">
      <c r="B1867" s="104"/>
      <c r="C1867" s="104"/>
      <c r="D1867" s="104"/>
      <c r="E1867" s="104"/>
      <c r="F1867" s="104"/>
      <c r="G1867" s="104"/>
      <c r="H1867" s="104"/>
      <c r="I1867" s="104"/>
      <c r="J1867" s="104"/>
      <c r="K1867" s="104"/>
      <c r="L1867" s="104"/>
      <c r="R1867" s="105"/>
      <c r="S1867" s="105"/>
      <c r="T1867" s="105"/>
      <c r="U1867" s="105"/>
      <c r="V1867" s="105"/>
      <c r="W1867" s="105"/>
      <c r="AD1867" s="106"/>
      <c r="AE1867" s="97"/>
      <c r="AF1867" s="97"/>
      <c r="AG1867" s="97"/>
      <c r="AH1867" s="97"/>
      <c r="AI1867" s="97"/>
      <c r="AJ1867" s="97"/>
      <c r="AK1867" s="97"/>
      <c r="AL1867" s="97"/>
      <c r="AM1867" s="97"/>
      <c r="AN1867" s="97"/>
      <c r="AO1867" s="97"/>
      <c r="AP1867" s="97"/>
      <c r="AQ1867" s="97"/>
    </row>
    <row r="1868" spans="2:43" s="101" customFormat="1" ht="15" customHeight="1">
      <c r="B1868" s="104"/>
      <c r="C1868" s="104"/>
      <c r="D1868" s="104"/>
      <c r="E1868" s="104"/>
      <c r="F1868" s="104"/>
      <c r="G1868" s="104"/>
      <c r="H1868" s="104"/>
      <c r="I1868" s="104"/>
      <c r="J1868" s="104"/>
      <c r="K1868" s="104"/>
      <c r="L1868" s="104"/>
      <c r="R1868" s="105"/>
      <c r="S1868" s="105"/>
      <c r="T1868" s="105"/>
      <c r="U1868" s="105"/>
      <c r="V1868" s="105"/>
      <c r="W1868" s="105"/>
      <c r="AD1868" s="106"/>
      <c r="AE1868" s="97"/>
      <c r="AF1868" s="97"/>
      <c r="AG1868" s="97"/>
      <c r="AH1868" s="97"/>
      <c r="AI1868" s="97"/>
      <c r="AJ1868" s="97"/>
      <c r="AK1868" s="97"/>
      <c r="AL1868" s="97"/>
      <c r="AM1868" s="97"/>
      <c r="AN1868" s="97"/>
      <c r="AO1868" s="97"/>
      <c r="AP1868" s="97"/>
      <c r="AQ1868" s="97"/>
    </row>
    <row r="1869" spans="2:43" s="101" customFormat="1" ht="15" customHeight="1">
      <c r="B1869" s="104"/>
      <c r="C1869" s="104"/>
      <c r="D1869" s="104"/>
      <c r="E1869" s="104"/>
      <c r="F1869" s="104"/>
      <c r="G1869" s="104"/>
      <c r="H1869" s="104"/>
      <c r="I1869" s="104"/>
      <c r="J1869" s="104"/>
      <c r="K1869" s="104"/>
      <c r="L1869" s="104"/>
      <c r="R1869" s="105"/>
      <c r="S1869" s="105"/>
      <c r="T1869" s="105"/>
      <c r="U1869" s="105"/>
      <c r="V1869" s="105"/>
      <c r="W1869" s="105"/>
      <c r="AD1869" s="106"/>
      <c r="AE1869" s="97"/>
      <c r="AF1869" s="97"/>
      <c r="AG1869" s="97"/>
      <c r="AH1869" s="97"/>
      <c r="AI1869" s="97"/>
      <c r="AJ1869" s="97"/>
      <c r="AK1869" s="97"/>
      <c r="AL1869" s="97"/>
      <c r="AM1869" s="97"/>
      <c r="AN1869" s="97"/>
      <c r="AO1869" s="97"/>
      <c r="AP1869" s="97"/>
      <c r="AQ1869" s="97"/>
    </row>
    <row r="1870" spans="2:43" s="101" customFormat="1" ht="15" customHeight="1">
      <c r="B1870" s="104"/>
      <c r="C1870" s="104"/>
      <c r="D1870" s="104"/>
      <c r="E1870" s="104"/>
      <c r="F1870" s="104"/>
      <c r="G1870" s="104"/>
      <c r="H1870" s="104"/>
      <c r="I1870" s="104"/>
      <c r="J1870" s="104"/>
      <c r="K1870" s="104"/>
      <c r="L1870" s="104"/>
      <c r="R1870" s="105"/>
      <c r="S1870" s="105"/>
      <c r="T1870" s="105"/>
      <c r="U1870" s="105"/>
      <c r="V1870" s="105"/>
      <c r="W1870" s="105"/>
      <c r="AD1870" s="106"/>
      <c r="AE1870" s="97"/>
      <c r="AF1870" s="97"/>
      <c r="AG1870" s="97"/>
      <c r="AH1870" s="97"/>
      <c r="AI1870" s="97"/>
      <c r="AJ1870" s="97"/>
      <c r="AK1870" s="97"/>
      <c r="AL1870" s="97"/>
      <c r="AM1870" s="97"/>
      <c r="AN1870" s="97"/>
      <c r="AO1870" s="97"/>
      <c r="AP1870" s="97"/>
      <c r="AQ1870" s="97"/>
    </row>
    <row r="1871" spans="2:43" s="101" customFormat="1" ht="15" customHeight="1">
      <c r="B1871" s="104"/>
      <c r="C1871" s="104"/>
      <c r="D1871" s="104"/>
      <c r="E1871" s="104"/>
      <c r="F1871" s="104"/>
      <c r="G1871" s="104"/>
      <c r="H1871" s="104"/>
      <c r="I1871" s="104"/>
      <c r="J1871" s="104"/>
      <c r="K1871" s="104"/>
      <c r="L1871" s="104"/>
      <c r="R1871" s="105"/>
      <c r="S1871" s="105"/>
      <c r="T1871" s="105"/>
      <c r="U1871" s="105"/>
      <c r="V1871" s="105"/>
      <c r="W1871" s="105"/>
      <c r="AD1871" s="106"/>
      <c r="AE1871" s="97"/>
      <c r="AF1871" s="97"/>
      <c r="AG1871" s="97"/>
      <c r="AH1871" s="97"/>
      <c r="AI1871" s="97"/>
      <c r="AJ1871" s="97"/>
      <c r="AK1871" s="97"/>
      <c r="AL1871" s="97"/>
      <c r="AM1871" s="97"/>
      <c r="AN1871" s="97"/>
      <c r="AO1871" s="97"/>
      <c r="AP1871" s="97"/>
      <c r="AQ1871" s="97"/>
    </row>
    <row r="1872" spans="2:43" s="101" customFormat="1" ht="15" customHeight="1">
      <c r="B1872" s="104"/>
      <c r="C1872" s="104"/>
      <c r="D1872" s="104"/>
      <c r="E1872" s="104"/>
      <c r="F1872" s="104"/>
      <c r="G1872" s="104"/>
      <c r="H1872" s="104"/>
      <c r="I1872" s="104"/>
      <c r="J1872" s="104"/>
      <c r="K1872" s="104"/>
      <c r="L1872" s="104"/>
      <c r="R1872" s="105"/>
      <c r="S1872" s="105"/>
      <c r="T1872" s="105"/>
      <c r="U1872" s="105"/>
      <c r="V1872" s="105"/>
      <c r="W1872" s="105"/>
      <c r="AD1872" s="106"/>
      <c r="AE1872" s="97"/>
      <c r="AF1872" s="97"/>
      <c r="AG1872" s="97"/>
      <c r="AH1872" s="97"/>
      <c r="AI1872" s="97"/>
      <c r="AJ1872" s="97"/>
      <c r="AK1872" s="97"/>
      <c r="AL1872" s="97"/>
      <c r="AM1872" s="97"/>
      <c r="AN1872" s="97"/>
      <c r="AO1872" s="97"/>
      <c r="AP1872" s="97"/>
      <c r="AQ1872" s="97"/>
    </row>
    <row r="1873" spans="2:43" s="101" customFormat="1" ht="15" customHeight="1">
      <c r="B1873" s="104"/>
      <c r="C1873" s="104"/>
      <c r="D1873" s="104"/>
      <c r="E1873" s="104"/>
      <c r="F1873" s="104"/>
      <c r="G1873" s="104"/>
      <c r="H1873" s="104"/>
      <c r="I1873" s="104"/>
      <c r="J1873" s="104"/>
      <c r="K1873" s="104"/>
      <c r="L1873" s="104"/>
      <c r="R1873" s="105"/>
      <c r="S1873" s="105"/>
      <c r="T1873" s="105"/>
      <c r="U1873" s="105"/>
      <c r="V1873" s="105"/>
      <c r="W1873" s="105"/>
      <c r="AD1873" s="106"/>
      <c r="AE1873" s="97"/>
      <c r="AF1873" s="97"/>
      <c r="AG1873" s="97"/>
      <c r="AH1873" s="97"/>
      <c r="AI1873" s="97"/>
      <c r="AJ1873" s="97"/>
      <c r="AK1873" s="97"/>
      <c r="AL1873" s="97"/>
      <c r="AM1873" s="97"/>
      <c r="AN1873" s="97"/>
      <c r="AO1873" s="97"/>
      <c r="AP1873" s="97"/>
      <c r="AQ1873" s="97"/>
    </row>
    <row r="1874" spans="2:43" s="101" customFormat="1" ht="15" customHeight="1">
      <c r="B1874" s="104"/>
      <c r="C1874" s="104"/>
      <c r="D1874" s="104"/>
      <c r="E1874" s="104"/>
      <c r="F1874" s="104"/>
      <c r="G1874" s="104"/>
      <c r="H1874" s="104"/>
      <c r="I1874" s="104"/>
      <c r="J1874" s="104"/>
      <c r="K1874" s="104"/>
      <c r="L1874" s="104"/>
      <c r="R1874" s="105"/>
      <c r="S1874" s="105"/>
      <c r="T1874" s="105"/>
      <c r="U1874" s="105"/>
      <c r="V1874" s="105"/>
      <c r="W1874" s="105"/>
      <c r="AD1874" s="106"/>
      <c r="AE1874" s="97"/>
      <c r="AF1874" s="97"/>
      <c r="AG1874" s="97"/>
      <c r="AH1874" s="97"/>
      <c r="AI1874" s="97"/>
      <c r="AJ1874" s="97"/>
      <c r="AK1874" s="97"/>
      <c r="AL1874" s="97"/>
      <c r="AM1874" s="97"/>
      <c r="AN1874" s="97"/>
      <c r="AO1874" s="97"/>
      <c r="AP1874" s="97"/>
      <c r="AQ1874" s="97"/>
    </row>
    <row r="1875" spans="2:43" s="101" customFormat="1" ht="15" customHeight="1">
      <c r="B1875" s="104"/>
      <c r="C1875" s="104"/>
      <c r="D1875" s="104"/>
      <c r="E1875" s="104"/>
      <c r="F1875" s="104"/>
      <c r="G1875" s="104"/>
      <c r="H1875" s="104"/>
      <c r="I1875" s="104"/>
      <c r="J1875" s="104"/>
      <c r="K1875" s="104"/>
      <c r="L1875" s="104"/>
      <c r="R1875" s="105"/>
      <c r="S1875" s="105"/>
      <c r="T1875" s="105"/>
      <c r="U1875" s="105"/>
      <c r="V1875" s="105"/>
      <c r="W1875" s="105"/>
      <c r="AD1875" s="106"/>
      <c r="AE1875" s="97"/>
      <c r="AF1875" s="97"/>
      <c r="AG1875" s="97"/>
      <c r="AH1875" s="97"/>
      <c r="AI1875" s="97"/>
      <c r="AJ1875" s="97"/>
      <c r="AK1875" s="97"/>
      <c r="AL1875" s="97"/>
      <c r="AM1875" s="97"/>
      <c r="AN1875" s="97"/>
      <c r="AO1875" s="97"/>
      <c r="AP1875" s="97"/>
      <c r="AQ1875" s="97"/>
    </row>
    <row r="1876" spans="2:43" s="101" customFormat="1" ht="15" customHeight="1">
      <c r="B1876" s="104"/>
      <c r="C1876" s="104"/>
      <c r="D1876" s="104"/>
      <c r="E1876" s="104"/>
      <c r="F1876" s="104"/>
      <c r="G1876" s="104"/>
      <c r="H1876" s="104"/>
      <c r="I1876" s="104"/>
      <c r="J1876" s="104"/>
      <c r="K1876" s="104"/>
      <c r="L1876" s="104"/>
      <c r="R1876" s="105"/>
      <c r="S1876" s="105"/>
      <c r="T1876" s="105"/>
      <c r="U1876" s="105"/>
      <c r="V1876" s="105"/>
      <c r="W1876" s="105"/>
      <c r="AD1876" s="106"/>
      <c r="AE1876" s="97"/>
      <c r="AF1876" s="97"/>
      <c r="AG1876" s="97"/>
      <c r="AH1876" s="97"/>
      <c r="AI1876" s="97"/>
      <c r="AJ1876" s="97"/>
      <c r="AK1876" s="97"/>
      <c r="AL1876" s="97"/>
      <c r="AM1876" s="97"/>
      <c r="AN1876" s="97"/>
      <c r="AO1876" s="97"/>
      <c r="AP1876" s="97"/>
      <c r="AQ1876" s="97"/>
    </row>
    <row r="1877" spans="2:43" s="101" customFormat="1" ht="15" customHeight="1">
      <c r="B1877" s="104"/>
      <c r="C1877" s="104"/>
      <c r="D1877" s="104"/>
      <c r="E1877" s="104"/>
      <c r="F1877" s="104"/>
      <c r="G1877" s="104"/>
      <c r="H1877" s="104"/>
      <c r="I1877" s="104"/>
      <c r="J1877" s="104"/>
      <c r="K1877" s="104"/>
      <c r="L1877" s="104"/>
      <c r="R1877" s="105"/>
      <c r="S1877" s="105"/>
      <c r="T1877" s="105"/>
      <c r="U1877" s="105"/>
      <c r="V1877" s="105"/>
      <c r="W1877" s="105"/>
      <c r="AD1877" s="106"/>
      <c r="AE1877" s="97"/>
      <c r="AF1877" s="97"/>
      <c r="AG1877" s="97"/>
      <c r="AH1877" s="97"/>
      <c r="AI1877" s="97"/>
      <c r="AJ1877" s="97"/>
      <c r="AK1877" s="97"/>
      <c r="AL1877" s="97"/>
      <c r="AM1877" s="97"/>
      <c r="AN1877" s="97"/>
      <c r="AO1877" s="97"/>
      <c r="AP1877" s="97"/>
      <c r="AQ1877" s="97"/>
    </row>
    <row r="1878" spans="2:43" s="101" customFormat="1" ht="15" customHeight="1">
      <c r="B1878" s="104"/>
      <c r="C1878" s="104"/>
      <c r="D1878" s="104"/>
      <c r="E1878" s="104"/>
      <c r="F1878" s="104"/>
      <c r="G1878" s="104"/>
      <c r="H1878" s="104"/>
      <c r="I1878" s="104"/>
      <c r="J1878" s="104"/>
      <c r="K1878" s="104"/>
      <c r="L1878" s="104"/>
      <c r="R1878" s="105"/>
      <c r="S1878" s="105"/>
      <c r="T1878" s="105"/>
      <c r="U1878" s="105"/>
      <c r="V1878" s="105"/>
      <c r="W1878" s="105"/>
      <c r="AD1878" s="106"/>
      <c r="AE1878" s="97"/>
      <c r="AF1878" s="97"/>
      <c r="AG1878" s="97"/>
      <c r="AH1878" s="97"/>
      <c r="AI1878" s="97"/>
      <c r="AJ1878" s="97"/>
      <c r="AK1878" s="97"/>
      <c r="AL1878" s="97"/>
      <c r="AM1878" s="97"/>
      <c r="AN1878" s="97"/>
      <c r="AO1878" s="97"/>
      <c r="AP1878" s="97"/>
      <c r="AQ1878" s="97"/>
    </row>
    <row r="1879" spans="2:43" s="101" customFormat="1" ht="15" customHeight="1">
      <c r="B1879" s="104"/>
      <c r="C1879" s="104"/>
      <c r="D1879" s="104"/>
      <c r="E1879" s="104"/>
      <c r="F1879" s="104"/>
      <c r="G1879" s="104"/>
      <c r="H1879" s="104"/>
      <c r="I1879" s="104"/>
      <c r="J1879" s="104"/>
      <c r="K1879" s="104"/>
      <c r="L1879" s="104"/>
      <c r="R1879" s="105"/>
      <c r="S1879" s="105"/>
      <c r="T1879" s="105"/>
      <c r="U1879" s="105"/>
      <c r="V1879" s="105"/>
      <c r="W1879" s="105"/>
      <c r="AD1879" s="106"/>
      <c r="AE1879" s="97"/>
      <c r="AF1879" s="97"/>
      <c r="AG1879" s="97"/>
      <c r="AH1879" s="97"/>
      <c r="AI1879" s="97"/>
      <c r="AJ1879" s="97"/>
      <c r="AK1879" s="97"/>
      <c r="AL1879" s="97"/>
      <c r="AM1879" s="97"/>
      <c r="AN1879" s="97"/>
      <c r="AO1879" s="97"/>
      <c r="AP1879" s="97"/>
      <c r="AQ1879" s="97"/>
    </row>
    <row r="1880" spans="2:43" s="101" customFormat="1" ht="15" customHeight="1">
      <c r="B1880" s="104"/>
      <c r="C1880" s="104"/>
      <c r="D1880" s="104"/>
      <c r="E1880" s="104"/>
      <c r="F1880" s="104"/>
      <c r="G1880" s="104"/>
      <c r="H1880" s="104"/>
      <c r="I1880" s="104"/>
      <c r="J1880" s="104"/>
      <c r="K1880" s="104"/>
      <c r="L1880" s="104"/>
      <c r="R1880" s="105"/>
      <c r="S1880" s="105"/>
      <c r="T1880" s="105"/>
      <c r="U1880" s="105"/>
      <c r="V1880" s="105"/>
      <c r="W1880" s="105"/>
      <c r="AD1880" s="106"/>
      <c r="AE1880" s="97"/>
      <c r="AF1880" s="97"/>
      <c r="AG1880" s="97"/>
      <c r="AH1880" s="97"/>
      <c r="AI1880" s="97"/>
      <c r="AJ1880" s="97"/>
      <c r="AK1880" s="97"/>
      <c r="AL1880" s="97"/>
      <c r="AM1880" s="97"/>
      <c r="AN1880" s="97"/>
      <c r="AO1880" s="97"/>
      <c r="AP1880" s="97"/>
      <c r="AQ1880" s="97"/>
    </row>
    <row r="1881" spans="2:43" s="101" customFormat="1" ht="15" customHeight="1">
      <c r="B1881" s="104"/>
      <c r="C1881" s="104"/>
      <c r="D1881" s="104"/>
      <c r="E1881" s="104"/>
      <c r="F1881" s="104"/>
      <c r="G1881" s="104"/>
      <c r="H1881" s="104"/>
      <c r="I1881" s="104"/>
      <c r="J1881" s="104"/>
      <c r="K1881" s="104"/>
      <c r="L1881" s="104"/>
      <c r="R1881" s="105"/>
      <c r="S1881" s="105"/>
      <c r="T1881" s="105"/>
      <c r="U1881" s="105"/>
      <c r="V1881" s="105"/>
      <c r="W1881" s="105"/>
      <c r="AD1881" s="106"/>
      <c r="AE1881" s="97"/>
      <c r="AF1881" s="97"/>
      <c r="AG1881" s="97"/>
      <c r="AH1881" s="97"/>
      <c r="AI1881" s="97"/>
      <c r="AJ1881" s="97"/>
      <c r="AK1881" s="97"/>
      <c r="AL1881" s="97"/>
      <c r="AM1881" s="97"/>
      <c r="AN1881" s="97"/>
      <c r="AO1881" s="97"/>
      <c r="AP1881" s="97"/>
      <c r="AQ1881" s="97"/>
    </row>
    <row r="1882" spans="2:43" s="101" customFormat="1" ht="15" customHeight="1">
      <c r="B1882" s="104"/>
      <c r="C1882" s="104"/>
      <c r="D1882" s="104"/>
      <c r="E1882" s="104"/>
      <c r="F1882" s="104"/>
      <c r="G1882" s="104"/>
      <c r="H1882" s="104"/>
      <c r="I1882" s="104"/>
      <c r="J1882" s="104"/>
      <c r="K1882" s="104"/>
      <c r="L1882" s="104"/>
      <c r="R1882" s="105"/>
      <c r="S1882" s="105"/>
      <c r="T1882" s="105"/>
      <c r="U1882" s="105"/>
      <c r="V1882" s="105"/>
      <c r="W1882" s="105"/>
      <c r="AD1882" s="106"/>
      <c r="AE1882" s="97"/>
      <c r="AF1882" s="97"/>
      <c r="AG1882" s="97"/>
      <c r="AH1882" s="97"/>
      <c r="AI1882" s="97"/>
      <c r="AJ1882" s="97"/>
      <c r="AK1882" s="97"/>
      <c r="AL1882" s="97"/>
      <c r="AM1882" s="97"/>
      <c r="AN1882" s="97"/>
      <c r="AO1882" s="97"/>
      <c r="AP1882" s="97"/>
      <c r="AQ1882" s="97"/>
    </row>
    <row r="1883" spans="2:43" s="101" customFormat="1" ht="15" customHeight="1">
      <c r="B1883" s="104"/>
      <c r="C1883" s="104"/>
      <c r="D1883" s="104"/>
      <c r="E1883" s="104"/>
      <c r="F1883" s="104"/>
      <c r="G1883" s="104"/>
      <c r="H1883" s="104"/>
      <c r="I1883" s="104"/>
      <c r="J1883" s="104"/>
      <c r="K1883" s="104"/>
      <c r="L1883" s="104"/>
      <c r="R1883" s="105"/>
      <c r="S1883" s="105"/>
      <c r="T1883" s="105"/>
      <c r="U1883" s="105"/>
      <c r="V1883" s="105"/>
      <c r="W1883" s="105"/>
      <c r="AD1883" s="106"/>
      <c r="AE1883" s="97"/>
      <c r="AF1883" s="97"/>
      <c r="AG1883" s="97"/>
      <c r="AH1883" s="97"/>
      <c r="AI1883" s="97"/>
      <c r="AJ1883" s="97"/>
      <c r="AK1883" s="97"/>
      <c r="AL1883" s="97"/>
      <c r="AM1883" s="97"/>
      <c r="AN1883" s="97"/>
      <c r="AO1883" s="97"/>
      <c r="AP1883" s="97"/>
      <c r="AQ1883" s="97"/>
    </row>
    <row r="1884" spans="2:43" s="101" customFormat="1" ht="15" customHeight="1">
      <c r="B1884" s="104"/>
      <c r="C1884" s="104"/>
      <c r="D1884" s="104"/>
      <c r="E1884" s="104"/>
      <c r="F1884" s="104"/>
      <c r="G1884" s="104"/>
      <c r="H1884" s="104"/>
      <c r="I1884" s="104"/>
      <c r="J1884" s="104"/>
      <c r="K1884" s="104"/>
      <c r="L1884" s="104"/>
      <c r="R1884" s="105"/>
      <c r="S1884" s="105"/>
      <c r="T1884" s="105"/>
      <c r="U1884" s="105"/>
      <c r="V1884" s="105"/>
      <c r="W1884" s="105"/>
      <c r="AD1884" s="106"/>
      <c r="AE1884" s="97"/>
      <c r="AF1884" s="97"/>
      <c r="AG1884" s="97"/>
      <c r="AH1884" s="97"/>
      <c r="AI1884" s="97"/>
      <c r="AJ1884" s="97"/>
      <c r="AK1884" s="97"/>
      <c r="AL1884" s="97"/>
      <c r="AM1884" s="97"/>
      <c r="AN1884" s="97"/>
      <c r="AO1884" s="97"/>
      <c r="AP1884" s="97"/>
      <c r="AQ1884" s="97"/>
    </row>
    <row r="1885" spans="2:43" s="101" customFormat="1" ht="15" customHeight="1">
      <c r="B1885" s="104"/>
      <c r="C1885" s="104"/>
      <c r="D1885" s="104"/>
      <c r="E1885" s="104"/>
      <c r="F1885" s="104"/>
      <c r="G1885" s="104"/>
      <c r="H1885" s="104"/>
      <c r="I1885" s="104"/>
      <c r="J1885" s="104"/>
      <c r="K1885" s="104"/>
      <c r="L1885" s="104"/>
      <c r="R1885" s="105"/>
      <c r="S1885" s="105"/>
      <c r="T1885" s="105"/>
      <c r="U1885" s="105"/>
      <c r="V1885" s="105"/>
      <c r="W1885" s="105"/>
      <c r="AD1885" s="106"/>
      <c r="AE1885" s="97"/>
      <c r="AF1885" s="97"/>
      <c r="AG1885" s="97"/>
      <c r="AH1885" s="97"/>
      <c r="AI1885" s="97"/>
      <c r="AJ1885" s="97"/>
      <c r="AK1885" s="97"/>
      <c r="AL1885" s="97"/>
      <c r="AM1885" s="97"/>
      <c r="AN1885" s="97"/>
      <c r="AO1885" s="97"/>
      <c r="AP1885" s="97"/>
      <c r="AQ1885" s="97"/>
    </row>
    <row r="1886" spans="2:43" s="101" customFormat="1" ht="15" customHeight="1">
      <c r="B1886" s="104"/>
      <c r="C1886" s="104"/>
      <c r="D1886" s="104"/>
      <c r="E1886" s="104"/>
      <c r="F1886" s="104"/>
      <c r="G1886" s="104"/>
      <c r="H1886" s="104"/>
      <c r="I1886" s="104"/>
      <c r="J1886" s="104"/>
      <c r="K1886" s="104"/>
      <c r="L1886" s="104"/>
      <c r="R1886" s="105"/>
      <c r="S1886" s="105"/>
      <c r="T1886" s="105"/>
      <c r="U1886" s="105"/>
      <c r="V1886" s="105"/>
      <c r="W1886" s="105"/>
      <c r="AD1886" s="106"/>
      <c r="AE1886" s="97"/>
      <c r="AF1886" s="97"/>
      <c r="AG1886" s="97"/>
      <c r="AH1886" s="97"/>
      <c r="AI1886" s="97"/>
      <c r="AJ1886" s="97"/>
      <c r="AK1886" s="97"/>
      <c r="AL1886" s="97"/>
      <c r="AM1886" s="97"/>
      <c r="AN1886" s="97"/>
      <c r="AO1886" s="97"/>
      <c r="AP1886" s="97"/>
      <c r="AQ1886" s="97"/>
    </row>
    <row r="1887" spans="2:43" s="101" customFormat="1" ht="15" customHeight="1">
      <c r="B1887" s="104"/>
      <c r="C1887" s="104"/>
      <c r="D1887" s="104"/>
      <c r="E1887" s="104"/>
      <c r="F1887" s="104"/>
      <c r="G1887" s="104"/>
      <c r="H1887" s="104"/>
      <c r="I1887" s="104"/>
      <c r="J1887" s="104"/>
      <c r="K1887" s="104"/>
      <c r="L1887" s="104"/>
      <c r="R1887" s="105"/>
      <c r="S1887" s="105"/>
      <c r="T1887" s="105"/>
      <c r="U1887" s="105"/>
      <c r="V1887" s="105"/>
      <c r="W1887" s="105"/>
      <c r="AD1887" s="106"/>
      <c r="AE1887" s="97"/>
      <c r="AF1887" s="97"/>
      <c r="AG1887" s="97"/>
      <c r="AH1887" s="97"/>
      <c r="AI1887" s="97"/>
      <c r="AJ1887" s="97"/>
      <c r="AK1887" s="97"/>
      <c r="AL1887" s="97"/>
      <c r="AM1887" s="97"/>
      <c r="AN1887" s="97"/>
      <c r="AO1887" s="97"/>
      <c r="AP1887" s="97"/>
      <c r="AQ1887" s="97"/>
    </row>
    <row r="1888" spans="2:43" s="101" customFormat="1" ht="15" customHeight="1">
      <c r="B1888" s="104"/>
      <c r="C1888" s="104"/>
      <c r="D1888" s="104"/>
      <c r="E1888" s="104"/>
      <c r="F1888" s="104"/>
      <c r="G1888" s="104"/>
      <c r="H1888" s="104"/>
      <c r="I1888" s="104"/>
      <c r="J1888" s="104"/>
      <c r="K1888" s="104"/>
      <c r="L1888" s="104"/>
      <c r="R1888" s="105"/>
      <c r="S1888" s="105"/>
      <c r="T1888" s="105"/>
      <c r="U1888" s="105"/>
      <c r="V1888" s="105"/>
      <c r="W1888" s="105"/>
      <c r="AD1888" s="106"/>
      <c r="AE1888" s="97"/>
      <c r="AF1888" s="97"/>
      <c r="AG1888" s="97"/>
      <c r="AH1888" s="97"/>
      <c r="AI1888" s="97"/>
      <c r="AJ1888" s="97"/>
      <c r="AK1888" s="97"/>
      <c r="AL1888" s="97"/>
      <c r="AM1888" s="97"/>
      <c r="AN1888" s="97"/>
      <c r="AO1888" s="97"/>
      <c r="AP1888" s="97"/>
      <c r="AQ1888" s="97"/>
    </row>
    <row r="1889" spans="2:43" s="101" customFormat="1" ht="15" customHeight="1">
      <c r="B1889" s="104"/>
      <c r="C1889" s="104"/>
      <c r="D1889" s="104"/>
      <c r="E1889" s="104"/>
      <c r="F1889" s="104"/>
      <c r="G1889" s="104"/>
      <c r="H1889" s="104"/>
      <c r="I1889" s="104"/>
      <c r="J1889" s="104"/>
      <c r="K1889" s="104"/>
      <c r="L1889" s="104"/>
      <c r="R1889" s="105"/>
      <c r="S1889" s="105"/>
      <c r="T1889" s="105"/>
      <c r="U1889" s="105"/>
      <c r="V1889" s="105"/>
      <c r="W1889" s="105"/>
      <c r="AD1889" s="106"/>
      <c r="AE1889" s="97"/>
      <c r="AF1889" s="97"/>
      <c r="AG1889" s="97"/>
      <c r="AH1889" s="97"/>
      <c r="AI1889" s="97"/>
      <c r="AJ1889" s="97"/>
      <c r="AK1889" s="97"/>
      <c r="AL1889" s="97"/>
      <c r="AM1889" s="97"/>
      <c r="AN1889" s="97"/>
      <c r="AO1889" s="97"/>
      <c r="AP1889" s="97"/>
      <c r="AQ1889" s="97"/>
    </row>
    <row r="1890" spans="2:43" s="101" customFormat="1" ht="15" customHeight="1">
      <c r="B1890" s="104"/>
      <c r="C1890" s="104"/>
      <c r="D1890" s="104"/>
      <c r="E1890" s="104"/>
      <c r="F1890" s="104"/>
      <c r="G1890" s="104"/>
      <c r="H1890" s="104"/>
      <c r="I1890" s="104"/>
      <c r="J1890" s="104"/>
      <c r="K1890" s="104"/>
      <c r="L1890" s="104"/>
      <c r="R1890" s="105"/>
      <c r="S1890" s="105"/>
      <c r="T1890" s="105"/>
      <c r="U1890" s="105"/>
      <c r="V1890" s="105"/>
      <c r="W1890" s="105"/>
      <c r="AD1890" s="106"/>
      <c r="AE1890" s="97"/>
      <c r="AF1890" s="97"/>
      <c r="AG1890" s="97"/>
      <c r="AH1890" s="97"/>
      <c r="AI1890" s="97"/>
      <c r="AJ1890" s="97"/>
      <c r="AK1890" s="97"/>
      <c r="AL1890" s="97"/>
      <c r="AM1890" s="97"/>
      <c r="AN1890" s="97"/>
      <c r="AO1890" s="97"/>
      <c r="AP1890" s="97"/>
      <c r="AQ1890" s="97"/>
    </row>
    <row r="1891" spans="2:43" s="101" customFormat="1" ht="15" customHeight="1">
      <c r="B1891" s="104"/>
      <c r="C1891" s="104"/>
      <c r="D1891" s="104"/>
      <c r="E1891" s="104"/>
      <c r="F1891" s="104"/>
      <c r="G1891" s="104"/>
      <c r="H1891" s="104"/>
      <c r="I1891" s="104"/>
      <c r="J1891" s="104"/>
      <c r="K1891" s="104"/>
      <c r="L1891" s="104"/>
      <c r="R1891" s="105"/>
      <c r="S1891" s="105"/>
      <c r="T1891" s="105"/>
      <c r="U1891" s="105"/>
      <c r="V1891" s="105"/>
      <c r="W1891" s="105"/>
      <c r="AD1891" s="106"/>
      <c r="AE1891" s="97"/>
      <c r="AF1891" s="97"/>
      <c r="AG1891" s="97"/>
      <c r="AH1891" s="97"/>
      <c r="AI1891" s="97"/>
      <c r="AJ1891" s="97"/>
      <c r="AK1891" s="97"/>
      <c r="AL1891" s="97"/>
      <c r="AM1891" s="97"/>
      <c r="AN1891" s="97"/>
      <c r="AO1891" s="97"/>
      <c r="AP1891" s="97"/>
      <c r="AQ1891" s="97"/>
    </row>
    <row r="1892" spans="2:43" s="101" customFormat="1" ht="15" customHeight="1">
      <c r="B1892" s="104"/>
      <c r="C1892" s="104"/>
      <c r="D1892" s="104"/>
      <c r="E1892" s="104"/>
      <c r="F1892" s="104"/>
      <c r="G1892" s="104"/>
      <c r="H1892" s="104"/>
      <c r="I1892" s="104"/>
      <c r="J1892" s="104"/>
      <c r="K1892" s="104"/>
      <c r="L1892" s="104"/>
      <c r="R1892" s="105"/>
      <c r="S1892" s="105"/>
      <c r="T1892" s="105"/>
      <c r="U1892" s="105"/>
      <c r="V1892" s="105"/>
      <c r="W1892" s="105"/>
      <c r="AD1892" s="106"/>
      <c r="AE1892" s="97"/>
      <c r="AF1892" s="97"/>
      <c r="AG1892" s="97"/>
      <c r="AH1892" s="97"/>
      <c r="AI1892" s="97"/>
      <c r="AJ1892" s="97"/>
      <c r="AK1892" s="97"/>
      <c r="AL1892" s="97"/>
      <c r="AM1892" s="97"/>
      <c r="AN1892" s="97"/>
      <c r="AO1892" s="97"/>
      <c r="AP1892" s="97"/>
      <c r="AQ1892" s="97"/>
    </row>
    <row r="1893" spans="2:43" s="101" customFormat="1" ht="15" customHeight="1">
      <c r="B1893" s="104"/>
      <c r="C1893" s="104"/>
      <c r="D1893" s="104"/>
      <c r="E1893" s="104"/>
      <c r="F1893" s="104"/>
      <c r="G1893" s="104"/>
      <c r="H1893" s="104"/>
      <c r="I1893" s="104"/>
      <c r="J1893" s="104"/>
      <c r="K1893" s="104"/>
      <c r="L1893" s="104"/>
      <c r="R1893" s="105"/>
      <c r="S1893" s="105"/>
      <c r="T1893" s="105"/>
      <c r="U1893" s="105"/>
      <c r="V1893" s="105"/>
      <c r="W1893" s="105"/>
      <c r="AD1893" s="106"/>
      <c r="AE1893" s="97"/>
      <c r="AF1893" s="97"/>
      <c r="AG1893" s="97"/>
      <c r="AH1893" s="97"/>
      <c r="AI1893" s="97"/>
      <c r="AJ1893" s="97"/>
      <c r="AK1893" s="97"/>
      <c r="AL1893" s="97"/>
      <c r="AM1893" s="97"/>
      <c r="AN1893" s="97"/>
      <c r="AO1893" s="97"/>
      <c r="AP1893" s="97"/>
      <c r="AQ1893" s="97"/>
    </row>
    <row r="1894" spans="2:43" s="101" customFormat="1" ht="15" customHeight="1">
      <c r="B1894" s="104"/>
      <c r="C1894" s="104"/>
      <c r="D1894" s="104"/>
      <c r="E1894" s="104"/>
      <c r="F1894" s="104"/>
      <c r="G1894" s="104"/>
      <c r="H1894" s="104"/>
      <c r="I1894" s="104"/>
      <c r="J1894" s="104"/>
      <c r="K1894" s="104"/>
      <c r="L1894" s="104"/>
      <c r="R1894" s="105"/>
      <c r="S1894" s="105"/>
      <c r="T1894" s="105"/>
      <c r="U1894" s="105"/>
      <c r="V1894" s="105"/>
      <c r="W1894" s="105"/>
      <c r="AD1894" s="106"/>
      <c r="AE1894" s="97"/>
      <c r="AF1894" s="97"/>
      <c r="AG1894" s="97"/>
      <c r="AH1894" s="97"/>
      <c r="AI1894" s="97"/>
      <c r="AJ1894" s="97"/>
      <c r="AK1894" s="97"/>
      <c r="AL1894" s="97"/>
      <c r="AM1894" s="97"/>
      <c r="AN1894" s="97"/>
      <c r="AO1894" s="97"/>
      <c r="AP1894" s="97"/>
      <c r="AQ1894" s="97"/>
    </row>
    <row r="1895" spans="2:43" s="101" customFormat="1" ht="15" customHeight="1">
      <c r="B1895" s="104"/>
      <c r="C1895" s="104"/>
      <c r="D1895" s="104"/>
      <c r="E1895" s="104"/>
      <c r="F1895" s="104"/>
      <c r="G1895" s="104"/>
      <c r="H1895" s="104"/>
      <c r="I1895" s="104"/>
      <c r="J1895" s="104"/>
      <c r="K1895" s="104"/>
      <c r="L1895" s="104"/>
      <c r="R1895" s="105"/>
      <c r="S1895" s="105"/>
      <c r="T1895" s="105"/>
      <c r="U1895" s="105"/>
      <c r="V1895" s="105"/>
      <c r="W1895" s="105"/>
      <c r="AD1895" s="106"/>
      <c r="AE1895" s="97"/>
      <c r="AF1895" s="97"/>
      <c r="AG1895" s="97"/>
      <c r="AH1895" s="97"/>
      <c r="AI1895" s="97"/>
      <c r="AJ1895" s="97"/>
      <c r="AK1895" s="97"/>
      <c r="AL1895" s="97"/>
      <c r="AM1895" s="97"/>
      <c r="AN1895" s="97"/>
      <c r="AO1895" s="97"/>
      <c r="AP1895" s="97"/>
      <c r="AQ1895" s="97"/>
    </row>
    <row r="1896" spans="2:43" s="101" customFormat="1" ht="15" customHeight="1">
      <c r="B1896" s="104"/>
      <c r="C1896" s="104"/>
      <c r="D1896" s="104"/>
      <c r="E1896" s="104"/>
      <c r="F1896" s="104"/>
      <c r="G1896" s="104"/>
      <c r="H1896" s="104"/>
      <c r="I1896" s="104"/>
      <c r="J1896" s="104"/>
      <c r="K1896" s="104"/>
      <c r="L1896" s="104"/>
      <c r="R1896" s="105"/>
      <c r="S1896" s="105"/>
      <c r="T1896" s="105"/>
      <c r="U1896" s="105"/>
      <c r="V1896" s="105"/>
      <c r="W1896" s="105"/>
      <c r="AD1896" s="106"/>
      <c r="AE1896" s="97"/>
      <c r="AF1896" s="97"/>
      <c r="AG1896" s="97"/>
      <c r="AH1896" s="97"/>
      <c r="AI1896" s="97"/>
      <c r="AJ1896" s="97"/>
      <c r="AK1896" s="97"/>
      <c r="AL1896" s="97"/>
      <c r="AM1896" s="97"/>
      <c r="AN1896" s="97"/>
      <c r="AO1896" s="97"/>
      <c r="AP1896" s="97"/>
      <c r="AQ1896" s="97"/>
    </row>
    <row r="1897" spans="2:43" s="101" customFormat="1" ht="15" customHeight="1">
      <c r="B1897" s="104"/>
      <c r="C1897" s="104"/>
      <c r="D1897" s="104"/>
      <c r="E1897" s="104"/>
      <c r="F1897" s="104"/>
      <c r="G1897" s="104"/>
      <c r="H1897" s="104"/>
      <c r="I1897" s="104"/>
      <c r="J1897" s="104"/>
      <c r="K1897" s="104"/>
      <c r="L1897" s="104"/>
      <c r="R1897" s="105"/>
      <c r="S1897" s="105"/>
      <c r="T1897" s="105"/>
      <c r="U1897" s="105"/>
      <c r="V1897" s="105"/>
      <c r="W1897" s="105"/>
      <c r="AD1897" s="106"/>
      <c r="AE1897" s="97"/>
      <c r="AF1897" s="97"/>
      <c r="AG1897" s="97"/>
      <c r="AH1897" s="97"/>
      <c r="AI1897" s="97"/>
      <c r="AJ1897" s="97"/>
      <c r="AK1897" s="97"/>
      <c r="AL1897" s="97"/>
      <c r="AM1897" s="97"/>
      <c r="AN1897" s="97"/>
      <c r="AO1897" s="97"/>
      <c r="AP1897" s="97"/>
      <c r="AQ1897" s="97"/>
    </row>
    <row r="1898" spans="2:43" s="101" customFormat="1" ht="15" customHeight="1">
      <c r="B1898" s="104"/>
      <c r="C1898" s="104"/>
      <c r="D1898" s="104"/>
      <c r="E1898" s="104"/>
      <c r="F1898" s="104"/>
      <c r="G1898" s="104"/>
      <c r="H1898" s="104"/>
      <c r="I1898" s="104"/>
      <c r="J1898" s="104"/>
      <c r="K1898" s="104"/>
      <c r="L1898" s="104"/>
      <c r="R1898" s="105"/>
      <c r="S1898" s="105"/>
      <c r="T1898" s="105"/>
      <c r="U1898" s="105"/>
      <c r="V1898" s="105"/>
      <c r="W1898" s="105"/>
      <c r="AD1898" s="106"/>
      <c r="AE1898" s="97"/>
      <c r="AF1898" s="97"/>
      <c r="AG1898" s="97"/>
      <c r="AH1898" s="97"/>
      <c r="AI1898" s="97"/>
      <c r="AJ1898" s="97"/>
      <c r="AK1898" s="97"/>
      <c r="AL1898" s="97"/>
      <c r="AM1898" s="97"/>
      <c r="AN1898" s="97"/>
      <c r="AO1898" s="97"/>
      <c r="AP1898" s="97"/>
      <c r="AQ1898" s="97"/>
    </row>
    <row r="1899" spans="2:43" s="101" customFormat="1" ht="15" customHeight="1">
      <c r="B1899" s="104"/>
      <c r="C1899" s="104"/>
      <c r="D1899" s="104"/>
      <c r="E1899" s="104"/>
      <c r="F1899" s="104"/>
      <c r="G1899" s="104"/>
      <c r="H1899" s="104"/>
      <c r="I1899" s="104"/>
      <c r="J1899" s="104"/>
      <c r="K1899" s="104"/>
      <c r="L1899" s="104"/>
      <c r="R1899" s="105"/>
      <c r="S1899" s="105"/>
      <c r="T1899" s="105"/>
      <c r="U1899" s="105"/>
      <c r="V1899" s="105"/>
      <c r="W1899" s="105"/>
      <c r="AD1899" s="106"/>
      <c r="AE1899" s="97"/>
      <c r="AF1899" s="97"/>
      <c r="AG1899" s="97"/>
      <c r="AH1899" s="97"/>
      <c r="AI1899" s="97"/>
      <c r="AJ1899" s="97"/>
      <c r="AK1899" s="97"/>
      <c r="AL1899" s="97"/>
      <c r="AM1899" s="97"/>
      <c r="AN1899" s="97"/>
      <c r="AO1899" s="97"/>
      <c r="AP1899" s="97"/>
      <c r="AQ1899" s="97"/>
    </row>
    <row r="1900" spans="2:43" s="101" customFormat="1" ht="15" customHeight="1">
      <c r="B1900" s="104"/>
      <c r="C1900" s="104"/>
      <c r="D1900" s="104"/>
      <c r="E1900" s="104"/>
      <c r="F1900" s="104"/>
      <c r="G1900" s="104"/>
      <c r="H1900" s="104"/>
      <c r="I1900" s="104"/>
      <c r="J1900" s="104"/>
      <c r="K1900" s="104"/>
      <c r="L1900" s="104"/>
      <c r="R1900" s="105"/>
      <c r="S1900" s="105"/>
      <c r="T1900" s="105"/>
      <c r="U1900" s="105"/>
      <c r="V1900" s="105"/>
      <c r="W1900" s="105"/>
      <c r="AD1900" s="106"/>
      <c r="AE1900" s="97"/>
      <c r="AF1900" s="97"/>
      <c r="AG1900" s="97"/>
      <c r="AH1900" s="97"/>
      <c r="AI1900" s="97"/>
      <c r="AJ1900" s="97"/>
      <c r="AK1900" s="97"/>
      <c r="AL1900" s="97"/>
      <c r="AM1900" s="97"/>
      <c r="AN1900" s="97"/>
      <c r="AO1900" s="97"/>
      <c r="AP1900" s="97"/>
      <c r="AQ1900" s="97"/>
    </row>
    <row r="1901" spans="2:43" s="101" customFormat="1" ht="15" customHeight="1">
      <c r="B1901" s="104"/>
      <c r="C1901" s="104"/>
      <c r="D1901" s="104"/>
      <c r="E1901" s="104"/>
      <c r="F1901" s="104"/>
      <c r="G1901" s="104"/>
      <c r="H1901" s="104"/>
      <c r="I1901" s="104"/>
      <c r="J1901" s="104"/>
      <c r="K1901" s="104"/>
      <c r="L1901" s="104"/>
      <c r="R1901" s="105"/>
      <c r="S1901" s="105"/>
      <c r="T1901" s="105"/>
      <c r="U1901" s="105"/>
      <c r="V1901" s="105"/>
      <c r="W1901" s="105"/>
      <c r="AD1901" s="106"/>
      <c r="AE1901" s="97"/>
      <c r="AF1901" s="97"/>
      <c r="AG1901" s="97"/>
      <c r="AH1901" s="97"/>
      <c r="AI1901" s="97"/>
      <c r="AJ1901" s="97"/>
      <c r="AK1901" s="97"/>
      <c r="AL1901" s="97"/>
      <c r="AM1901" s="97"/>
      <c r="AN1901" s="97"/>
      <c r="AO1901" s="97"/>
      <c r="AP1901" s="97"/>
      <c r="AQ1901" s="97"/>
    </row>
    <row r="1902" spans="2:43" s="101" customFormat="1" ht="15" customHeight="1">
      <c r="B1902" s="104"/>
      <c r="C1902" s="104"/>
      <c r="D1902" s="104"/>
      <c r="E1902" s="104"/>
      <c r="F1902" s="104"/>
      <c r="G1902" s="104"/>
      <c r="H1902" s="104"/>
      <c r="I1902" s="104"/>
      <c r="J1902" s="104"/>
      <c r="K1902" s="104"/>
      <c r="L1902" s="104"/>
      <c r="R1902" s="105"/>
      <c r="S1902" s="105"/>
      <c r="T1902" s="105"/>
      <c r="U1902" s="105"/>
      <c r="V1902" s="105"/>
      <c r="W1902" s="105"/>
      <c r="AD1902" s="106"/>
      <c r="AE1902" s="97"/>
      <c r="AF1902" s="97"/>
      <c r="AG1902" s="97"/>
      <c r="AH1902" s="97"/>
      <c r="AI1902" s="97"/>
      <c r="AJ1902" s="97"/>
      <c r="AK1902" s="97"/>
      <c r="AL1902" s="97"/>
      <c r="AM1902" s="97"/>
      <c r="AN1902" s="97"/>
      <c r="AO1902" s="97"/>
      <c r="AP1902" s="97"/>
      <c r="AQ1902" s="97"/>
    </row>
    <row r="1903" spans="2:43" s="101" customFormat="1" ht="15" customHeight="1">
      <c r="B1903" s="104"/>
      <c r="C1903" s="104"/>
      <c r="D1903" s="104"/>
      <c r="E1903" s="104"/>
      <c r="F1903" s="104"/>
      <c r="G1903" s="104"/>
      <c r="H1903" s="104"/>
      <c r="I1903" s="104"/>
      <c r="J1903" s="104"/>
      <c r="K1903" s="104"/>
      <c r="L1903" s="104"/>
      <c r="R1903" s="105"/>
      <c r="S1903" s="105"/>
      <c r="T1903" s="105"/>
      <c r="U1903" s="105"/>
      <c r="V1903" s="105"/>
      <c r="W1903" s="105"/>
      <c r="AD1903" s="106"/>
      <c r="AE1903" s="97"/>
      <c r="AF1903" s="97"/>
      <c r="AG1903" s="97"/>
      <c r="AH1903" s="97"/>
      <c r="AI1903" s="97"/>
      <c r="AJ1903" s="97"/>
      <c r="AK1903" s="97"/>
      <c r="AL1903" s="97"/>
      <c r="AM1903" s="97"/>
      <c r="AN1903" s="97"/>
      <c r="AO1903" s="97"/>
      <c r="AP1903" s="97"/>
      <c r="AQ1903" s="97"/>
    </row>
    <row r="1904" spans="2:43" s="101" customFormat="1" ht="15" customHeight="1">
      <c r="B1904" s="104"/>
      <c r="C1904" s="104"/>
      <c r="D1904" s="104"/>
      <c r="E1904" s="104"/>
      <c r="F1904" s="104"/>
      <c r="G1904" s="104"/>
      <c r="H1904" s="104"/>
      <c r="I1904" s="104"/>
      <c r="J1904" s="104"/>
      <c r="K1904" s="104"/>
      <c r="L1904" s="104"/>
      <c r="R1904" s="105"/>
      <c r="S1904" s="105"/>
      <c r="T1904" s="105"/>
      <c r="U1904" s="105"/>
      <c r="V1904" s="105"/>
      <c r="W1904" s="105"/>
      <c r="AD1904" s="106"/>
      <c r="AE1904" s="97"/>
      <c r="AF1904" s="97"/>
      <c r="AG1904" s="97"/>
      <c r="AH1904" s="97"/>
      <c r="AI1904" s="97"/>
      <c r="AJ1904" s="97"/>
      <c r="AK1904" s="97"/>
      <c r="AL1904" s="97"/>
      <c r="AM1904" s="97"/>
      <c r="AN1904" s="97"/>
      <c r="AO1904" s="97"/>
      <c r="AP1904" s="97"/>
      <c r="AQ1904" s="97"/>
    </row>
    <row r="1905" spans="2:43" s="101" customFormat="1" ht="15" customHeight="1">
      <c r="B1905" s="104"/>
      <c r="C1905" s="104"/>
      <c r="D1905" s="104"/>
      <c r="E1905" s="104"/>
      <c r="F1905" s="104"/>
      <c r="G1905" s="104"/>
      <c r="H1905" s="104"/>
      <c r="I1905" s="104"/>
      <c r="J1905" s="104"/>
      <c r="K1905" s="104"/>
      <c r="L1905" s="104"/>
      <c r="R1905" s="105"/>
      <c r="S1905" s="105"/>
      <c r="T1905" s="105"/>
      <c r="U1905" s="105"/>
      <c r="V1905" s="105"/>
      <c r="W1905" s="105"/>
      <c r="AD1905" s="106"/>
      <c r="AE1905" s="97"/>
      <c r="AF1905" s="97"/>
      <c r="AG1905" s="97"/>
      <c r="AH1905" s="97"/>
      <c r="AI1905" s="97"/>
      <c r="AJ1905" s="97"/>
      <c r="AK1905" s="97"/>
      <c r="AL1905" s="97"/>
      <c r="AM1905" s="97"/>
      <c r="AN1905" s="97"/>
      <c r="AO1905" s="97"/>
      <c r="AP1905" s="97"/>
      <c r="AQ1905" s="97"/>
    </row>
    <row r="1906" spans="2:43" s="101" customFormat="1" ht="15" customHeight="1">
      <c r="B1906" s="104"/>
      <c r="C1906" s="104"/>
      <c r="D1906" s="104"/>
      <c r="E1906" s="104"/>
      <c r="F1906" s="104"/>
      <c r="G1906" s="104"/>
      <c r="H1906" s="104"/>
      <c r="I1906" s="104"/>
      <c r="J1906" s="104"/>
      <c r="K1906" s="104"/>
      <c r="L1906" s="104"/>
      <c r="R1906" s="105"/>
      <c r="S1906" s="105"/>
      <c r="T1906" s="105"/>
      <c r="U1906" s="105"/>
      <c r="V1906" s="105"/>
      <c r="W1906" s="105"/>
      <c r="AD1906" s="106"/>
      <c r="AE1906" s="97"/>
      <c r="AF1906" s="97"/>
      <c r="AG1906" s="97"/>
      <c r="AH1906" s="97"/>
      <c r="AI1906" s="97"/>
      <c r="AJ1906" s="97"/>
      <c r="AK1906" s="97"/>
      <c r="AL1906" s="97"/>
      <c r="AM1906" s="97"/>
      <c r="AN1906" s="97"/>
      <c r="AO1906" s="97"/>
      <c r="AP1906" s="97"/>
      <c r="AQ1906" s="97"/>
    </row>
    <row r="1907" spans="2:43" s="101" customFormat="1" ht="15" customHeight="1">
      <c r="B1907" s="104"/>
      <c r="C1907" s="104"/>
      <c r="D1907" s="104"/>
      <c r="E1907" s="104"/>
      <c r="F1907" s="104"/>
      <c r="G1907" s="104"/>
      <c r="H1907" s="104"/>
      <c r="I1907" s="104"/>
      <c r="J1907" s="104"/>
      <c r="K1907" s="104"/>
      <c r="L1907" s="104"/>
      <c r="R1907" s="105"/>
      <c r="S1907" s="105"/>
      <c r="T1907" s="105"/>
      <c r="U1907" s="105"/>
      <c r="V1907" s="105"/>
      <c r="W1907" s="105"/>
      <c r="AD1907" s="106"/>
      <c r="AE1907" s="97"/>
      <c r="AF1907" s="97"/>
      <c r="AG1907" s="97"/>
      <c r="AH1907" s="97"/>
      <c r="AI1907" s="97"/>
      <c r="AJ1907" s="97"/>
      <c r="AK1907" s="97"/>
      <c r="AL1907" s="97"/>
      <c r="AM1907" s="97"/>
      <c r="AN1907" s="97"/>
      <c r="AO1907" s="97"/>
      <c r="AP1907" s="97"/>
      <c r="AQ1907" s="97"/>
    </row>
    <row r="1908" spans="2:43" s="101" customFormat="1" ht="15" customHeight="1">
      <c r="B1908" s="104"/>
      <c r="C1908" s="104"/>
      <c r="D1908" s="104"/>
      <c r="E1908" s="104"/>
      <c r="F1908" s="104"/>
      <c r="G1908" s="104"/>
      <c r="H1908" s="104"/>
      <c r="I1908" s="104"/>
      <c r="J1908" s="104"/>
      <c r="K1908" s="104"/>
      <c r="L1908" s="104"/>
      <c r="R1908" s="105"/>
      <c r="S1908" s="105"/>
      <c r="T1908" s="105"/>
      <c r="U1908" s="105"/>
      <c r="V1908" s="105"/>
      <c r="W1908" s="105"/>
      <c r="AD1908" s="106"/>
      <c r="AE1908" s="97"/>
      <c r="AF1908" s="97"/>
      <c r="AG1908" s="97"/>
      <c r="AH1908" s="97"/>
      <c r="AI1908" s="97"/>
      <c r="AJ1908" s="97"/>
      <c r="AK1908" s="97"/>
      <c r="AL1908" s="97"/>
      <c r="AM1908" s="97"/>
      <c r="AN1908" s="97"/>
      <c r="AO1908" s="97"/>
      <c r="AP1908" s="97"/>
      <c r="AQ1908" s="97"/>
    </row>
    <row r="1909" spans="2:43" s="101" customFormat="1" ht="15" customHeight="1">
      <c r="B1909" s="104"/>
      <c r="C1909" s="104"/>
      <c r="D1909" s="104"/>
      <c r="E1909" s="104"/>
      <c r="F1909" s="104"/>
      <c r="G1909" s="104"/>
      <c r="H1909" s="104"/>
      <c r="I1909" s="104"/>
      <c r="J1909" s="104"/>
      <c r="K1909" s="104"/>
      <c r="L1909" s="104"/>
      <c r="R1909" s="105"/>
      <c r="S1909" s="105"/>
      <c r="T1909" s="105"/>
      <c r="U1909" s="105"/>
      <c r="V1909" s="105"/>
      <c r="W1909" s="105"/>
      <c r="AD1909" s="106"/>
      <c r="AE1909" s="97"/>
      <c r="AF1909" s="97"/>
      <c r="AG1909" s="97"/>
      <c r="AH1909" s="97"/>
      <c r="AI1909" s="97"/>
      <c r="AJ1909" s="97"/>
      <c r="AK1909" s="97"/>
      <c r="AL1909" s="97"/>
      <c r="AM1909" s="97"/>
      <c r="AN1909" s="97"/>
      <c r="AO1909" s="97"/>
      <c r="AP1909" s="97"/>
      <c r="AQ1909" s="97"/>
    </row>
    <row r="1910" spans="2:43" s="101" customFormat="1" ht="15" customHeight="1">
      <c r="B1910" s="104"/>
      <c r="C1910" s="104"/>
      <c r="D1910" s="104"/>
      <c r="E1910" s="104"/>
      <c r="F1910" s="104"/>
      <c r="G1910" s="104"/>
      <c r="H1910" s="104"/>
      <c r="I1910" s="104"/>
      <c r="J1910" s="104"/>
      <c r="K1910" s="104"/>
      <c r="L1910" s="104"/>
      <c r="R1910" s="105"/>
      <c r="S1910" s="105"/>
      <c r="T1910" s="105"/>
      <c r="U1910" s="105"/>
      <c r="V1910" s="105"/>
      <c r="W1910" s="105"/>
      <c r="AD1910" s="106"/>
      <c r="AE1910" s="97"/>
      <c r="AF1910" s="97"/>
      <c r="AG1910" s="97"/>
      <c r="AH1910" s="97"/>
      <c r="AI1910" s="97"/>
      <c r="AJ1910" s="97"/>
      <c r="AK1910" s="97"/>
      <c r="AL1910" s="97"/>
      <c r="AM1910" s="97"/>
      <c r="AN1910" s="97"/>
      <c r="AO1910" s="97"/>
      <c r="AP1910" s="97"/>
      <c r="AQ1910" s="97"/>
    </row>
    <row r="1911" spans="2:43" s="101" customFormat="1" ht="15" customHeight="1">
      <c r="B1911" s="104"/>
      <c r="C1911" s="104"/>
      <c r="D1911" s="104"/>
      <c r="E1911" s="104"/>
      <c r="F1911" s="104"/>
      <c r="G1911" s="104"/>
      <c r="H1911" s="104"/>
      <c r="I1911" s="104"/>
      <c r="J1911" s="104"/>
      <c r="K1911" s="104"/>
      <c r="L1911" s="104"/>
      <c r="R1911" s="105"/>
      <c r="S1911" s="105"/>
      <c r="T1911" s="105"/>
      <c r="U1911" s="105"/>
      <c r="V1911" s="105"/>
      <c r="W1911" s="105"/>
      <c r="AD1911" s="106"/>
      <c r="AE1911" s="97"/>
      <c r="AF1911" s="97"/>
      <c r="AG1911" s="97"/>
      <c r="AH1911" s="97"/>
      <c r="AI1911" s="97"/>
      <c r="AJ1911" s="97"/>
      <c r="AK1911" s="97"/>
      <c r="AL1911" s="97"/>
      <c r="AM1911" s="97"/>
      <c r="AN1911" s="97"/>
      <c r="AO1911" s="97"/>
      <c r="AP1911" s="97"/>
      <c r="AQ1911" s="97"/>
    </row>
    <row r="1912" spans="2:43" s="101" customFormat="1" ht="15" customHeight="1">
      <c r="B1912" s="104"/>
      <c r="C1912" s="104"/>
      <c r="D1912" s="104"/>
      <c r="E1912" s="104"/>
      <c r="F1912" s="104"/>
      <c r="G1912" s="104"/>
      <c r="H1912" s="104"/>
      <c r="I1912" s="104"/>
      <c r="J1912" s="104"/>
      <c r="K1912" s="104"/>
      <c r="L1912" s="104"/>
      <c r="R1912" s="105"/>
      <c r="S1912" s="105"/>
      <c r="T1912" s="105"/>
      <c r="U1912" s="105"/>
      <c r="V1912" s="105"/>
      <c r="W1912" s="105"/>
      <c r="AD1912" s="106"/>
      <c r="AE1912" s="97"/>
      <c r="AF1912" s="97"/>
      <c r="AG1912" s="97"/>
      <c r="AH1912" s="97"/>
      <c r="AI1912" s="97"/>
      <c r="AJ1912" s="97"/>
      <c r="AK1912" s="97"/>
      <c r="AL1912" s="97"/>
      <c r="AM1912" s="97"/>
      <c r="AN1912" s="97"/>
      <c r="AO1912" s="97"/>
      <c r="AP1912" s="97"/>
      <c r="AQ1912" s="97"/>
    </row>
    <row r="1913" spans="2:43" s="101" customFormat="1" ht="15" customHeight="1">
      <c r="B1913" s="104"/>
      <c r="C1913" s="104"/>
      <c r="D1913" s="104"/>
      <c r="E1913" s="104"/>
      <c r="F1913" s="104"/>
      <c r="G1913" s="104"/>
      <c r="H1913" s="104"/>
      <c r="I1913" s="104"/>
      <c r="J1913" s="104"/>
      <c r="K1913" s="104"/>
      <c r="L1913" s="104"/>
      <c r="R1913" s="105"/>
      <c r="S1913" s="105"/>
      <c r="T1913" s="105"/>
      <c r="U1913" s="105"/>
      <c r="V1913" s="105"/>
      <c r="W1913" s="105"/>
      <c r="AD1913" s="106"/>
      <c r="AE1913" s="97"/>
      <c r="AF1913" s="97"/>
      <c r="AG1913" s="97"/>
      <c r="AH1913" s="97"/>
      <c r="AI1913" s="97"/>
      <c r="AJ1913" s="97"/>
      <c r="AK1913" s="97"/>
      <c r="AL1913" s="97"/>
      <c r="AM1913" s="97"/>
      <c r="AN1913" s="97"/>
      <c r="AO1913" s="97"/>
      <c r="AP1913" s="97"/>
      <c r="AQ1913" s="97"/>
    </row>
    <row r="1914" spans="2:43" s="101" customFormat="1" ht="15" customHeight="1">
      <c r="B1914" s="104"/>
      <c r="C1914" s="104"/>
      <c r="D1914" s="104"/>
      <c r="E1914" s="104"/>
      <c r="F1914" s="104"/>
      <c r="G1914" s="104"/>
      <c r="H1914" s="104"/>
      <c r="I1914" s="104"/>
      <c r="J1914" s="104"/>
      <c r="K1914" s="104"/>
      <c r="L1914" s="104"/>
      <c r="R1914" s="105"/>
      <c r="S1914" s="105"/>
      <c r="T1914" s="105"/>
      <c r="U1914" s="105"/>
      <c r="V1914" s="105"/>
      <c r="W1914" s="105"/>
      <c r="AD1914" s="106"/>
      <c r="AE1914" s="97"/>
      <c r="AF1914" s="97"/>
      <c r="AG1914" s="97"/>
      <c r="AH1914" s="97"/>
      <c r="AI1914" s="97"/>
      <c r="AJ1914" s="97"/>
      <c r="AK1914" s="97"/>
      <c r="AL1914" s="97"/>
      <c r="AM1914" s="97"/>
      <c r="AN1914" s="97"/>
      <c r="AO1914" s="97"/>
      <c r="AP1914" s="97"/>
      <c r="AQ1914" s="97"/>
    </row>
    <row r="1915" spans="2:43" s="101" customFormat="1" ht="15" customHeight="1">
      <c r="B1915" s="104"/>
      <c r="C1915" s="104"/>
      <c r="D1915" s="104"/>
      <c r="E1915" s="104"/>
      <c r="F1915" s="104"/>
      <c r="G1915" s="104"/>
      <c r="H1915" s="104"/>
      <c r="I1915" s="104"/>
      <c r="J1915" s="104"/>
      <c r="K1915" s="104"/>
      <c r="L1915" s="104"/>
      <c r="R1915" s="105"/>
      <c r="S1915" s="105"/>
      <c r="T1915" s="105"/>
      <c r="U1915" s="105"/>
      <c r="V1915" s="105"/>
      <c r="W1915" s="105"/>
      <c r="AD1915" s="106"/>
      <c r="AE1915" s="97"/>
      <c r="AF1915" s="97"/>
      <c r="AG1915" s="97"/>
      <c r="AH1915" s="97"/>
      <c r="AI1915" s="97"/>
      <c r="AJ1915" s="97"/>
      <c r="AK1915" s="97"/>
      <c r="AL1915" s="97"/>
      <c r="AM1915" s="97"/>
      <c r="AN1915" s="97"/>
      <c r="AO1915" s="97"/>
      <c r="AP1915" s="97"/>
      <c r="AQ1915" s="97"/>
    </row>
    <row r="1916" spans="2:43" s="101" customFormat="1" ht="15" customHeight="1">
      <c r="B1916" s="104"/>
      <c r="C1916" s="104"/>
      <c r="D1916" s="104"/>
      <c r="E1916" s="104"/>
      <c r="F1916" s="104"/>
      <c r="G1916" s="104"/>
      <c r="H1916" s="104"/>
      <c r="I1916" s="104"/>
      <c r="J1916" s="104"/>
      <c r="K1916" s="104"/>
      <c r="L1916" s="104"/>
      <c r="R1916" s="105"/>
      <c r="S1916" s="105"/>
      <c r="T1916" s="105"/>
      <c r="U1916" s="105"/>
      <c r="V1916" s="105"/>
      <c r="W1916" s="105"/>
      <c r="AD1916" s="106"/>
      <c r="AE1916" s="97"/>
      <c r="AF1916" s="97"/>
      <c r="AG1916" s="97"/>
      <c r="AH1916" s="97"/>
      <c r="AI1916" s="97"/>
      <c r="AJ1916" s="97"/>
      <c r="AK1916" s="97"/>
      <c r="AL1916" s="97"/>
      <c r="AM1916" s="97"/>
      <c r="AN1916" s="97"/>
      <c r="AO1916" s="97"/>
      <c r="AP1916" s="97"/>
      <c r="AQ1916" s="97"/>
    </row>
    <row r="1917" spans="2:43" s="101" customFormat="1" ht="15" customHeight="1">
      <c r="B1917" s="104"/>
      <c r="C1917" s="104"/>
      <c r="D1917" s="104"/>
      <c r="E1917" s="104"/>
      <c r="F1917" s="104"/>
      <c r="G1917" s="104"/>
      <c r="H1917" s="104"/>
      <c r="I1917" s="104"/>
      <c r="J1917" s="104"/>
      <c r="K1917" s="104"/>
      <c r="L1917" s="104"/>
      <c r="R1917" s="105"/>
      <c r="S1917" s="105"/>
      <c r="T1917" s="105"/>
      <c r="U1917" s="105"/>
      <c r="V1917" s="105"/>
      <c r="W1917" s="105"/>
      <c r="AD1917" s="106"/>
      <c r="AE1917" s="97"/>
      <c r="AF1917" s="97"/>
      <c r="AG1917" s="97"/>
      <c r="AH1917" s="97"/>
      <c r="AI1917" s="97"/>
      <c r="AJ1917" s="97"/>
      <c r="AK1917" s="97"/>
      <c r="AL1917" s="97"/>
      <c r="AM1917" s="97"/>
      <c r="AN1917" s="97"/>
      <c r="AO1917" s="97"/>
      <c r="AP1917" s="97"/>
      <c r="AQ1917" s="97"/>
    </row>
    <row r="1918" spans="2:43" s="101" customFormat="1" ht="15" customHeight="1">
      <c r="B1918" s="104"/>
      <c r="C1918" s="104"/>
      <c r="D1918" s="104"/>
      <c r="E1918" s="104"/>
      <c r="F1918" s="104"/>
      <c r="G1918" s="104"/>
      <c r="H1918" s="104"/>
      <c r="I1918" s="104"/>
      <c r="J1918" s="104"/>
      <c r="K1918" s="104"/>
      <c r="L1918" s="104"/>
      <c r="R1918" s="105"/>
      <c r="S1918" s="105"/>
      <c r="T1918" s="105"/>
      <c r="U1918" s="105"/>
      <c r="V1918" s="105"/>
      <c r="W1918" s="105"/>
      <c r="AD1918" s="106"/>
      <c r="AE1918" s="97"/>
      <c r="AF1918" s="97"/>
      <c r="AG1918" s="97"/>
      <c r="AH1918" s="97"/>
      <c r="AI1918" s="97"/>
      <c r="AJ1918" s="97"/>
      <c r="AK1918" s="97"/>
      <c r="AL1918" s="97"/>
      <c r="AM1918" s="97"/>
      <c r="AN1918" s="97"/>
      <c r="AO1918" s="97"/>
      <c r="AP1918" s="97"/>
      <c r="AQ1918" s="97"/>
    </row>
    <row r="1919" spans="2:43" s="101" customFormat="1" ht="15" customHeight="1">
      <c r="B1919" s="104"/>
      <c r="C1919" s="104"/>
      <c r="D1919" s="104"/>
      <c r="E1919" s="104"/>
      <c r="F1919" s="104"/>
      <c r="G1919" s="104"/>
      <c r="H1919" s="104"/>
      <c r="I1919" s="104"/>
      <c r="J1919" s="104"/>
      <c r="K1919" s="104"/>
      <c r="L1919" s="104"/>
      <c r="R1919" s="105"/>
      <c r="S1919" s="105"/>
      <c r="T1919" s="105"/>
      <c r="U1919" s="105"/>
      <c r="V1919" s="105"/>
      <c r="W1919" s="105"/>
      <c r="AD1919" s="106"/>
      <c r="AE1919" s="97"/>
      <c r="AF1919" s="97"/>
      <c r="AG1919" s="97"/>
      <c r="AH1919" s="97"/>
      <c r="AI1919" s="97"/>
      <c r="AJ1919" s="97"/>
      <c r="AK1919" s="97"/>
      <c r="AL1919" s="97"/>
      <c r="AM1919" s="97"/>
      <c r="AN1919" s="97"/>
      <c r="AO1919" s="97"/>
      <c r="AP1919" s="97"/>
      <c r="AQ1919" s="97"/>
    </row>
    <row r="1920" spans="2:43" s="101" customFormat="1" ht="15" customHeight="1">
      <c r="B1920" s="104"/>
      <c r="C1920" s="104"/>
      <c r="D1920" s="104"/>
      <c r="E1920" s="104"/>
      <c r="F1920" s="104"/>
      <c r="G1920" s="104"/>
      <c r="H1920" s="104"/>
      <c r="I1920" s="104"/>
      <c r="J1920" s="104"/>
      <c r="K1920" s="104"/>
      <c r="L1920" s="104"/>
      <c r="R1920" s="105"/>
      <c r="S1920" s="105"/>
      <c r="T1920" s="105"/>
      <c r="U1920" s="105"/>
      <c r="V1920" s="105"/>
      <c r="W1920" s="105"/>
      <c r="AD1920" s="106"/>
      <c r="AE1920" s="97"/>
      <c r="AF1920" s="97"/>
      <c r="AG1920" s="97"/>
      <c r="AH1920" s="97"/>
      <c r="AI1920" s="97"/>
      <c r="AJ1920" s="97"/>
      <c r="AK1920" s="97"/>
      <c r="AL1920" s="97"/>
      <c r="AM1920" s="97"/>
      <c r="AN1920" s="97"/>
      <c r="AO1920" s="97"/>
      <c r="AP1920" s="97"/>
      <c r="AQ1920" s="97"/>
    </row>
    <row r="1921" spans="2:43" s="101" customFormat="1" ht="15" customHeight="1">
      <c r="B1921" s="104"/>
      <c r="C1921" s="104"/>
      <c r="D1921" s="104"/>
      <c r="E1921" s="104"/>
      <c r="F1921" s="104"/>
      <c r="G1921" s="104"/>
      <c r="H1921" s="104"/>
      <c r="I1921" s="104"/>
      <c r="J1921" s="104"/>
      <c r="K1921" s="104"/>
      <c r="L1921" s="104"/>
      <c r="R1921" s="105"/>
      <c r="S1921" s="105"/>
      <c r="T1921" s="105"/>
      <c r="U1921" s="105"/>
      <c r="V1921" s="105"/>
      <c r="W1921" s="105"/>
      <c r="AD1921" s="106"/>
      <c r="AE1921" s="97"/>
      <c r="AF1921" s="97"/>
      <c r="AG1921" s="97"/>
      <c r="AH1921" s="97"/>
      <c r="AI1921" s="97"/>
      <c r="AJ1921" s="97"/>
      <c r="AK1921" s="97"/>
      <c r="AL1921" s="97"/>
      <c r="AM1921" s="97"/>
      <c r="AN1921" s="97"/>
      <c r="AO1921" s="97"/>
      <c r="AP1921" s="97"/>
      <c r="AQ1921" s="97"/>
    </row>
    <row r="1922" spans="2:43" s="101" customFormat="1" ht="15" customHeight="1">
      <c r="B1922" s="104"/>
      <c r="C1922" s="104"/>
      <c r="D1922" s="104"/>
      <c r="E1922" s="104"/>
      <c r="F1922" s="104"/>
      <c r="G1922" s="104"/>
      <c r="H1922" s="104"/>
      <c r="I1922" s="104"/>
      <c r="J1922" s="104"/>
      <c r="K1922" s="104"/>
      <c r="L1922" s="104"/>
      <c r="R1922" s="105"/>
      <c r="S1922" s="105"/>
      <c r="T1922" s="105"/>
      <c r="U1922" s="105"/>
      <c r="V1922" s="105"/>
      <c r="W1922" s="105"/>
      <c r="AD1922" s="106"/>
      <c r="AE1922" s="97"/>
      <c r="AF1922" s="97"/>
      <c r="AG1922" s="97"/>
      <c r="AH1922" s="97"/>
      <c r="AI1922" s="97"/>
      <c r="AJ1922" s="97"/>
      <c r="AK1922" s="97"/>
      <c r="AL1922" s="97"/>
      <c r="AM1922" s="97"/>
      <c r="AN1922" s="97"/>
      <c r="AO1922" s="97"/>
      <c r="AP1922" s="97"/>
      <c r="AQ1922" s="97"/>
    </row>
    <row r="1923" spans="2:43" s="101" customFormat="1" ht="15" customHeight="1">
      <c r="B1923" s="104"/>
      <c r="C1923" s="104"/>
      <c r="D1923" s="104"/>
      <c r="E1923" s="104"/>
      <c r="F1923" s="104"/>
      <c r="G1923" s="104"/>
      <c r="H1923" s="104"/>
      <c r="I1923" s="104"/>
      <c r="J1923" s="104"/>
      <c r="K1923" s="104"/>
      <c r="L1923" s="104"/>
      <c r="R1923" s="105"/>
      <c r="S1923" s="105"/>
      <c r="T1923" s="105"/>
      <c r="U1923" s="105"/>
      <c r="V1923" s="105"/>
      <c r="W1923" s="105"/>
      <c r="AD1923" s="106"/>
      <c r="AE1923" s="97"/>
      <c r="AF1923" s="97"/>
      <c r="AG1923" s="97"/>
      <c r="AH1923" s="97"/>
      <c r="AI1923" s="97"/>
      <c r="AJ1923" s="97"/>
      <c r="AK1923" s="97"/>
      <c r="AL1923" s="97"/>
      <c r="AM1923" s="97"/>
      <c r="AN1923" s="97"/>
      <c r="AO1923" s="97"/>
      <c r="AP1923" s="97"/>
      <c r="AQ1923" s="97"/>
    </row>
    <row r="1924" spans="2:43" s="101" customFormat="1" ht="15" customHeight="1">
      <c r="B1924" s="104"/>
      <c r="C1924" s="104"/>
      <c r="D1924" s="104"/>
      <c r="E1924" s="104"/>
      <c r="F1924" s="104"/>
      <c r="G1924" s="104"/>
      <c r="H1924" s="104"/>
      <c r="I1924" s="104"/>
      <c r="J1924" s="104"/>
      <c r="K1924" s="104"/>
      <c r="L1924" s="104"/>
      <c r="R1924" s="105"/>
      <c r="S1924" s="105"/>
      <c r="T1924" s="105"/>
      <c r="U1924" s="105"/>
      <c r="V1924" s="105"/>
      <c r="W1924" s="105"/>
      <c r="AD1924" s="106"/>
      <c r="AE1924" s="97"/>
      <c r="AF1924" s="97"/>
      <c r="AG1924" s="97"/>
      <c r="AH1924" s="97"/>
      <c r="AI1924" s="97"/>
      <c r="AJ1924" s="97"/>
      <c r="AK1924" s="97"/>
      <c r="AL1924" s="97"/>
      <c r="AM1924" s="97"/>
      <c r="AN1924" s="97"/>
      <c r="AO1924" s="97"/>
      <c r="AP1924" s="97"/>
      <c r="AQ1924" s="97"/>
    </row>
    <row r="1925" spans="2:43" s="101" customFormat="1" ht="15" customHeight="1">
      <c r="B1925" s="104"/>
      <c r="C1925" s="104"/>
      <c r="D1925" s="104"/>
      <c r="E1925" s="104"/>
      <c r="F1925" s="104"/>
      <c r="G1925" s="104"/>
      <c r="H1925" s="104"/>
      <c r="I1925" s="104"/>
      <c r="J1925" s="104"/>
      <c r="K1925" s="104"/>
      <c r="L1925" s="104"/>
      <c r="R1925" s="105"/>
      <c r="S1925" s="105"/>
      <c r="T1925" s="105"/>
      <c r="U1925" s="105"/>
      <c r="V1925" s="105"/>
      <c r="W1925" s="105"/>
      <c r="AD1925" s="106"/>
      <c r="AE1925" s="97"/>
      <c r="AF1925" s="97"/>
      <c r="AG1925" s="97"/>
      <c r="AH1925" s="97"/>
      <c r="AI1925" s="97"/>
      <c r="AJ1925" s="97"/>
      <c r="AK1925" s="97"/>
      <c r="AL1925" s="97"/>
      <c r="AM1925" s="97"/>
      <c r="AN1925" s="97"/>
      <c r="AO1925" s="97"/>
      <c r="AP1925" s="97"/>
      <c r="AQ1925" s="97"/>
    </row>
    <row r="1926" spans="2:43" s="101" customFormat="1" ht="15" customHeight="1">
      <c r="B1926" s="104"/>
      <c r="C1926" s="104"/>
      <c r="D1926" s="104"/>
      <c r="E1926" s="104"/>
      <c r="F1926" s="104"/>
      <c r="G1926" s="104"/>
      <c r="H1926" s="104"/>
      <c r="I1926" s="104"/>
      <c r="J1926" s="104"/>
      <c r="K1926" s="104"/>
      <c r="L1926" s="104"/>
      <c r="R1926" s="105"/>
      <c r="S1926" s="105"/>
      <c r="T1926" s="105"/>
      <c r="U1926" s="105"/>
      <c r="V1926" s="105"/>
      <c r="W1926" s="105"/>
      <c r="AD1926" s="106"/>
      <c r="AE1926" s="97"/>
      <c r="AF1926" s="97"/>
      <c r="AG1926" s="97"/>
      <c r="AH1926" s="97"/>
      <c r="AI1926" s="97"/>
      <c r="AJ1926" s="97"/>
      <c r="AK1926" s="97"/>
      <c r="AL1926" s="97"/>
      <c r="AM1926" s="97"/>
      <c r="AN1926" s="97"/>
      <c r="AO1926" s="97"/>
      <c r="AP1926" s="97"/>
      <c r="AQ1926" s="97"/>
    </row>
    <row r="1927" spans="2:43" s="101" customFormat="1" ht="15" customHeight="1">
      <c r="B1927" s="104"/>
      <c r="C1927" s="104"/>
      <c r="D1927" s="104"/>
      <c r="E1927" s="104"/>
      <c r="F1927" s="104"/>
      <c r="G1927" s="104"/>
      <c r="H1927" s="104"/>
      <c r="I1927" s="104"/>
      <c r="J1927" s="104"/>
      <c r="K1927" s="104"/>
      <c r="L1927" s="104"/>
      <c r="R1927" s="105"/>
      <c r="S1927" s="105"/>
      <c r="T1927" s="105"/>
      <c r="U1927" s="105"/>
      <c r="V1927" s="105"/>
      <c r="W1927" s="105"/>
      <c r="AD1927" s="106"/>
      <c r="AE1927" s="97"/>
      <c r="AF1927" s="97"/>
      <c r="AG1927" s="97"/>
      <c r="AH1927" s="97"/>
      <c r="AI1927" s="97"/>
      <c r="AJ1927" s="97"/>
      <c r="AK1927" s="97"/>
      <c r="AL1927" s="97"/>
      <c r="AM1927" s="97"/>
      <c r="AN1927" s="97"/>
      <c r="AO1927" s="97"/>
      <c r="AP1927" s="97"/>
      <c r="AQ1927" s="97"/>
    </row>
    <row r="1928" spans="2:43" s="101" customFormat="1" ht="15" customHeight="1">
      <c r="B1928" s="104"/>
      <c r="C1928" s="104"/>
      <c r="D1928" s="104"/>
      <c r="E1928" s="104"/>
      <c r="F1928" s="104"/>
      <c r="G1928" s="104"/>
      <c r="H1928" s="104"/>
      <c r="I1928" s="104"/>
      <c r="J1928" s="104"/>
      <c r="K1928" s="104"/>
      <c r="L1928" s="104"/>
      <c r="R1928" s="105"/>
      <c r="S1928" s="105"/>
      <c r="T1928" s="105"/>
      <c r="U1928" s="105"/>
      <c r="V1928" s="105"/>
      <c r="W1928" s="105"/>
      <c r="AD1928" s="106"/>
      <c r="AE1928" s="97"/>
      <c r="AF1928" s="97"/>
      <c r="AG1928" s="97"/>
      <c r="AH1928" s="97"/>
      <c r="AI1928" s="97"/>
      <c r="AJ1928" s="97"/>
      <c r="AK1928" s="97"/>
      <c r="AL1928" s="97"/>
      <c r="AM1928" s="97"/>
      <c r="AN1928" s="97"/>
      <c r="AO1928" s="97"/>
      <c r="AP1928" s="97"/>
      <c r="AQ1928" s="97"/>
    </row>
    <row r="1929" spans="2:43" s="101" customFormat="1" ht="15" customHeight="1">
      <c r="B1929" s="104"/>
      <c r="C1929" s="104"/>
      <c r="D1929" s="104"/>
      <c r="E1929" s="104"/>
      <c r="F1929" s="104"/>
      <c r="G1929" s="104"/>
      <c r="H1929" s="104"/>
      <c r="I1929" s="104"/>
      <c r="J1929" s="104"/>
      <c r="K1929" s="104"/>
      <c r="L1929" s="104"/>
      <c r="R1929" s="105"/>
      <c r="S1929" s="105"/>
      <c r="T1929" s="105"/>
      <c r="U1929" s="105"/>
      <c r="V1929" s="105"/>
      <c r="W1929" s="105"/>
      <c r="AD1929" s="106"/>
      <c r="AE1929" s="97"/>
      <c r="AF1929" s="97"/>
      <c r="AG1929" s="97"/>
      <c r="AH1929" s="97"/>
      <c r="AI1929" s="97"/>
      <c r="AJ1929" s="97"/>
      <c r="AK1929" s="97"/>
      <c r="AL1929" s="97"/>
      <c r="AM1929" s="97"/>
      <c r="AN1929" s="97"/>
      <c r="AO1929" s="97"/>
      <c r="AP1929" s="97"/>
      <c r="AQ1929" s="97"/>
    </row>
    <row r="1930" spans="2:43" s="101" customFormat="1" ht="15" customHeight="1">
      <c r="B1930" s="104"/>
      <c r="C1930" s="104"/>
      <c r="D1930" s="104"/>
      <c r="E1930" s="104"/>
      <c r="F1930" s="104"/>
      <c r="G1930" s="104"/>
      <c r="H1930" s="104"/>
      <c r="I1930" s="104"/>
      <c r="J1930" s="104"/>
      <c r="K1930" s="104"/>
      <c r="L1930" s="104"/>
      <c r="R1930" s="105"/>
      <c r="S1930" s="105"/>
      <c r="T1930" s="105"/>
      <c r="U1930" s="105"/>
      <c r="V1930" s="105"/>
      <c r="W1930" s="105"/>
      <c r="AD1930" s="106"/>
      <c r="AE1930" s="97"/>
      <c r="AF1930" s="97"/>
      <c r="AG1930" s="97"/>
      <c r="AH1930" s="97"/>
      <c r="AI1930" s="97"/>
      <c r="AJ1930" s="97"/>
      <c r="AK1930" s="97"/>
      <c r="AL1930" s="97"/>
      <c r="AM1930" s="97"/>
      <c r="AN1930" s="97"/>
      <c r="AO1930" s="97"/>
      <c r="AP1930" s="97"/>
      <c r="AQ1930" s="97"/>
    </row>
    <row r="1931" spans="2:43" s="101" customFormat="1" ht="15" customHeight="1">
      <c r="B1931" s="104"/>
      <c r="C1931" s="104"/>
      <c r="D1931" s="104"/>
      <c r="E1931" s="104"/>
      <c r="F1931" s="104"/>
      <c r="G1931" s="104"/>
      <c r="H1931" s="104"/>
      <c r="I1931" s="104"/>
      <c r="J1931" s="104"/>
      <c r="K1931" s="104"/>
      <c r="L1931" s="104"/>
      <c r="R1931" s="105"/>
      <c r="S1931" s="105"/>
      <c r="T1931" s="105"/>
      <c r="U1931" s="105"/>
      <c r="V1931" s="105"/>
      <c r="W1931" s="105"/>
      <c r="AD1931" s="106"/>
      <c r="AE1931" s="97"/>
      <c r="AF1931" s="97"/>
      <c r="AG1931" s="97"/>
      <c r="AH1931" s="97"/>
      <c r="AI1931" s="97"/>
      <c r="AJ1931" s="97"/>
      <c r="AK1931" s="97"/>
      <c r="AL1931" s="97"/>
      <c r="AM1931" s="97"/>
      <c r="AN1931" s="97"/>
      <c r="AO1931" s="97"/>
      <c r="AP1931" s="97"/>
      <c r="AQ1931" s="97"/>
    </row>
    <row r="1932" spans="2:43" s="101" customFormat="1" ht="15" customHeight="1">
      <c r="B1932" s="104"/>
      <c r="C1932" s="104"/>
      <c r="D1932" s="104"/>
      <c r="E1932" s="104"/>
      <c r="F1932" s="104"/>
      <c r="G1932" s="104"/>
      <c r="H1932" s="104"/>
      <c r="I1932" s="104"/>
      <c r="J1932" s="104"/>
      <c r="K1932" s="104"/>
      <c r="L1932" s="104"/>
      <c r="R1932" s="105"/>
      <c r="S1932" s="105"/>
      <c r="T1932" s="105"/>
      <c r="U1932" s="105"/>
      <c r="V1932" s="105"/>
      <c r="W1932" s="105"/>
      <c r="AD1932" s="106"/>
      <c r="AE1932" s="97"/>
      <c r="AF1932" s="97"/>
      <c r="AG1932" s="97"/>
      <c r="AH1932" s="97"/>
      <c r="AI1932" s="97"/>
      <c r="AJ1932" s="97"/>
      <c r="AK1932" s="97"/>
      <c r="AL1932" s="97"/>
      <c r="AM1932" s="97"/>
      <c r="AN1932" s="97"/>
      <c r="AO1932" s="97"/>
      <c r="AP1932" s="97"/>
      <c r="AQ1932" s="97"/>
    </row>
    <row r="1933" spans="2:43" s="101" customFormat="1" ht="15" customHeight="1">
      <c r="B1933" s="104"/>
      <c r="C1933" s="104"/>
      <c r="D1933" s="104"/>
      <c r="E1933" s="104"/>
      <c r="F1933" s="104"/>
      <c r="G1933" s="104"/>
      <c r="H1933" s="104"/>
      <c r="I1933" s="104"/>
      <c r="J1933" s="104"/>
      <c r="K1933" s="104"/>
      <c r="L1933" s="104"/>
      <c r="R1933" s="105"/>
      <c r="S1933" s="105"/>
      <c r="T1933" s="105"/>
      <c r="U1933" s="105"/>
      <c r="V1933" s="105"/>
      <c r="W1933" s="105"/>
      <c r="AD1933" s="106"/>
      <c r="AE1933" s="97"/>
      <c r="AF1933" s="97"/>
      <c r="AG1933" s="97"/>
      <c r="AH1933" s="97"/>
      <c r="AI1933" s="97"/>
      <c r="AJ1933" s="97"/>
      <c r="AK1933" s="97"/>
      <c r="AL1933" s="97"/>
      <c r="AM1933" s="97"/>
      <c r="AN1933" s="97"/>
      <c r="AO1933" s="97"/>
      <c r="AP1933" s="97"/>
      <c r="AQ1933" s="97"/>
    </row>
    <row r="1934" spans="2:43" s="101" customFormat="1" ht="15" customHeight="1">
      <c r="B1934" s="104"/>
      <c r="C1934" s="104"/>
      <c r="D1934" s="104"/>
      <c r="E1934" s="104"/>
      <c r="F1934" s="104"/>
      <c r="G1934" s="104"/>
      <c r="H1934" s="104"/>
      <c r="I1934" s="104"/>
      <c r="J1934" s="104"/>
      <c r="K1934" s="104"/>
      <c r="L1934" s="104"/>
      <c r="R1934" s="105"/>
      <c r="S1934" s="105"/>
      <c r="T1934" s="105"/>
      <c r="U1934" s="105"/>
      <c r="V1934" s="105"/>
      <c r="W1934" s="105"/>
      <c r="AD1934" s="106"/>
      <c r="AE1934" s="97"/>
      <c r="AF1934" s="97"/>
      <c r="AG1934" s="97"/>
      <c r="AH1934" s="97"/>
      <c r="AI1934" s="97"/>
      <c r="AJ1934" s="97"/>
      <c r="AK1934" s="97"/>
      <c r="AL1934" s="97"/>
      <c r="AM1934" s="97"/>
      <c r="AN1934" s="97"/>
      <c r="AO1934" s="97"/>
      <c r="AP1934" s="97"/>
      <c r="AQ1934" s="97"/>
    </row>
    <row r="1935" spans="2:43" s="101" customFormat="1" ht="15" customHeight="1">
      <c r="B1935" s="104"/>
      <c r="C1935" s="104"/>
      <c r="D1935" s="104"/>
      <c r="E1935" s="104"/>
      <c r="F1935" s="104"/>
      <c r="G1935" s="104"/>
      <c r="H1935" s="104"/>
      <c r="I1935" s="104"/>
      <c r="J1935" s="104"/>
      <c r="K1935" s="104"/>
      <c r="L1935" s="104"/>
      <c r="R1935" s="105"/>
      <c r="S1935" s="105"/>
      <c r="T1935" s="105"/>
      <c r="U1935" s="105"/>
      <c r="V1935" s="105"/>
      <c r="W1935" s="105"/>
      <c r="AD1935" s="106"/>
      <c r="AE1935" s="97"/>
      <c r="AF1935" s="97"/>
      <c r="AG1935" s="97"/>
      <c r="AH1935" s="97"/>
      <c r="AI1935" s="97"/>
      <c r="AJ1935" s="97"/>
      <c r="AK1935" s="97"/>
      <c r="AL1935" s="97"/>
      <c r="AM1935" s="97"/>
      <c r="AN1935" s="97"/>
      <c r="AO1935" s="97"/>
      <c r="AP1935" s="97"/>
      <c r="AQ1935" s="97"/>
    </row>
    <row r="1936" spans="2:43" s="101" customFormat="1" ht="15" customHeight="1">
      <c r="B1936" s="104"/>
      <c r="C1936" s="104"/>
      <c r="D1936" s="104"/>
      <c r="E1936" s="104"/>
      <c r="F1936" s="104"/>
      <c r="G1936" s="104"/>
      <c r="H1936" s="104"/>
      <c r="I1936" s="104"/>
      <c r="J1936" s="104"/>
      <c r="K1936" s="104"/>
      <c r="L1936" s="104"/>
      <c r="R1936" s="105"/>
      <c r="S1936" s="105"/>
      <c r="T1936" s="105"/>
      <c r="U1936" s="105"/>
      <c r="V1936" s="105"/>
      <c r="W1936" s="105"/>
      <c r="AD1936" s="106"/>
      <c r="AE1936" s="97"/>
      <c r="AF1936" s="97"/>
      <c r="AG1936" s="97"/>
      <c r="AH1936" s="97"/>
      <c r="AI1936" s="97"/>
      <c r="AJ1936" s="97"/>
      <c r="AK1936" s="97"/>
      <c r="AL1936" s="97"/>
      <c r="AM1936" s="97"/>
      <c r="AN1936" s="97"/>
      <c r="AO1936" s="97"/>
      <c r="AP1936" s="97"/>
      <c r="AQ1936" s="97"/>
    </row>
    <row r="1937" spans="2:43" s="101" customFormat="1" ht="15" customHeight="1">
      <c r="B1937" s="104"/>
      <c r="C1937" s="104"/>
      <c r="D1937" s="104"/>
      <c r="E1937" s="104"/>
      <c r="F1937" s="104"/>
      <c r="G1937" s="104"/>
      <c r="H1937" s="104"/>
      <c r="I1937" s="104"/>
      <c r="J1937" s="104"/>
      <c r="K1937" s="104"/>
      <c r="L1937" s="104"/>
      <c r="R1937" s="105"/>
      <c r="S1937" s="105"/>
      <c r="T1937" s="105"/>
      <c r="U1937" s="105"/>
      <c r="V1937" s="105"/>
      <c r="W1937" s="105"/>
      <c r="AD1937" s="106"/>
      <c r="AE1937" s="97"/>
      <c r="AF1937" s="97"/>
      <c r="AG1937" s="97"/>
      <c r="AH1937" s="97"/>
      <c r="AI1937" s="97"/>
      <c r="AJ1937" s="97"/>
      <c r="AK1937" s="97"/>
      <c r="AL1937" s="97"/>
      <c r="AM1937" s="97"/>
      <c r="AN1937" s="97"/>
      <c r="AO1937" s="97"/>
      <c r="AP1937" s="97"/>
      <c r="AQ1937" s="97"/>
    </row>
    <row r="1938" spans="2:43" s="101" customFormat="1" ht="15" customHeight="1">
      <c r="B1938" s="104"/>
      <c r="C1938" s="104"/>
      <c r="D1938" s="104"/>
      <c r="E1938" s="104"/>
      <c r="F1938" s="104"/>
      <c r="G1938" s="104"/>
      <c r="H1938" s="104"/>
      <c r="I1938" s="104"/>
      <c r="J1938" s="104"/>
      <c r="K1938" s="104"/>
      <c r="L1938" s="104"/>
      <c r="R1938" s="105"/>
      <c r="S1938" s="105"/>
      <c r="T1938" s="105"/>
      <c r="U1938" s="105"/>
      <c r="V1938" s="105"/>
      <c r="W1938" s="105"/>
      <c r="AD1938" s="106"/>
      <c r="AE1938" s="97"/>
      <c r="AF1938" s="97"/>
      <c r="AG1938" s="97"/>
      <c r="AH1938" s="97"/>
      <c r="AI1938" s="97"/>
      <c r="AJ1938" s="97"/>
      <c r="AK1938" s="97"/>
      <c r="AL1938" s="97"/>
      <c r="AM1938" s="97"/>
      <c r="AN1938" s="97"/>
      <c r="AO1938" s="97"/>
      <c r="AP1938" s="97"/>
      <c r="AQ1938" s="97"/>
    </row>
    <row r="1939" spans="2:43" s="101" customFormat="1" ht="15" customHeight="1">
      <c r="B1939" s="104"/>
      <c r="C1939" s="104"/>
      <c r="D1939" s="104"/>
      <c r="E1939" s="104"/>
      <c r="F1939" s="104"/>
      <c r="G1939" s="104"/>
      <c r="H1939" s="104"/>
      <c r="I1939" s="104"/>
      <c r="J1939" s="104"/>
      <c r="K1939" s="104"/>
      <c r="L1939" s="104"/>
      <c r="R1939" s="105"/>
      <c r="S1939" s="105"/>
      <c r="T1939" s="105"/>
      <c r="U1939" s="105"/>
      <c r="V1939" s="105"/>
      <c r="W1939" s="105"/>
      <c r="AD1939" s="106"/>
      <c r="AE1939" s="97"/>
      <c r="AF1939" s="97"/>
      <c r="AG1939" s="97"/>
      <c r="AH1939" s="97"/>
      <c r="AI1939" s="97"/>
      <c r="AJ1939" s="97"/>
      <c r="AK1939" s="97"/>
      <c r="AL1939" s="97"/>
      <c r="AM1939" s="97"/>
      <c r="AN1939" s="97"/>
      <c r="AO1939" s="97"/>
      <c r="AP1939" s="97"/>
      <c r="AQ1939" s="97"/>
    </row>
    <row r="1940" spans="2:43" s="101" customFormat="1" ht="15" customHeight="1">
      <c r="B1940" s="104"/>
      <c r="C1940" s="104"/>
      <c r="D1940" s="104"/>
      <c r="E1940" s="104"/>
      <c r="F1940" s="104"/>
      <c r="G1940" s="104"/>
      <c r="H1940" s="104"/>
      <c r="I1940" s="104"/>
      <c r="J1940" s="104"/>
      <c r="K1940" s="104"/>
      <c r="L1940" s="104"/>
      <c r="R1940" s="105"/>
      <c r="S1940" s="105"/>
      <c r="T1940" s="105"/>
      <c r="U1940" s="105"/>
      <c r="V1940" s="105"/>
      <c r="W1940" s="105"/>
      <c r="AD1940" s="106"/>
      <c r="AE1940" s="97"/>
      <c r="AF1940" s="97"/>
      <c r="AG1940" s="97"/>
      <c r="AH1940" s="97"/>
      <c r="AI1940" s="97"/>
      <c r="AJ1940" s="97"/>
      <c r="AK1940" s="97"/>
      <c r="AL1940" s="97"/>
      <c r="AM1940" s="97"/>
      <c r="AN1940" s="97"/>
      <c r="AO1940" s="97"/>
      <c r="AP1940" s="97"/>
      <c r="AQ1940" s="97"/>
    </row>
    <row r="1941" spans="2:43" s="101" customFormat="1" ht="15" customHeight="1">
      <c r="B1941" s="104"/>
      <c r="C1941" s="104"/>
      <c r="D1941" s="104"/>
      <c r="E1941" s="104"/>
      <c r="F1941" s="104"/>
      <c r="G1941" s="104"/>
      <c r="H1941" s="104"/>
      <c r="I1941" s="104"/>
      <c r="J1941" s="104"/>
      <c r="K1941" s="104"/>
      <c r="L1941" s="104"/>
      <c r="R1941" s="105"/>
      <c r="S1941" s="105"/>
      <c r="T1941" s="105"/>
      <c r="U1941" s="105"/>
      <c r="V1941" s="105"/>
      <c r="W1941" s="105"/>
      <c r="AD1941" s="106"/>
      <c r="AE1941" s="97"/>
      <c r="AF1941" s="97"/>
      <c r="AG1941" s="97"/>
      <c r="AH1941" s="97"/>
      <c r="AI1941" s="97"/>
      <c r="AJ1941" s="97"/>
      <c r="AK1941" s="97"/>
      <c r="AL1941" s="97"/>
      <c r="AM1941" s="97"/>
      <c r="AN1941" s="97"/>
      <c r="AO1941" s="97"/>
      <c r="AP1941" s="97"/>
      <c r="AQ1941" s="97"/>
    </row>
    <row r="1942" spans="2:43" s="101" customFormat="1" ht="15" customHeight="1">
      <c r="B1942" s="104"/>
      <c r="C1942" s="104"/>
      <c r="D1942" s="104"/>
      <c r="E1942" s="104"/>
      <c r="F1942" s="104"/>
      <c r="G1942" s="104"/>
      <c r="H1942" s="104"/>
      <c r="I1942" s="104"/>
      <c r="J1942" s="104"/>
      <c r="K1942" s="104"/>
      <c r="L1942" s="104"/>
      <c r="R1942" s="105"/>
      <c r="S1942" s="105"/>
      <c r="T1942" s="105"/>
      <c r="U1942" s="105"/>
      <c r="V1942" s="105"/>
      <c r="W1942" s="105"/>
      <c r="AD1942" s="106"/>
      <c r="AE1942" s="97"/>
      <c r="AF1942" s="97"/>
      <c r="AG1942" s="97"/>
      <c r="AH1942" s="97"/>
      <c r="AI1942" s="97"/>
      <c r="AJ1942" s="97"/>
      <c r="AK1942" s="97"/>
      <c r="AL1942" s="97"/>
      <c r="AM1942" s="97"/>
      <c r="AN1942" s="97"/>
      <c r="AO1942" s="97"/>
      <c r="AP1942" s="97"/>
      <c r="AQ1942" s="97"/>
    </row>
    <row r="1943" spans="2:43" s="101" customFormat="1" ht="15" customHeight="1">
      <c r="B1943" s="104"/>
      <c r="C1943" s="104"/>
      <c r="D1943" s="104"/>
      <c r="E1943" s="104"/>
      <c r="F1943" s="104"/>
      <c r="G1943" s="104"/>
      <c r="H1943" s="104"/>
      <c r="I1943" s="104"/>
      <c r="J1943" s="104"/>
      <c r="K1943" s="104"/>
      <c r="L1943" s="104"/>
      <c r="R1943" s="105"/>
      <c r="S1943" s="105"/>
      <c r="T1943" s="105"/>
      <c r="U1943" s="105"/>
      <c r="V1943" s="105"/>
      <c r="W1943" s="105"/>
      <c r="AD1943" s="106"/>
      <c r="AE1943" s="97"/>
      <c r="AF1943" s="97"/>
      <c r="AG1943" s="97"/>
      <c r="AH1943" s="97"/>
      <c r="AI1943" s="97"/>
      <c r="AJ1943" s="97"/>
      <c r="AK1943" s="97"/>
      <c r="AL1943" s="97"/>
      <c r="AM1943" s="97"/>
      <c r="AN1943" s="97"/>
      <c r="AO1943" s="97"/>
      <c r="AP1943" s="97"/>
      <c r="AQ1943" s="97"/>
    </row>
    <row r="1944" spans="2:43" s="101" customFormat="1" ht="15" customHeight="1">
      <c r="B1944" s="104"/>
      <c r="C1944" s="104"/>
      <c r="D1944" s="104"/>
      <c r="E1944" s="104"/>
      <c r="F1944" s="104"/>
      <c r="G1944" s="104"/>
      <c r="H1944" s="104"/>
      <c r="I1944" s="104"/>
      <c r="J1944" s="104"/>
      <c r="K1944" s="104"/>
      <c r="L1944" s="104"/>
      <c r="R1944" s="105"/>
      <c r="S1944" s="105"/>
      <c r="T1944" s="105"/>
      <c r="U1944" s="105"/>
      <c r="V1944" s="105"/>
      <c r="W1944" s="105"/>
      <c r="AD1944" s="106"/>
      <c r="AE1944" s="97"/>
      <c r="AF1944" s="97"/>
      <c r="AG1944" s="97"/>
      <c r="AH1944" s="97"/>
      <c r="AI1944" s="97"/>
      <c r="AJ1944" s="97"/>
      <c r="AK1944" s="97"/>
      <c r="AL1944" s="97"/>
      <c r="AM1944" s="97"/>
      <c r="AN1944" s="97"/>
      <c r="AO1944" s="97"/>
      <c r="AP1944" s="97"/>
      <c r="AQ1944" s="97"/>
    </row>
    <row r="1945" spans="2:43" s="101" customFormat="1" ht="15" customHeight="1">
      <c r="B1945" s="104"/>
      <c r="C1945" s="104"/>
      <c r="D1945" s="104"/>
      <c r="E1945" s="104"/>
      <c r="F1945" s="104"/>
      <c r="G1945" s="104"/>
      <c r="H1945" s="104"/>
      <c r="I1945" s="104"/>
      <c r="J1945" s="104"/>
      <c r="K1945" s="104"/>
      <c r="L1945" s="104"/>
      <c r="R1945" s="105"/>
      <c r="S1945" s="105"/>
      <c r="T1945" s="105"/>
      <c r="U1945" s="105"/>
      <c r="V1945" s="105"/>
      <c r="W1945" s="105"/>
      <c r="AD1945" s="106"/>
      <c r="AE1945" s="97"/>
      <c r="AF1945" s="97"/>
      <c r="AG1945" s="97"/>
      <c r="AH1945" s="97"/>
      <c r="AI1945" s="97"/>
      <c r="AJ1945" s="97"/>
      <c r="AK1945" s="97"/>
      <c r="AL1945" s="97"/>
      <c r="AM1945" s="97"/>
      <c r="AN1945" s="97"/>
      <c r="AO1945" s="97"/>
      <c r="AP1945" s="97"/>
      <c r="AQ1945" s="97"/>
    </row>
    <row r="1946" spans="2:43" s="101" customFormat="1" ht="15" customHeight="1">
      <c r="B1946" s="104"/>
      <c r="C1946" s="104"/>
      <c r="D1946" s="104"/>
      <c r="E1946" s="104"/>
      <c r="F1946" s="104"/>
      <c r="G1946" s="104"/>
      <c r="H1946" s="104"/>
      <c r="I1946" s="104"/>
      <c r="J1946" s="104"/>
      <c r="K1946" s="104"/>
      <c r="L1946" s="104"/>
      <c r="R1946" s="105"/>
      <c r="S1946" s="105"/>
      <c r="T1946" s="105"/>
      <c r="U1946" s="105"/>
      <c r="V1946" s="105"/>
      <c r="W1946" s="105"/>
      <c r="AD1946" s="106"/>
      <c r="AE1946" s="97"/>
      <c r="AF1946" s="97"/>
      <c r="AG1946" s="97"/>
      <c r="AH1946" s="97"/>
      <c r="AI1946" s="97"/>
      <c r="AJ1946" s="97"/>
      <c r="AK1946" s="97"/>
      <c r="AL1946" s="97"/>
      <c r="AM1946" s="97"/>
      <c r="AN1946" s="97"/>
      <c r="AO1946" s="97"/>
      <c r="AP1946" s="97"/>
      <c r="AQ1946" s="97"/>
    </row>
    <row r="1947" spans="2:43" s="101" customFormat="1" ht="15" customHeight="1">
      <c r="B1947" s="104"/>
      <c r="C1947" s="104"/>
      <c r="D1947" s="104"/>
      <c r="E1947" s="104"/>
      <c r="F1947" s="104"/>
      <c r="G1947" s="104"/>
      <c r="H1947" s="104"/>
      <c r="I1947" s="104"/>
      <c r="J1947" s="104"/>
      <c r="K1947" s="104"/>
      <c r="L1947" s="104"/>
      <c r="R1947" s="105"/>
      <c r="S1947" s="105"/>
      <c r="T1947" s="105"/>
      <c r="U1947" s="105"/>
      <c r="V1947" s="105"/>
      <c r="W1947" s="105"/>
      <c r="AD1947" s="106"/>
      <c r="AE1947" s="97"/>
      <c r="AF1947" s="97"/>
      <c r="AG1947" s="97"/>
      <c r="AH1947" s="97"/>
      <c r="AI1947" s="97"/>
      <c r="AJ1947" s="97"/>
      <c r="AK1947" s="97"/>
      <c r="AL1947" s="97"/>
      <c r="AM1947" s="97"/>
      <c r="AN1947" s="97"/>
      <c r="AO1947" s="97"/>
      <c r="AP1947" s="97"/>
      <c r="AQ1947" s="97"/>
    </row>
    <row r="1948" spans="2:43" s="101" customFormat="1" ht="15" customHeight="1">
      <c r="B1948" s="104"/>
      <c r="C1948" s="104"/>
      <c r="D1948" s="104"/>
      <c r="E1948" s="104"/>
      <c r="F1948" s="104"/>
      <c r="G1948" s="104"/>
      <c r="H1948" s="104"/>
      <c r="I1948" s="104"/>
      <c r="J1948" s="104"/>
      <c r="K1948" s="104"/>
      <c r="L1948" s="104"/>
      <c r="R1948" s="105"/>
      <c r="S1948" s="105"/>
      <c r="T1948" s="105"/>
      <c r="U1948" s="105"/>
      <c r="V1948" s="105"/>
      <c r="W1948" s="105"/>
      <c r="AD1948" s="106"/>
      <c r="AE1948" s="97"/>
      <c r="AF1948" s="97"/>
      <c r="AG1948" s="97"/>
      <c r="AH1948" s="97"/>
      <c r="AI1948" s="97"/>
      <c r="AJ1948" s="97"/>
      <c r="AK1948" s="97"/>
      <c r="AL1948" s="97"/>
      <c r="AM1948" s="97"/>
      <c r="AN1948" s="97"/>
      <c r="AO1948" s="97"/>
      <c r="AP1948" s="97"/>
      <c r="AQ1948" s="97"/>
    </row>
    <row r="1949" spans="2:43" s="101" customFormat="1" ht="15" customHeight="1">
      <c r="B1949" s="104"/>
      <c r="C1949" s="104"/>
      <c r="D1949" s="104"/>
      <c r="E1949" s="104"/>
      <c r="F1949" s="104"/>
      <c r="G1949" s="104"/>
      <c r="H1949" s="104"/>
      <c r="I1949" s="104"/>
      <c r="J1949" s="104"/>
      <c r="K1949" s="104"/>
      <c r="L1949" s="104"/>
      <c r="R1949" s="105"/>
      <c r="S1949" s="105"/>
      <c r="T1949" s="105"/>
      <c r="U1949" s="105"/>
      <c r="V1949" s="105"/>
      <c r="W1949" s="105"/>
      <c r="AD1949" s="106"/>
      <c r="AE1949" s="97"/>
      <c r="AF1949" s="97"/>
      <c r="AG1949" s="97"/>
      <c r="AH1949" s="97"/>
      <c r="AI1949" s="97"/>
      <c r="AJ1949" s="97"/>
      <c r="AK1949" s="97"/>
      <c r="AL1949" s="97"/>
      <c r="AM1949" s="97"/>
      <c r="AN1949" s="97"/>
      <c r="AO1949" s="97"/>
      <c r="AP1949" s="97"/>
      <c r="AQ1949" s="97"/>
    </row>
    <row r="1950" spans="2:43" s="101" customFormat="1" ht="15" customHeight="1">
      <c r="B1950" s="104"/>
      <c r="C1950" s="104"/>
      <c r="D1950" s="104"/>
      <c r="E1950" s="104"/>
      <c r="F1950" s="104"/>
      <c r="G1950" s="104"/>
      <c r="H1950" s="104"/>
      <c r="I1950" s="104"/>
      <c r="J1950" s="104"/>
      <c r="K1950" s="104"/>
      <c r="L1950" s="104"/>
      <c r="R1950" s="105"/>
      <c r="S1950" s="105"/>
      <c r="T1950" s="105"/>
      <c r="U1950" s="105"/>
      <c r="V1950" s="105"/>
      <c r="W1950" s="105"/>
      <c r="AD1950" s="106"/>
      <c r="AE1950" s="97"/>
      <c r="AF1950" s="97"/>
      <c r="AG1950" s="97"/>
      <c r="AH1950" s="97"/>
      <c r="AI1950" s="97"/>
      <c r="AJ1950" s="97"/>
      <c r="AK1950" s="97"/>
      <c r="AL1950" s="97"/>
      <c r="AM1950" s="97"/>
      <c r="AN1950" s="97"/>
      <c r="AO1950" s="97"/>
      <c r="AP1950" s="97"/>
      <c r="AQ1950" s="97"/>
    </row>
    <row r="1951" spans="2:43" s="101" customFormat="1" ht="15" customHeight="1">
      <c r="B1951" s="104"/>
      <c r="C1951" s="104"/>
      <c r="D1951" s="104"/>
      <c r="E1951" s="104"/>
      <c r="F1951" s="104"/>
      <c r="G1951" s="104"/>
      <c r="H1951" s="104"/>
      <c r="I1951" s="104"/>
      <c r="J1951" s="104"/>
      <c r="K1951" s="104"/>
      <c r="L1951" s="104"/>
      <c r="R1951" s="105"/>
      <c r="S1951" s="105"/>
      <c r="T1951" s="105"/>
      <c r="U1951" s="105"/>
      <c r="V1951" s="105"/>
      <c r="W1951" s="105"/>
      <c r="AD1951" s="106"/>
      <c r="AE1951" s="97"/>
      <c r="AF1951" s="97"/>
      <c r="AG1951" s="97"/>
      <c r="AH1951" s="97"/>
      <c r="AI1951" s="97"/>
      <c r="AJ1951" s="97"/>
      <c r="AK1951" s="97"/>
      <c r="AL1951" s="97"/>
      <c r="AM1951" s="97"/>
      <c r="AN1951" s="97"/>
      <c r="AO1951" s="97"/>
      <c r="AP1951" s="97"/>
      <c r="AQ1951" s="97"/>
    </row>
    <row r="1952" spans="2:43" s="101" customFormat="1" ht="15" customHeight="1">
      <c r="B1952" s="104"/>
      <c r="C1952" s="104"/>
      <c r="D1952" s="104"/>
      <c r="E1952" s="104"/>
      <c r="F1952" s="104"/>
      <c r="G1952" s="104"/>
      <c r="H1952" s="104"/>
      <c r="I1952" s="104"/>
      <c r="J1952" s="104"/>
      <c r="K1952" s="104"/>
      <c r="L1952" s="104"/>
      <c r="R1952" s="105"/>
      <c r="S1952" s="105"/>
      <c r="T1952" s="105"/>
      <c r="U1952" s="105"/>
      <c r="V1952" s="105"/>
      <c r="W1952" s="105"/>
      <c r="AD1952" s="106"/>
      <c r="AE1952" s="97"/>
      <c r="AF1952" s="97"/>
      <c r="AG1952" s="97"/>
      <c r="AH1952" s="97"/>
      <c r="AI1952" s="97"/>
      <c r="AJ1952" s="97"/>
      <c r="AK1952" s="97"/>
      <c r="AL1952" s="97"/>
      <c r="AM1952" s="97"/>
      <c r="AN1952" s="97"/>
      <c r="AO1952" s="97"/>
      <c r="AP1952" s="97"/>
      <c r="AQ1952" s="97"/>
    </row>
    <row r="1953" spans="2:43" s="101" customFormat="1" ht="15" customHeight="1">
      <c r="B1953" s="104"/>
      <c r="C1953" s="104"/>
      <c r="D1953" s="104"/>
      <c r="E1953" s="104"/>
      <c r="F1953" s="104"/>
      <c r="G1953" s="104"/>
      <c r="H1953" s="104"/>
      <c r="I1953" s="104"/>
      <c r="J1953" s="104"/>
      <c r="K1953" s="104"/>
      <c r="L1953" s="104"/>
      <c r="R1953" s="105"/>
      <c r="S1953" s="105"/>
      <c r="T1953" s="105"/>
      <c r="U1953" s="105"/>
      <c r="V1953" s="105"/>
      <c r="W1953" s="105"/>
      <c r="AD1953" s="106"/>
      <c r="AE1953" s="97"/>
      <c r="AF1953" s="97"/>
      <c r="AG1953" s="97"/>
      <c r="AH1953" s="97"/>
      <c r="AI1953" s="97"/>
      <c r="AJ1953" s="97"/>
      <c r="AK1953" s="97"/>
      <c r="AL1953" s="97"/>
      <c r="AM1953" s="97"/>
      <c r="AN1953" s="97"/>
      <c r="AO1953" s="97"/>
      <c r="AP1953" s="97"/>
      <c r="AQ1953" s="97"/>
    </row>
    <row r="1954" spans="2:43" s="101" customFormat="1" ht="15" customHeight="1">
      <c r="B1954" s="104"/>
      <c r="C1954" s="104"/>
      <c r="D1954" s="104"/>
      <c r="E1954" s="104"/>
      <c r="F1954" s="104"/>
      <c r="G1954" s="104"/>
      <c r="H1954" s="104"/>
      <c r="I1954" s="104"/>
      <c r="J1954" s="104"/>
      <c r="K1954" s="104"/>
      <c r="L1954" s="104"/>
      <c r="R1954" s="105"/>
      <c r="S1954" s="105"/>
      <c r="T1954" s="105"/>
      <c r="U1954" s="105"/>
      <c r="V1954" s="105"/>
      <c r="W1954" s="105"/>
      <c r="AD1954" s="106"/>
      <c r="AE1954" s="97"/>
      <c r="AF1954" s="97"/>
      <c r="AG1954" s="97"/>
      <c r="AH1954" s="97"/>
      <c r="AI1954" s="97"/>
      <c r="AJ1954" s="97"/>
      <c r="AK1954" s="97"/>
      <c r="AL1954" s="97"/>
      <c r="AM1954" s="97"/>
      <c r="AN1954" s="97"/>
      <c r="AO1954" s="97"/>
      <c r="AP1954" s="97"/>
      <c r="AQ1954" s="97"/>
    </row>
    <row r="1955" spans="2:43" s="101" customFormat="1" ht="15" customHeight="1">
      <c r="B1955" s="104"/>
      <c r="C1955" s="104"/>
      <c r="D1955" s="104"/>
      <c r="E1955" s="104"/>
      <c r="F1955" s="104"/>
      <c r="G1955" s="104"/>
      <c r="H1955" s="104"/>
      <c r="I1955" s="104"/>
      <c r="J1955" s="104"/>
      <c r="K1955" s="104"/>
      <c r="L1955" s="104"/>
      <c r="R1955" s="105"/>
      <c r="S1955" s="105"/>
      <c r="T1955" s="105"/>
      <c r="U1955" s="105"/>
      <c r="V1955" s="105"/>
      <c r="W1955" s="105"/>
      <c r="AD1955" s="106"/>
      <c r="AE1955" s="97"/>
      <c r="AF1955" s="97"/>
      <c r="AG1955" s="97"/>
      <c r="AH1955" s="97"/>
      <c r="AI1955" s="97"/>
      <c r="AJ1955" s="97"/>
      <c r="AK1955" s="97"/>
      <c r="AL1955" s="97"/>
      <c r="AM1955" s="97"/>
      <c r="AN1955" s="97"/>
      <c r="AO1955" s="97"/>
      <c r="AP1955" s="97"/>
      <c r="AQ1955" s="97"/>
    </row>
    <row r="1956" spans="2:43" s="101" customFormat="1" ht="15" customHeight="1">
      <c r="B1956" s="104"/>
      <c r="C1956" s="104"/>
      <c r="D1956" s="104"/>
      <c r="E1956" s="104"/>
      <c r="F1956" s="104"/>
      <c r="G1956" s="104"/>
      <c r="H1956" s="104"/>
      <c r="I1956" s="104"/>
      <c r="J1956" s="104"/>
      <c r="K1956" s="104"/>
      <c r="L1956" s="104"/>
      <c r="R1956" s="105"/>
      <c r="S1956" s="105"/>
      <c r="T1956" s="105"/>
      <c r="U1956" s="105"/>
      <c r="V1956" s="105"/>
      <c r="W1956" s="105"/>
      <c r="AD1956" s="106"/>
      <c r="AE1956" s="97"/>
      <c r="AF1956" s="97"/>
      <c r="AG1956" s="97"/>
      <c r="AH1956" s="97"/>
      <c r="AI1956" s="97"/>
      <c r="AJ1956" s="97"/>
      <c r="AK1956" s="97"/>
      <c r="AL1956" s="97"/>
      <c r="AM1956" s="97"/>
      <c r="AN1956" s="97"/>
      <c r="AO1956" s="97"/>
      <c r="AP1956" s="97"/>
      <c r="AQ1956" s="97"/>
    </row>
    <row r="1957" spans="2:43" s="101" customFormat="1" ht="15" customHeight="1">
      <c r="B1957" s="104"/>
      <c r="C1957" s="104"/>
      <c r="D1957" s="104"/>
      <c r="E1957" s="104"/>
      <c r="F1957" s="104"/>
      <c r="G1957" s="104"/>
      <c r="H1957" s="104"/>
      <c r="I1957" s="104"/>
      <c r="J1957" s="104"/>
      <c r="K1957" s="104"/>
      <c r="L1957" s="104"/>
      <c r="R1957" s="105"/>
      <c r="S1957" s="105"/>
      <c r="T1957" s="105"/>
      <c r="U1957" s="105"/>
      <c r="V1957" s="105"/>
      <c r="W1957" s="105"/>
      <c r="AD1957" s="106"/>
      <c r="AE1957" s="97"/>
      <c r="AF1957" s="97"/>
      <c r="AG1957" s="97"/>
      <c r="AH1957" s="97"/>
      <c r="AI1957" s="97"/>
      <c r="AJ1957" s="97"/>
      <c r="AK1957" s="97"/>
      <c r="AL1957" s="97"/>
      <c r="AM1957" s="97"/>
      <c r="AN1957" s="97"/>
      <c r="AO1957" s="97"/>
      <c r="AP1957" s="97"/>
      <c r="AQ1957" s="97"/>
    </row>
    <row r="1958" spans="2:43" s="101" customFormat="1" ht="15" customHeight="1">
      <c r="B1958" s="104"/>
      <c r="C1958" s="104"/>
      <c r="D1958" s="104"/>
      <c r="E1958" s="104"/>
      <c r="F1958" s="104"/>
      <c r="G1958" s="104"/>
      <c r="H1958" s="104"/>
      <c r="I1958" s="104"/>
      <c r="J1958" s="104"/>
      <c r="K1958" s="104"/>
      <c r="L1958" s="104"/>
      <c r="R1958" s="105"/>
      <c r="S1958" s="105"/>
      <c r="T1958" s="105"/>
      <c r="U1958" s="105"/>
      <c r="V1958" s="105"/>
      <c r="W1958" s="105"/>
      <c r="AD1958" s="106"/>
      <c r="AE1958" s="97"/>
      <c r="AF1958" s="97"/>
      <c r="AG1958" s="97"/>
      <c r="AH1958" s="97"/>
      <c r="AI1958" s="97"/>
      <c r="AJ1958" s="97"/>
      <c r="AK1958" s="97"/>
      <c r="AL1958" s="97"/>
      <c r="AM1958" s="97"/>
      <c r="AN1958" s="97"/>
      <c r="AO1958" s="97"/>
      <c r="AP1958" s="97"/>
      <c r="AQ1958" s="97"/>
    </row>
    <row r="1959" spans="2:43" s="101" customFormat="1" ht="15" customHeight="1">
      <c r="B1959" s="104"/>
      <c r="C1959" s="104"/>
      <c r="D1959" s="104"/>
      <c r="E1959" s="104"/>
      <c r="F1959" s="104"/>
      <c r="G1959" s="104"/>
      <c r="H1959" s="104"/>
      <c r="I1959" s="104"/>
      <c r="J1959" s="104"/>
      <c r="K1959" s="104"/>
      <c r="L1959" s="104"/>
      <c r="R1959" s="105"/>
      <c r="S1959" s="105"/>
      <c r="T1959" s="105"/>
      <c r="U1959" s="105"/>
      <c r="V1959" s="105"/>
      <c r="W1959" s="105"/>
      <c r="AD1959" s="106"/>
      <c r="AE1959" s="97"/>
      <c r="AF1959" s="97"/>
      <c r="AG1959" s="97"/>
      <c r="AH1959" s="97"/>
      <c r="AI1959" s="97"/>
      <c r="AJ1959" s="97"/>
      <c r="AK1959" s="97"/>
      <c r="AL1959" s="97"/>
      <c r="AM1959" s="97"/>
      <c r="AN1959" s="97"/>
      <c r="AO1959" s="97"/>
      <c r="AP1959" s="97"/>
      <c r="AQ1959" s="97"/>
    </row>
    <row r="1960" spans="2:43" s="101" customFormat="1" ht="15" customHeight="1">
      <c r="B1960" s="104"/>
      <c r="C1960" s="104"/>
      <c r="D1960" s="104"/>
      <c r="E1960" s="104"/>
      <c r="F1960" s="104"/>
      <c r="G1960" s="104"/>
      <c r="H1960" s="104"/>
      <c r="I1960" s="104"/>
      <c r="J1960" s="104"/>
      <c r="K1960" s="104"/>
      <c r="L1960" s="104"/>
      <c r="R1960" s="105"/>
      <c r="S1960" s="105"/>
      <c r="T1960" s="105"/>
      <c r="U1960" s="105"/>
      <c r="V1960" s="105"/>
      <c r="W1960" s="105"/>
      <c r="AD1960" s="106"/>
      <c r="AE1960" s="97"/>
      <c r="AF1960" s="97"/>
      <c r="AG1960" s="97"/>
      <c r="AH1960" s="97"/>
      <c r="AI1960" s="97"/>
      <c r="AJ1960" s="97"/>
      <c r="AK1960" s="97"/>
      <c r="AL1960" s="97"/>
      <c r="AM1960" s="97"/>
      <c r="AN1960" s="97"/>
      <c r="AO1960" s="97"/>
      <c r="AP1960" s="97"/>
      <c r="AQ1960" s="97"/>
    </row>
    <row r="1961" spans="2:43" s="101" customFormat="1" ht="15" customHeight="1">
      <c r="B1961" s="104"/>
      <c r="C1961" s="104"/>
      <c r="D1961" s="104"/>
      <c r="E1961" s="104"/>
      <c r="F1961" s="104"/>
      <c r="G1961" s="104"/>
      <c r="H1961" s="104"/>
      <c r="I1961" s="104"/>
      <c r="J1961" s="104"/>
      <c r="K1961" s="104"/>
      <c r="L1961" s="104"/>
      <c r="R1961" s="105"/>
      <c r="S1961" s="105"/>
      <c r="T1961" s="105"/>
      <c r="U1961" s="105"/>
      <c r="V1961" s="105"/>
      <c r="W1961" s="105"/>
      <c r="AD1961" s="106"/>
      <c r="AE1961" s="97"/>
      <c r="AF1961" s="97"/>
      <c r="AG1961" s="97"/>
      <c r="AH1961" s="97"/>
      <c r="AI1961" s="97"/>
      <c r="AJ1961" s="97"/>
      <c r="AK1961" s="97"/>
      <c r="AL1961" s="97"/>
      <c r="AM1961" s="97"/>
      <c r="AN1961" s="97"/>
      <c r="AO1961" s="97"/>
      <c r="AP1961" s="97"/>
      <c r="AQ1961" s="97"/>
    </row>
    <row r="1962" spans="2:43" s="101" customFormat="1" ht="15" customHeight="1">
      <c r="B1962" s="104"/>
      <c r="C1962" s="104"/>
      <c r="D1962" s="104"/>
      <c r="E1962" s="104"/>
      <c r="F1962" s="104"/>
      <c r="G1962" s="104"/>
      <c r="H1962" s="104"/>
      <c r="I1962" s="104"/>
      <c r="J1962" s="104"/>
      <c r="K1962" s="104"/>
      <c r="L1962" s="104"/>
      <c r="R1962" s="105"/>
      <c r="S1962" s="105"/>
      <c r="T1962" s="105"/>
      <c r="U1962" s="105"/>
      <c r="V1962" s="105"/>
      <c r="W1962" s="105"/>
      <c r="AD1962" s="106"/>
      <c r="AE1962" s="97"/>
      <c r="AF1962" s="97"/>
      <c r="AG1962" s="97"/>
      <c r="AH1962" s="97"/>
      <c r="AI1962" s="97"/>
      <c r="AJ1962" s="97"/>
      <c r="AK1962" s="97"/>
      <c r="AL1962" s="97"/>
      <c r="AM1962" s="97"/>
      <c r="AN1962" s="97"/>
      <c r="AO1962" s="97"/>
      <c r="AP1962" s="97"/>
      <c r="AQ1962" s="97"/>
    </row>
    <row r="1963" spans="2:43" s="101" customFormat="1" ht="15" customHeight="1">
      <c r="B1963" s="104"/>
      <c r="C1963" s="104"/>
      <c r="D1963" s="104"/>
      <c r="E1963" s="104"/>
      <c r="F1963" s="104"/>
      <c r="G1963" s="104"/>
      <c r="H1963" s="104"/>
      <c r="I1963" s="104"/>
      <c r="J1963" s="104"/>
      <c r="K1963" s="104"/>
      <c r="L1963" s="104"/>
      <c r="R1963" s="105"/>
      <c r="S1963" s="105"/>
      <c r="T1963" s="105"/>
      <c r="U1963" s="105"/>
      <c r="V1963" s="105"/>
      <c r="W1963" s="105"/>
      <c r="AD1963" s="106"/>
      <c r="AE1963" s="97"/>
      <c r="AF1963" s="97"/>
      <c r="AG1963" s="97"/>
      <c r="AH1963" s="97"/>
      <c r="AI1963" s="97"/>
      <c r="AJ1963" s="97"/>
      <c r="AK1963" s="97"/>
      <c r="AL1963" s="97"/>
      <c r="AM1963" s="97"/>
      <c r="AN1963" s="97"/>
      <c r="AO1963" s="97"/>
      <c r="AP1963" s="97"/>
      <c r="AQ1963" s="97"/>
    </row>
    <row r="1964" spans="2:43" s="101" customFormat="1" ht="15" customHeight="1">
      <c r="B1964" s="104"/>
      <c r="C1964" s="104"/>
      <c r="D1964" s="104"/>
      <c r="E1964" s="104"/>
      <c r="F1964" s="104"/>
      <c r="G1964" s="104"/>
      <c r="H1964" s="104"/>
      <c r="I1964" s="104"/>
      <c r="J1964" s="104"/>
      <c r="K1964" s="104"/>
      <c r="L1964" s="104"/>
      <c r="R1964" s="105"/>
      <c r="S1964" s="105"/>
      <c r="T1964" s="105"/>
      <c r="U1964" s="105"/>
      <c r="V1964" s="105"/>
      <c r="W1964" s="105"/>
      <c r="AD1964" s="106"/>
      <c r="AE1964" s="97"/>
      <c r="AF1964" s="97"/>
      <c r="AG1964" s="97"/>
      <c r="AH1964" s="97"/>
      <c r="AI1964" s="97"/>
      <c r="AJ1964" s="97"/>
      <c r="AK1964" s="97"/>
      <c r="AL1964" s="97"/>
      <c r="AM1964" s="97"/>
      <c r="AN1964" s="97"/>
      <c r="AO1964" s="97"/>
      <c r="AP1964" s="97"/>
      <c r="AQ1964" s="97"/>
    </row>
    <row r="1965" spans="2:43" s="101" customFormat="1" ht="15" customHeight="1">
      <c r="B1965" s="104"/>
      <c r="C1965" s="104"/>
      <c r="D1965" s="104"/>
      <c r="E1965" s="104"/>
      <c r="F1965" s="104"/>
      <c r="G1965" s="104"/>
      <c r="H1965" s="104"/>
      <c r="I1965" s="104"/>
      <c r="J1965" s="104"/>
      <c r="K1965" s="104"/>
      <c r="L1965" s="104"/>
      <c r="R1965" s="105"/>
      <c r="S1965" s="105"/>
      <c r="T1965" s="105"/>
      <c r="U1965" s="105"/>
      <c r="V1965" s="105"/>
      <c r="W1965" s="105"/>
      <c r="AD1965" s="106"/>
      <c r="AE1965" s="97"/>
      <c r="AF1965" s="97"/>
      <c r="AG1965" s="97"/>
      <c r="AH1965" s="97"/>
      <c r="AI1965" s="97"/>
      <c r="AJ1965" s="97"/>
      <c r="AK1965" s="97"/>
      <c r="AL1965" s="97"/>
      <c r="AM1965" s="97"/>
      <c r="AN1965" s="97"/>
      <c r="AO1965" s="97"/>
      <c r="AP1965" s="97"/>
      <c r="AQ1965" s="97"/>
    </row>
    <row r="1966" spans="2:43" s="101" customFormat="1" ht="15" customHeight="1">
      <c r="B1966" s="104"/>
      <c r="C1966" s="104"/>
      <c r="D1966" s="104"/>
      <c r="E1966" s="104"/>
      <c r="F1966" s="104"/>
      <c r="G1966" s="104"/>
      <c r="H1966" s="104"/>
      <c r="I1966" s="104"/>
      <c r="J1966" s="104"/>
      <c r="K1966" s="104"/>
      <c r="L1966" s="104"/>
      <c r="R1966" s="105"/>
      <c r="S1966" s="105"/>
      <c r="T1966" s="105"/>
      <c r="U1966" s="105"/>
      <c r="V1966" s="105"/>
      <c r="W1966" s="105"/>
      <c r="AD1966" s="106"/>
      <c r="AE1966" s="97"/>
      <c r="AF1966" s="97"/>
      <c r="AG1966" s="97"/>
      <c r="AH1966" s="97"/>
      <c r="AI1966" s="97"/>
      <c r="AJ1966" s="97"/>
      <c r="AK1966" s="97"/>
      <c r="AL1966" s="97"/>
      <c r="AM1966" s="97"/>
      <c r="AN1966" s="97"/>
      <c r="AO1966" s="97"/>
      <c r="AP1966" s="97"/>
      <c r="AQ1966" s="97"/>
    </row>
    <row r="1967" spans="2:43" s="101" customFormat="1" ht="15" customHeight="1">
      <c r="B1967" s="104"/>
      <c r="C1967" s="104"/>
      <c r="D1967" s="104"/>
      <c r="E1967" s="104"/>
      <c r="F1967" s="104"/>
      <c r="G1967" s="104"/>
      <c r="H1967" s="104"/>
      <c r="I1967" s="104"/>
      <c r="J1967" s="104"/>
      <c r="K1967" s="104"/>
      <c r="L1967" s="104"/>
      <c r="R1967" s="105"/>
      <c r="S1967" s="105"/>
      <c r="T1967" s="105"/>
      <c r="U1967" s="105"/>
      <c r="V1967" s="105"/>
      <c r="W1967" s="105"/>
      <c r="AD1967" s="106"/>
      <c r="AE1967" s="97"/>
      <c r="AF1967" s="97"/>
      <c r="AG1967" s="97"/>
      <c r="AH1967" s="97"/>
      <c r="AI1967" s="97"/>
      <c r="AJ1967" s="97"/>
      <c r="AK1967" s="97"/>
      <c r="AL1967" s="97"/>
      <c r="AM1967" s="97"/>
      <c r="AN1967" s="97"/>
      <c r="AO1967" s="97"/>
      <c r="AP1967" s="97"/>
      <c r="AQ1967" s="97"/>
    </row>
    <row r="1968" spans="2:43" s="101" customFormat="1" ht="15" customHeight="1">
      <c r="B1968" s="104"/>
      <c r="C1968" s="104"/>
      <c r="D1968" s="104"/>
      <c r="E1968" s="104"/>
      <c r="F1968" s="104"/>
      <c r="G1968" s="104"/>
      <c r="H1968" s="104"/>
      <c r="I1968" s="104"/>
      <c r="J1968" s="104"/>
      <c r="K1968" s="104"/>
      <c r="L1968" s="104"/>
      <c r="R1968" s="105"/>
      <c r="S1968" s="105"/>
      <c r="T1968" s="105"/>
      <c r="U1968" s="105"/>
      <c r="V1968" s="105"/>
      <c r="W1968" s="105"/>
      <c r="AD1968" s="106"/>
      <c r="AE1968" s="97"/>
      <c r="AF1968" s="97"/>
      <c r="AG1968" s="97"/>
      <c r="AH1968" s="97"/>
      <c r="AI1968" s="97"/>
      <c r="AJ1968" s="97"/>
      <c r="AK1968" s="97"/>
      <c r="AL1968" s="97"/>
      <c r="AM1968" s="97"/>
      <c r="AN1968" s="97"/>
      <c r="AO1968" s="97"/>
      <c r="AP1968" s="97"/>
      <c r="AQ1968" s="97"/>
    </row>
    <row r="1969" spans="2:43" s="101" customFormat="1" ht="15" customHeight="1">
      <c r="B1969" s="104"/>
      <c r="C1969" s="104"/>
      <c r="D1969" s="104"/>
      <c r="E1969" s="104"/>
      <c r="F1969" s="104"/>
      <c r="G1969" s="104"/>
      <c r="H1969" s="104"/>
      <c r="I1969" s="104"/>
      <c r="J1969" s="104"/>
      <c r="K1969" s="104"/>
      <c r="L1969" s="104"/>
      <c r="R1969" s="105"/>
      <c r="S1969" s="105"/>
      <c r="T1969" s="105"/>
      <c r="U1969" s="105"/>
      <c r="V1969" s="105"/>
      <c r="W1969" s="105"/>
      <c r="AD1969" s="106"/>
      <c r="AE1969" s="97"/>
      <c r="AF1969" s="97"/>
      <c r="AG1969" s="97"/>
      <c r="AH1969" s="97"/>
      <c r="AI1969" s="97"/>
      <c r="AJ1969" s="97"/>
      <c r="AK1969" s="97"/>
      <c r="AL1969" s="97"/>
      <c r="AM1969" s="97"/>
      <c r="AN1969" s="97"/>
      <c r="AO1969" s="97"/>
      <c r="AP1969" s="97"/>
      <c r="AQ1969" s="97"/>
    </row>
    <row r="1970" spans="2:43" s="101" customFormat="1" ht="15" customHeight="1">
      <c r="B1970" s="104"/>
      <c r="C1970" s="104"/>
      <c r="D1970" s="104"/>
      <c r="E1970" s="104"/>
      <c r="F1970" s="104"/>
      <c r="G1970" s="104"/>
      <c r="H1970" s="104"/>
      <c r="I1970" s="104"/>
      <c r="J1970" s="104"/>
      <c r="K1970" s="104"/>
      <c r="L1970" s="104"/>
      <c r="R1970" s="105"/>
      <c r="S1970" s="105"/>
      <c r="T1970" s="105"/>
      <c r="U1970" s="105"/>
      <c r="V1970" s="105"/>
      <c r="W1970" s="105"/>
      <c r="AD1970" s="106"/>
      <c r="AE1970" s="97"/>
      <c r="AF1970" s="97"/>
      <c r="AG1970" s="97"/>
      <c r="AH1970" s="97"/>
      <c r="AI1970" s="97"/>
      <c r="AJ1970" s="97"/>
      <c r="AK1970" s="97"/>
      <c r="AL1970" s="97"/>
      <c r="AM1970" s="97"/>
      <c r="AN1970" s="97"/>
      <c r="AO1970" s="97"/>
      <c r="AP1970" s="97"/>
      <c r="AQ1970" s="97"/>
    </row>
    <row r="1971" spans="2:43" s="101" customFormat="1" ht="15" customHeight="1">
      <c r="B1971" s="104"/>
      <c r="C1971" s="104"/>
      <c r="D1971" s="104"/>
      <c r="E1971" s="104"/>
      <c r="F1971" s="104"/>
      <c r="G1971" s="104"/>
      <c r="H1971" s="104"/>
      <c r="I1971" s="104"/>
      <c r="J1971" s="104"/>
      <c r="K1971" s="104"/>
      <c r="L1971" s="104"/>
      <c r="R1971" s="105"/>
      <c r="S1971" s="105"/>
      <c r="T1971" s="105"/>
      <c r="U1971" s="105"/>
      <c r="V1971" s="105"/>
      <c r="W1971" s="105"/>
      <c r="AD1971" s="106"/>
      <c r="AE1971" s="97"/>
      <c r="AF1971" s="97"/>
      <c r="AG1971" s="97"/>
      <c r="AH1971" s="97"/>
      <c r="AI1971" s="97"/>
      <c r="AJ1971" s="97"/>
      <c r="AK1971" s="97"/>
      <c r="AL1971" s="97"/>
      <c r="AM1971" s="97"/>
      <c r="AN1971" s="97"/>
      <c r="AO1971" s="97"/>
      <c r="AP1971" s="97"/>
      <c r="AQ1971" s="97"/>
    </row>
    <row r="1972" spans="2:43" s="101" customFormat="1" ht="15" customHeight="1">
      <c r="B1972" s="104"/>
      <c r="C1972" s="104"/>
      <c r="D1972" s="104"/>
      <c r="E1972" s="104"/>
      <c r="F1972" s="104"/>
      <c r="G1972" s="104"/>
      <c r="H1972" s="104"/>
      <c r="I1972" s="104"/>
      <c r="J1972" s="104"/>
      <c r="K1972" s="104"/>
      <c r="L1972" s="104"/>
      <c r="R1972" s="105"/>
      <c r="S1972" s="105"/>
      <c r="T1972" s="105"/>
      <c r="U1972" s="105"/>
      <c r="V1972" s="105"/>
      <c r="W1972" s="105"/>
      <c r="AD1972" s="106"/>
      <c r="AE1972" s="97"/>
      <c r="AF1972" s="97"/>
      <c r="AG1972" s="97"/>
      <c r="AH1972" s="97"/>
      <c r="AI1972" s="97"/>
      <c r="AJ1972" s="97"/>
      <c r="AK1972" s="97"/>
      <c r="AL1972" s="97"/>
      <c r="AM1972" s="97"/>
      <c r="AN1972" s="97"/>
      <c r="AO1972" s="97"/>
      <c r="AP1972" s="97"/>
      <c r="AQ1972" s="97"/>
    </row>
    <row r="1973" spans="2:43" s="101" customFormat="1" ht="15" customHeight="1">
      <c r="B1973" s="104"/>
      <c r="C1973" s="104"/>
      <c r="D1973" s="104"/>
      <c r="E1973" s="104"/>
      <c r="F1973" s="104"/>
      <c r="G1973" s="104"/>
      <c r="H1973" s="104"/>
      <c r="I1973" s="104"/>
      <c r="J1973" s="104"/>
      <c r="K1973" s="104"/>
      <c r="L1973" s="104"/>
      <c r="R1973" s="105"/>
      <c r="S1973" s="105"/>
      <c r="T1973" s="105"/>
      <c r="U1973" s="105"/>
      <c r="V1973" s="105"/>
      <c r="W1973" s="105"/>
      <c r="AD1973" s="106"/>
      <c r="AE1973" s="97"/>
      <c r="AF1973" s="97"/>
      <c r="AG1973" s="97"/>
      <c r="AH1973" s="97"/>
      <c r="AI1973" s="97"/>
      <c r="AJ1973" s="97"/>
      <c r="AK1973" s="97"/>
      <c r="AL1973" s="97"/>
      <c r="AM1973" s="97"/>
      <c r="AN1973" s="97"/>
      <c r="AO1973" s="97"/>
      <c r="AP1973" s="97"/>
      <c r="AQ1973" s="97"/>
    </row>
    <row r="1974" spans="2:43" s="101" customFormat="1" ht="15" customHeight="1">
      <c r="B1974" s="104"/>
      <c r="C1974" s="104"/>
      <c r="D1974" s="104"/>
      <c r="E1974" s="104"/>
      <c r="F1974" s="104"/>
      <c r="G1974" s="104"/>
      <c r="H1974" s="104"/>
      <c r="I1974" s="104"/>
      <c r="J1974" s="104"/>
      <c r="K1974" s="104"/>
      <c r="L1974" s="104"/>
      <c r="R1974" s="105"/>
      <c r="S1974" s="105"/>
      <c r="T1974" s="105"/>
      <c r="U1974" s="105"/>
      <c r="V1974" s="105"/>
      <c r="W1974" s="105"/>
      <c r="AD1974" s="106"/>
      <c r="AE1974" s="97"/>
      <c r="AF1974" s="97"/>
      <c r="AG1974" s="97"/>
      <c r="AH1974" s="97"/>
      <c r="AI1974" s="97"/>
      <c r="AJ1974" s="97"/>
      <c r="AK1974" s="97"/>
      <c r="AL1974" s="97"/>
      <c r="AM1974" s="97"/>
      <c r="AN1974" s="97"/>
      <c r="AO1974" s="97"/>
      <c r="AP1974" s="97"/>
      <c r="AQ1974" s="97"/>
    </row>
    <row r="1975" spans="2:43" s="101" customFormat="1" ht="15" customHeight="1">
      <c r="B1975" s="104"/>
      <c r="C1975" s="104"/>
      <c r="D1975" s="104"/>
      <c r="E1975" s="104"/>
      <c r="F1975" s="104"/>
      <c r="G1975" s="104"/>
      <c r="H1975" s="104"/>
      <c r="I1975" s="104"/>
      <c r="J1975" s="104"/>
      <c r="K1975" s="104"/>
      <c r="L1975" s="104"/>
      <c r="R1975" s="105"/>
      <c r="S1975" s="105"/>
      <c r="T1975" s="105"/>
      <c r="U1975" s="105"/>
      <c r="V1975" s="105"/>
      <c r="W1975" s="105"/>
      <c r="AD1975" s="106"/>
      <c r="AE1975" s="97"/>
      <c r="AF1975" s="97"/>
      <c r="AG1975" s="97"/>
      <c r="AH1975" s="97"/>
      <c r="AI1975" s="97"/>
      <c r="AJ1975" s="97"/>
      <c r="AK1975" s="97"/>
      <c r="AL1975" s="97"/>
      <c r="AM1975" s="97"/>
      <c r="AN1975" s="97"/>
      <c r="AO1975" s="97"/>
      <c r="AP1975" s="97"/>
      <c r="AQ1975" s="97"/>
    </row>
    <row r="1976" spans="2:43" s="101" customFormat="1" ht="15" customHeight="1">
      <c r="B1976" s="104"/>
      <c r="C1976" s="104"/>
      <c r="D1976" s="104"/>
      <c r="E1976" s="104"/>
      <c r="F1976" s="104"/>
      <c r="G1976" s="104"/>
      <c r="H1976" s="104"/>
      <c r="I1976" s="104"/>
      <c r="J1976" s="104"/>
      <c r="K1976" s="104"/>
      <c r="L1976" s="104"/>
      <c r="R1976" s="105"/>
      <c r="S1976" s="105"/>
      <c r="T1976" s="105"/>
      <c r="U1976" s="105"/>
      <c r="V1976" s="105"/>
      <c r="W1976" s="105"/>
      <c r="AD1976" s="106"/>
      <c r="AE1976" s="97"/>
      <c r="AF1976" s="97"/>
      <c r="AG1976" s="97"/>
      <c r="AH1976" s="97"/>
      <c r="AI1976" s="97"/>
      <c r="AJ1976" s="97"/>
      <c r="AK1976" s="97"/>
      <c r="AL1976" s="97"/>
      <c r="AM1976" s="97"/>
      <c r="AN1976" s="97"/>
      <c r="AO1976" s="97"/>
      <c r="AP1976" s="97"/>
      <c r="AQ1976" s="97"/>
    </row>
    <row r="1977" spans="2:43" s="101" customFormat="1" ht="15" customHeight="1">
      <c r="B1977" s="104"/>
      <c r="C1977" s="104"/>
      <c r="D1977" s="104"/>
      <c r="E1977" s="104"/>
      <c r="F1977" s="104"/>
      <c r="G1977" s="104"/>
      <c r="H1977" s="104"/>
      <c r="I1977" s="104"/>
      <c r="J1977" s="104"/>
      <c r="K1977" s="104"/>
      <c r="L1977" s="104"/>
      <c r="R1977" s="105"/>
      <c r="S1977" s="105"/>
      <c r="T1977" s="105"/>
      <c r="U1977" s="105"/>
      <c r="V1977" s="105"/>
      <c r="W1977" s="105"/>
      <c r="AD1977" s="106"/>
      <c r="AE1977" s="97"/>
      <c r="AF1977" s="97"/>
      <c r="AG1977" s="97"/>
      <c r="AH1977" s="97"/>
      <c r="AI1977" s="97"/>
      <c r="AJ1977" s="97"/>
      <c r="AK1977" s="97"/>
      <c r="AL1977" s="97"/>
      <c r="AM1977" s="97"/>
      <c r="AN1977" s="97"/>
      <c r="AO1977" s="97"/>
      <c r="AP1977" s="97"/>
      <c r="AQ1977" s="97"/>
    </row>
    <row r="1978" spans="2:43" s="101" customFormat="1" ht="15" customHeight="1">
      <c r="B1978" s="104"/>
      <c r="C1978" s="104"/>
      <c r="D1978" s="104"/>
      <c r="E1978" s="104"/>
      <c r="F1978" s="104"/>
      <c r="G1978" s="104"/>
      <c r="H1978" s="104"/>
      <c r="I1978" s="104"/>
      <c r="J1978" s="104"/>
      <c r="K1978" s="104"/>
      <c r="L1978" s="104"/>
      <c r="R1978" s="105"/>
      <c r="S1978" s="105"/>
      <c r="T1978" s="105"/>
      <c r="U1978" s="105"/>
      <c r="V1978" s="105"/>
      <c r="W1978" s="105"/>
      <c r="AD1978" s="106"/>
      <c r="AE1978" s="97"/>
      <c r="AF1978" s="97"/>
      <c r="AG1978" s="97"/>
      <c r="AH1978" s="97"/>
      <c r="AI1978" s="97"/>
      <c r="AJ1978" s="97"/>
      <c r="AK1978" s="97"/>
      <c r="AL1978" s="97"/>
      <c r="AM1978" s="97"/>
      <c r="AN1978" s="97"/>
      <c r="AO1978" s="97"/>
      <c r="AP1978" s="97"/>
      <c r="AQ1978" s="97"/>
    </row>
    <row r="1979" spans="2:43" s="101" customFormat="1" ht="15" customHeight="1">
      <c r="B1979" s="104"/>
      <c r="C1979" s="104"/>
      <c r="D1979" s="104"/>
      <c r="E1979" s="104"/>
      <c r="F1979" s="104"/>
      <c r="G1979" s="104"/>
      <c r="H1979" s="104"/>
      <c r="I1979" s="104"/>
      <c r="J1979" s="104"/>
      <c r="K1979" s="104"/>
      <c r="L1979" s="104"/>
      <c r="R1979" s="105"/>
      <c r="S1979" s="105"/>
      <c r="T1979" s="105"/>
      <c r="U1979" s="105"/>
      <c r="V1979" s="105"/>
      <c r="W1979" s="105"/>
      <c r="AD1979" s="106"/>
      <c r="AE1979" s="97"/>
      <c r="AF1979" s="97"/>
      <c r="AG1979" s="97"/>
      <c r="AH1979" s="97"/>
      <c r="AI1979" s="97"/>
      <c r="AJ1979" s="97"/>
      <c r="AK1979" s="97"/>
      <c r="AL1979" s="97"/>
      <c r="AM1979" s="97"/>
      <c r="AN1979" s="97"/>
      <c r="AO1979" s="97"/>
      <c r="AP1979" s="97"/>
      <c r="AQ1979" s="97"/>
    </row>
    <row r="1980" spans="2:43" s="101" customFormat="1" ht="15" customHeight="1">
      <c r="B1980" s="104"/>
      <c r="C1980" s="104"/>
      <c r="D1980" s="104"/>
      <c r="E1980" s="104"/>
      <c r="F1980" s="104"/>
      <c r="G1980" s="104"/>
      <c r="H1980" s="104"/>
      <c r="I1980" s="104"/>
      <c r="J1980" s="104"/>
      <c r="K1980" s="104"/>
      <c r="L1980" s="104"/>
      <c r="R1980" s="105"/>
      <c r="S1980" s="105"/>
      <c r="T1980" s="105"/>
      <c r="U1980" s="105"/>
      <c r="V1980" s="105"/>
      <c r="W1980" s="105"/>
      <c r="AD1980" s="106"/>
      <c r="AE1980" s="97"/>
      <c r="AF1980" s="97"/>
      <c r="AG1980" s="97"/>
      <c r="AH1980" s="97"/>
      <c r="AI1980" s="97"/>
      <c r="AJ1980" s="97"/>
      <c r="AK1980" s="97"/>
      <c r="AL1980" s="97"/>
      <c r="AM1980" s="97"/>
      <c r="AN1980" s="97"/>
      <c r="AO1980" s="97"/>
      <c r="AP1980" s="97"/>
      <c r="AQ1980" s="97"/>
    </row>
    <row r="1981" spans="2:43" s="101" customFormat="1" ht="15" customHeight="1">
      <c r="B1981" s="104"/>
      <c r="C1981" s="104"/>
      <c r="D1981" s="104"/>
      <c r="E1981" s="104"/>
      <c r="F1981" s="104"/>
      <c r="G1981" s="104"/>
      <c r="H1981" s="104"/>
      <c r="I1981" s="104"/>
      <c r="J1981" s="104"/>
      <c r="K1981" s="104"/>
      <c r="L1981" s="104"/>
      <c r="R1981" s="105"/>
      <c r="S1981" s="105"/>
      <c r="T1981" s="105"/>
      <c r="U1981" s="105"/>
      <c r="V1981" s="105"/>
      <c r="W1981" s="105"/>
      <c r="AD1981" s="106"/>
      <c r="AE1981" s="97"/>
      <c r="AF1981" s="97"/>
      <c r="AG1981" s="97"/>
      <c r="AH1981" s="97"/>
      <c r="AI1981" s="97"/>
      <c r="AJ1981" s="97"/>
      <c r="AK1981" s="97"/>
      <c r="AL1981" s="97"/>
      <c r="AM1981" s="97"/>
      <c r="AN1981" s="97"/>
      <c r="AO1981" s="97"/>
      <c r="AP1981" s="97"/>
      <c r="AQ1981" s="97"/>
    </row>
    <row r="1982" spans="2:43" s="101" customFormat="1" ht="15" customHeight="1">
      <c r="B1982" s="104"/>
      <c r="C1982" s="104"/>
      <c r="D1982" s="104"/>
      <c r="E1982" s="104"/>
      <c r="F1982" s="104"/>
      <c r="G1982" s="104"/>
      <c r="H1982" s="104"/>
      <c r="I1982" s="104"/>
      <c r="J1982" s="104"/>
      <c r="K1982" s="104"/>
      <c r="L1982" s="104"/>
      <c r="R1982" s="105"/>
      <c r="S1982" s="105"/>
      <c r="T1982" s="105"/>
      <c r="U1982" s="105"/>
      <c r="V1982" s="105"/>
      <c r="W1982" s="105"/>
      <c r="AD1982" s="106"/>
      <c r="AE1982" s="97"/>
      <c r="AF1982" s="97"/>
      <c r="AG1982" s="97"/>
      <c r="AH1982" s="97"/>
      <c r="AI1982" s="97"/>
      <c r="AJ1982" s="97"/>
      <c r="AK1982" s="97"/>
      <c r="AL1982" s="97"/>
      <c r="AM1982" s="97"/>
      <c r="AN1982" s="97"/>
      <c r="AO1982" s="97"/>
      <c r="AP1982" s="97"/>
      <c r="AQ1982" s="97"/>
    </row>
    <row r="1983" spans="2:43" s="101" customFormat="1" ht="15" customHeight="1">
      <c r="B1983" s="104"/>
      <c r="C1983" s="104"/>
      <c r="D1983" s="104"/>
      <c r="E1983" s="104"/>
      <c r="F1983" s="104"/>
      <c r="G1983" s="104"/>
      <c r="H1983" s="104"/>
      <c r="I1983" s="104"/>
      <c r="J1983" s="104"/>
      <c r="K1983" s="104"/>
      <c r="L1983" s="104"/>
      <c r="R1983" s="105"/>
      <c r="S1983" s="105"/>
      <c r="T1983" s="105"/>
      <c r="U1983" s="105"/>
      <c r="V1983" s="105"/>
      <c r="W1983" s="105"/>
      <c r="AD1983" s="106"/>
      <c r="AE1983" s="97"/>
      <c r="AF1983" s="97"/>
      <c r="AG1983" s="97"/>
      <c r="AH1983" s="97"/>
      <c r="AI1983" s="97"/>
      <c r="AJ1983" s="97"/>
      <c r="AK1983" s="97"/>
      <c r="AL1983" s="97"/>
      <c r="AM1983" s="97"/>
      <c r="AN1983" s="97"/>
      <c r="AO1983" s="97"/>
      <c r="AP1983" s="97"/>
      <c r="AQ1983" s="97"/>
    </row>
    <row r="1984" spans="2:43" s="101" customFormat="1" ht="15" customHeight="1">
      <c r="B1984" s="104"/>
      <c r="C1984" s="104"/>
      <c r="D1984" s="104"/>
      <c r="E1984" s="104"/>
      <c r="F1984" s="104"/>
      <c r="G1984" s="104"/>
      <c r="H1984" s="104"/>
      <c r="I1984" s="104"/>
      <c r="J1984" s="104"/>
      <c r="K1984" s="104"/>
      <c r="L1984" s="104"/>
      <c r="R1984" s="105"/>
      <c r="S1984" s="105"/>
      <c r="T1984" s="105"/>
      <c r="U1984" s="105"/>
      <c r="V1984" s="105"/>
      <c r="W1984" s="105"/>
      <c r="AD1984" s="106"/>
      <c r="AE1984" s="97"/>
      <c r="AF1984" s="97"/>
      <c r="AG1984" s="97"/>
      <c r="AH1984" s="97"/>
      <c r="AI1984" s="97"/>
      <c r="AJ1984" s="97"/>
      <c r="AK1984" s="97"/>
      <c r="AL1984" s="97"/>
      <c r="AM1984" s="97"/>
      <c r="AN1984" s="97"/>
      <c r="AO1984" s="97"/>
      <c r="AP1984" s="97"/>
      <c r="AQ1984" s="97"/>
    </row>
    <row r="1985" spans="2:43" s="101" customFormat="1" ht="15" customHeight="1">
      <c r="B1985" s="104"/>
      <c r="C1985" s="104"/>
      <c r="D1985" s="104"/>
      <c r="E1985" s="104"/>
      <c r="F1985" s="104"/>
      <c r="G1985" s="104"/>
      <c r="H1985" s="104"/>
      <c r="I1985" s="104"/>
      <c r="J1985" s="104"/>
      <c r="K1985" s="104"/>
      <c r="L1985" s="104"/>
      <c r="R1985" s="105"/>
      <c r="S1985" s="105"/>
      <c r="T1985" s="105"/>
      <c r="U1985" s="105"/>
      <c r="V1985" s="105"/>
      <c r="W1985" s="105"/>
      <c r="AD1985" s="106"/>
      <c r="AE1985" s="97"/>
      <c r="AF1985" s="97"/>
      <c r="AG1985" s="97"/>
      <c r="AH1985" s="97"/>
      <c r="AI1985" s="97"/>
      <c r="AJ1985" s="97"/>
      <c r="AK1985" s="97"/>
      <c r="AL1985" s="97"/>
      <c r="AM1985" s="97"/>
      <c r="AN1985" s="97"/>
      <c r="AO1985" s="97"/>
      <c r="AP1985" s="97"/>
      <c r="AQ1985" s="97"/>
    </row>
    <row r="1986" spans="2:43" s="101" customFormat="1" ht="15" customHeight="1">
      <c r="B1986" s="104"/>
      <c r="C1986" s="104"/>
      <c r="D1986" s="104"/>
      <c r="E1986" s="104"/>
      <c r="F1986" s="104"/>
      <c r="G1986" s="104"/>
      <c r="H1986" s="104"/>
      <c r="I1986" s="104"/>
      <c r="J1986" s="104"/>
      <c r="K1986" s="104"/>
      <c r="L1986" s="104"/>
      <c r="R1986" s="105"/>
      <c r="S1986" s="105"/>
      <c r="T1986" s="105"/>
      <c r="U1986" s="105"/>
      <c r="V1986" s="105"/>
      <c r="W1986" s="105"/>
      <c r="AD1986" s="106"/>
      <c r="AE1986" s="97"/>
      <c r="AF1986" s="97"/>
      <c r="AG1986" s="97"/>
      <c r="AH1986" s="97"/>
      <c r="AI1986" s="97"/>
      <c r="AJ1986" s="97"/>
      <c r="AK1986" s="97"/>
      <c r="AL1986" s="97"/>
      <c r="AM1986" s="97"/>
      <c r="AN1986" s="97"/>
      <c r="AO1986" s="97"/>
      <c r="AP1986" s="97"/>
      <c r="AQ1986" s="97"/>
    </row>
    <row r="1987" spans="2:43" s="101" customFormat="1" ht="15" customHeight="1">
      <c r="B1987" s="104"/>
      <c r="C1987" s="104"/>
      <c r="D1987" s="104"/>
      <c r="E1987" s="104"/>
      <c r="F1987" s="104"/>
      <c r="G1987" s="104"/>
      <c r="H1987" s="104"/>
      <c r="I1987" s="104"/>
      <c r="J1987" s="104"/>
      <c r="K1987" s="104"/>
      <c r="L1987" s="104"/>
      <c r="R1987" s="105"/>
      <c r="S1987" s="105"/>
      <c r="T1987" s="105"/>
      <c r="U1987" s="105"/>
      <c r="V1987" s="105"/>
      <c r="W1987" s="105"/>
      <c r="AD1987" s="106"/>
      <c r="AE1987" s="97"/>
      <c r="AF1987" s="97"/>
      <c r="AG1987" s="97"/>
      <c r="AH1987" s="97"/>
      <c r="AI1987" s="97"/>
      <c r="AJ1987" s="97"/>
      <c r="AK1987" s="97"/>
      <c r="AL1987" s="97"/>
      <c r="AM1987" s="97"/>
      <c r="AN1987" s="97"/>
      <c r="AO1987" s="97"/>
      <c r="AP1987" s="97"/>
      <c r="AQ1987" s="97"/>
    </row>
    <row r="1988" spans="2:43" s="101" customFormat="1" ht="15" customHeight="1">
      <c r="B1988" s="104"/>
      <c r="C1988" s="104"/>
      <c r="D1988" s="104"/>
      <c r="E1988" s="104"/>
      <c r="F1988" s="104"/>
      <c r="G1988" s="104"/>
      <c r="H1988" s="104"/>
      <c r="I1988" s="104"/>
      <c r="J1988" s="104"/>
      <c r="K1988" s="104"/>
      <c r="L1988" s="104"/>
      <c r="R1988" s="105"/>
      <c r="S1988" s="105"/>
      <c r="T1988" s="105"/>
      <c r="U1988" s="105"/>
      <c r="V1988" s="105"/>
      <c r="W1988" s="105"/>
      <c r="AD1988" s="106"/>
      <c r="AE1988" s="97"/>
      <c r="AF1988" s="97"/>
      <c r="AG1988" s="97"/>
      <c r="AH1988" s="97"/>
      <c r="AI1988" s="97"/>
      <c r="AJ1988" s="97"/>
      <c r="AK1988" s="97"/>
      <c r="AL1988" s="97"/>
      <c r="AM1988" s="97"/>
      <c r="AN1988" s="97"/>
      <c r="AO1988" s="97"/>
      <c r="AP1988" s="97"/>
      <c r="AQ1988" s="97"/>
    </row>
    <row r="1989" spans="2:43" s="101" customFormat="1" ht="15" customHeight="1">
      <c r="B1989" s="104"/>
      <c r="C1989" s="104"/>
      <c r="D1989" s="104"/>
      <c r="E1989" s="104"/>
      <c r="F1989" s="104"/>
      <c r="G1989" s="104"/>
      <c r="H1989" s="104"/>
      <c r="I1989" s="104"/>
      <c r="J1989" s="104"/>
      <c r="K1989" s="104"/>
      <c r="L1989" s="104"/>
      <c r="R1989" s="105"/>
      <c r="S1989" s="105"/>
      <c r="T1989" s="105"/>
      <c r="U1989" s="105"/>
      <c r="V1989" s="105"/>
      <c r="W1989" s="105"/>
      <c r="AD1989" s="106"/>
      <c r="AE1989" s="97"/>
      <c r="AF1989" s="97"/>
      <c r="AG1989" s="97"/>
      <c r="AH1989" s="97"/>
      <c r="AI1989" s="97"/>
      <c r="AJ1989" s="97"/>
      <c r="AK1989" s="97"/>
      <c r="AL1989" s="97"/>
      <c r="AM1989" s="97"/>
      <c r="AN1989" s="97"/>
      <c r="AO1989" s="97"/>
      <c r="AP1989" s="97"/>
      <c r="AQ1989" s="97"/>
    </row>
    <row r="1990" spans="2:43" s="101" customFormat="1" ht="15" customHeight="1">
      <c r="B1990" s="104"/>
      <c r="C1990" s="104"/>
      <c r="D1990" s="104"/>
      <c r="E1990" s="104"/>
      <c r="F1990" s="104"/>
      <c r="G1990" s="104"/>
      <c r="H1990" s="104"/>
      <c r="I1990" s="104"/>
      <c r="J1990" s="104"/>
      <c r="K1990" s="104"/>
      <c r="L1990" s="104"/>
      <c r="R1990" s="105"/>
      <c r="S1990" s="105"/>
      <c r="T1990" s="105"/>
      <c r="U1990" s="105"/>
      <c r="V1990" s="105"/>
      <c r="W1990" s="105"/>
      <c r="AD1990" s="106"/>
      <c r="AE1990" s="97"/>
      <c r="AF1990" s="97"/>
      <c r="AG1990" s="97"/>
      <c r="AH1990" s="97"/>
      <c r="AI1990" s="97"/>
      <c r="AJ1990" s="97"/>
      <c r="AK1990" s="97"/>
      <c r="AL1990" s="97"/>
      <c r="AM1990" s="97"/>
      <c r="AN1990" s="97"/>
      <c r="AO1990" s="97"/>
      <c r="AP1990" s="97"/>
      <c r="AQ1990" s="97"/>
    </row>
    <row r="1991" spans="2:43" s="101" customFormat="1" ht="15" customHeight="1">
      <c r="B1991" s="104"/>
      <c r="C1991" s="104"/>
      <c r="D1991" s="104"/>
      <c r="E1991" s="104"/>
      <c r="F1991" s="104"/>
      <c r="G1991" s="104"/>
      <c r="H1991" s="104"/>
      <c r="I1991" s="104"/>
      <c r="J1991" s="104"/>
      <c r="K1991" s="104"/>
      <c r="L1991" s="104"/>
      <c r="R1991" s="105"/>
      <c r="S1991" s="105"/>
      <c r="T1991" s="105"/>
      <c r="U1991" s="105"/>
      <c r="V1991" s="105"/>
      <c r="W1991" s="105"/>
      <c r="AD1991" s="106"/>
      <c r="AE1991" s="97"/>
      <c r="AF1991" s="97"/>
      <c r="AG1991" s="97"/>
      <c r="AH1991" s="97"/>
      <c r="AI1991" s="97"/>
      <c r="AJ1991" s="97"/>
      <c r="AK1991" s="97"/>
      <c r="AL1991" s="97"/>
      <c r="AM1991" s="97"/>
      <c r="AN1991" s="97"/>
      <c r="AO1991" s="97"/>
      <c r="AP1991" s="97"/>
      <c r="AQ1991" s="97"/>
    </row>
    <row r="1992" spans="2:43" s="101" customFormat="1" ht="15" customHeight="1">
      <c r="B1992" s="104"/>
      <c r="C1992" s="104"/>
      <c r="D1992" s="104"/>
      <c r="E1992" s="104"/>
      <c r="F1992" s="104"/>
      <c r="G1992" s="104"/>
      <c r="H1992" s="104"/>
      <c r="I1992" s="104"/>
      <c r="J1992" s="104"/>
      <c r="K1992" s="104"/>
      <c r="L1992" s="104"/>
      <c r="R1992" s="105"/>
      <c r="S1992" s="105"/>
      <c r="T1992" s="105"/>
      <c r="U1992" s="105"/>
      <c r="V1992" s="105"/>
      <c r="W1992" s="105"/>
      <c r="AD1992" s="106"/>
      <c r="AE1992" s="97"/>
      <c r="AF1992" s="97"/>
      <c r="AG1992" s="97"/>
      <c r="AH1992" s="97"/>
      <c r="AI1992" s="97"/>
      <c r="AJ1992" s="97"/>
      <c r="AK1992" s="97"/>
      <c r="AL1992" s="97"/>
      <c r="AM1992" s="97"/>
      <c r="AN1992" s="97"/>
      <c r="AO1992" s="97"/>
      <c r="AP1992" s="97"/>
      <c r="AQ1992" s="97"/>
    </row>
    <row r="1993" spans="2:43" s="101" customFormat="1" ht="15" customHeight="1">
      <c r="B1993" s="104"/>
      <c r="C1993" s="104"/>
      <c r="D1993" s="104"/>
      <c r="E1993" s="104"/>
      <c r="F1993" s="104"/>
      <c r="G1993" s="104"/>
      <c r="H1993" s="104"/>
      <c r="I1993" s="104"/>
      <c r="J1993" s="104"/>
      <c r="K1993" s="104"/>
      <c r="L1993" s="104"/>
      <c r="R1993" s="105"/>
      <c r="S1993" s="105"/>
      <c r="T1993" s="105"/>
      <c r="U1993" s="105"/>
      <c r="V1993" s="105"/>
      <c r="W1993" s="105"/>
      <c r="AD1993" s="106"/>
      <c r="AE1993" s="97"/>
      <c r="AF1993" s="97"/>
      <c r="AG1993" s="97"/>
      <c r="AH1993" s="97"/>
      <c r="AI1993" s="97"/>
      <c r="AJ1993" s="97"/>
      <c r="AK1993" s="97"/>
      <c r="AL1993" s="97"/>
      <c r="AM1993" s="97"/>
      <c r="AN1993" s="97"/>
      <c r="AO1993" s="97"/>
      <c r="AP1993" s="97"/>
      <c r="AQ1993" s="97"/>
    </row>
    <row r="1994" spans="2:43" s="101" customFormat="1" ht="15" customHeight="1">
      <c r="B1994" s="104"/>
      <c r="C1994" s="104"/>
      <c r="D1994" s="104"/>
      <c r="E1994" s="104"/>
      <c r="F1994" s="104"/>
      <c r="G1994" s="104"/>
      <c r="H1994" s="104"/>
      <c r="I1994" s="104"/>
      <c r="J1994" s="104"/>
      <c r="K1994" s="104"/>
      <c r="L1994" s="104"/>
      <c r="R1994" s="105"/>
      <c r="S1994" s="105"/>
      <c r="T1994" s="105"/>
      <c r="U1994" s="105"/>
      <c r="V1994" s="105"/>
      <c r="W1994" s="105"/>
      <c r="AD1994" s="106"/>
      <c r="AE1994" s="97"/>
      <c r="AF1994" s="97"/>
      <c r="AG1994" s="97"/>
      <c r="AH1994" s="97"/>
      <c r="AI1994" s="97"/>
      <c r="AJ1994" s="97"/>
      <c r="AK1994" s="97"/>
      <c r="AL1994" s="97"/>
      <c r="AM1994" s="97"/>
      <c r="AN1994" s="97"/>
      <c r="AO1994" s="97"/>
      <c r="AP1994" s="97"/>
      <c r="AQ1994" s="97"/>
    </row>
    <row r="1995" spans="2:43" s="101" customFormat="1" ht="15" customHeight="1">
      <c r="B1995" s="104"/>
      <c r="C1995" s="104"/>
      <c r="D1995" s="104"/>
      <c r="E1995" s="104"/>
      <c r="F1995" s="104"/>
      <c r="G1995" s="104"/>
      <c r="H1995" s="104"/>
      <c r="I1995" s="104"/>
      <c r="J1995" s="104"/>
      <c r="K1995" s="104"/>
      <c r="L1995" s="104"/>
      <c r="R1995" s="105"/>
      <c r="S1995" s="105"/>
      <c r="T1995" s="105"/>
      <c r="U1995" s="105"/>
      <c r="V1995" s="105"/>
      <c r="W1995" s="105"/>
      <c r="AD1995" s="106"/>
      <c r="AE1995" s="97"/>
      <c r="AF1995" s="97"/>
      <c r="AG1995" s="97"/>
      <c r="AH1995" s="97"/>
      <c r="AI1995" s="97"/>
      <c r="AJ1995" s="97"/>
      <c r="AK1995" s="97"/>
      <c r="AL1995" s="97"/>
      <c r="AM1995" s="97"/>
      <c r="AN1995" s="97"/>
      <c r="AO1995" s="97"/>
      <c r="AP1995" s="97"/>
      <c r="AQ1995" s="97"/>
    </row>
    <row r="1996" spans="2:43" s="101" customFormat="1" ht="15" customHeight="1">
      <c r="B1996" s="104"/>
      <c r="C1996" s="104"/>
      <c r="D1996" s="104"/>
      <c r="E1996" s="104"/>
      <c r="F1996" s="104"/>
      <c r="G1996" s="104"/>
      <c r="H1996" s="104"/>
      <c r="I1996" s="104"/>
      <c r="J1996" s="104"/>
      <c r="K1996" s="104"/>
      <c r="L1996" s="104"/>
      <c r="R1996" s="105"/>
      <c r="S1996" s="105"/>
      <c r="T1996" s="105"/>
      <c r="U1996" s="105"/>
      <c r="V1996" s="105"/>
      <c r="W1996" s="105"/>
      <c r="AD1996" s="106"/>
      <c r="AE1996" s="97"/>
      <c r="AF1996" s="97"/>
      <c r="AG1996" s="97"/>
      <c r="AH1996" s="97"/>
      <c r="AI1996" s="97"/>
      <c r="AJ1996" s="97"/>
      <c r="AK1996" s="97"/>
      <c r="AL1996" s="97"/>
      <c r="AM1996" s="97"/>
      <c r="AN1996" s="97"/>
      <c r="AO1996" s="97"/>
      <c r="AP1996" s="97"/>
      <c r="AQ1996" s="97"/>
    </row>
    <row r="1997" spans="2:43" s="101" customFormat="1" ht="15" customHeight="1">
      <c r="B1997" s="104"/>
      <c r="C1997" s="104"/>
      <c r="D1997" s="104"/>
      <c r="E1997" s="104"/>
      <c r="F1997" s="104"/>
      <c r="G1997" s="104"/>
      <c r="H1997" s="104"/>
      <c r="I1997" s="104"/>
      <c r="J1997" s="104"/>
      <c r="K1997" s="104"/>
      <c r="L1997" s="104"/>
      <c r="R1997" s="105"/>
      <c r="S1997" s="105"/>
      <c r="T1997" s="105"/>
      <c r="U1997" s="105"/>
      <c r="V1997" s="105"/>
      <c r="W1997" s="105"/>
      <c r="AD1997" s="106"/>
      <c r="AE1997" s="97"/>
      <c r="AF1997" s="97"/>
      <c r="AG1997" s="97"/>
      <c r="AH1997" s="97"/>
      <c r="AI1997" s="97"/>
      <c r="AJ1997" s="97"/>
      <c r="AK1997" s="97"/>
      <c r="AL1997" s="97"/>
      <c r="AM1997" s="97"/>
      <c r="AN1997" s="97"/>
      <c r="AO1997" s="97"/>
      <c r="AP1997" s="97"/>
      <c r="AQ1997" s="97"/>
    </row>
    <row r="1998" spans="2:43" s="101" customFormat="1" ht="15" customHeight="1">
      <c r="B1998" s="104"/>
      <c r="C1998" s="104"/>
      <c r="D1998" s="104"/>
      <c r="E1998" s="104"/>
      <c r="F1998" s="104"/>
      <c r="G1998" s="104"/>
      <c r="H1998" s="104"/>
      <c r="I1998" s="104"/>
      <c r="J1998" s="104"/>
      <c r="K1998" s="104"/>
      <c r="L1998" s="104"/>
      <c r="R1998" s="105"/>
      <c r="S1998" s="105"/>
      <c r="T1998" s="105"/>
      <c r="U1998" s="105"/>
      <c r="V1998" s="105"/>
      <c r="W1998" s="105"/>
      <c r="AD1998" s="106"/>
      <c r="AE1998" s="97"/>
      <c r="AF1998" s="97"/>
      <c r="AG1998" s="97"/>
      <c r="AH1998" s="97"/>
      <c r="AI1998" s="97"/>
      <c r="AJ1998" s="97"/>
      <c r="AK1998" s="97"/>
      <c r="AL1998" s="97"/>
      <c r="AM1998" s="97"/>
      <c r="AN1998" s="97"/>
      <c r="AO1998" s="97"/>
      <c r="AP1998" s="97"/>
      <c r="AQ1998" s="97"/>
    </row>
    <row r="1999" spans="2:43" s="101" customFormat="1" ht="15" customHeight="1">
      <c r="B1999" s="104"/>
      <c r="C1999" s="104"/>
      <c r="D1999" s="104"/>
      <c r="E1999" s="104"/>
      <c r="F1999" s="104"/>
      <c r="G1999" s="104"/>
      <c r="H1999" s="104"/>
      <c r="I1999" s="104"/>
      <c r="J1999" s="104"/>
      <c r="K1999" s="104"/>
      <c r="L1999" s="104"/>
      <c r="R1999" s="105"/>
      <c r="S1999" s="105"/>
      <c r="T1999" s="105"/>
      <c r="U1999" s="105"/>
      <c r="V1999" s="105"/>
      <c r="W1999" s="105"/>
      <c r="AD1999" s="106"/>
      <c r="AE1999" s="97"/>
      <c r="AF1999" s="97"/>
      <c r="AG1999" s="97"/>
      <c r="AH1999" s="97"/>
      <c r="AI1999" s="97"/>
      <c r="AJ1999" s="97"/>
      <c r="AK1999" s="97"/>
      <c r="AL1999" s="97"/>
      <c r="AM1999" s="97"/>
      <c r="AN1999" s="97"/>
      <c r="AO1999" s="97"/>
      <c r="AP1999" s="97"/>
      <c r="AQ1999" s="97"/>
    </row>
    <row r="2000" spans="2:43" s="101" customFormat="1" ht="15" customHeight="1">
      <c r="B2000" s="104"/>
      <c r="C2000" s="104"/>
      <c r="D2000" s="104"/>
      <c r="E2000" s="104"/>
      <c r="F2000" s="104"/>
      <c r="G2000" s="104"/>
      <c r="H2000" s="104"/>
      <c r="I2000" s="104"/>
      <c r="J2000" s="104"/>
      <c r="K2000" s="104"/>
      <c r="L2000" s="104"/>
      <c r="R2000" s="105"/>
      <c r="S2000" s="105"/>
      <c r="T2000" s="105"/>
      <c r="U2000" s="105"/>
      <c r="V2000" s="105"/>
      <c r="W2000" s="105"/>
      <c r="AD2000" s="106"/>
      <c r="AE2000" s="97"/>
      <c r="AF2000" s="97"/>
      <c r="AG2000" s="97"/>
      <c r="AH2000" s="97"/>
      <c r="AI2000" s="97"/>
      <c r="AJ2000" s="97"/>
      <c r="AK2000" s="97"/>
      <c r="AL2000" s="97"/>
      <c r="AM2000" s="97"/>
      <c r="AN2000" s="97"/>
      <c r="AO2000" s="97"/>
      <c r="AP2000" s="97"/>
      <c r="AQ2000" s="97"/>
    </row>
    <row r="2001" spans="2:43" s="101" customFormat="1" ht="15" customHeight="1">
      <c r="B2001" s="104"/>
      <c r="C2001" s="104"/>
      <c r="D2001" s="104"/>
      <c r="E2001" s="104"/>
      <c r="F2001" s="104"/>
      <c r="G2001" s="104"/>
      <c r="H2001" s="104"/>
      <c r="I2001" s="104"/>
      <c r="J2001" s="104"/>
      <c r="K2001" s="104"/>
      <c r="L2001" s="104"/>
      <c r="R2001" s="105"/>
      <c r="S2001" s="105"/>
      <c r="T2001" s="105"/>
      <c r="U2001" s="105"/>
      <c r="V2001" s="105"/>
      <c r="W2001" s="105"/>
      <c r="AD2001" s="106"/>
      <c r="AE2001" s="97"/>
      <c r="AF2001" s="97"/>
      <c r="AG2001" s="97"/>
      <c r="AH2001" s="97"/>
      <c r="AI2001" s="97"/>
      <c r="AJ2001" s="97"/>
      <c r="AK2001" s="97"/>
      <c r="AL2001" s="97"/>
      <c r="AM2001" s="97"/>
      <c r="AN2001" s="97"/>
      <c r="AO2001" s="97"/>
      <c r="AP2001" s="97"/>
      <c r="AQ2001" s="97"/>
    </row>
    <row r="2002" spans="2:43" s="101" customFormat="1" ht="15" customHeight="1">
      <c r="B2002" s="104"/>
      <c r="C2002" s="104"/>
      <c r="D2002" s="104"/>
      <c r="E2002" s="104"/>
      <c r="F2002" s="104"/>
      <c r="G2002" s="104"/>
      <c r="H2002" s="104"/>
      <c r="I2002" s="104"/>
      <c r="J2002" s="104"/>
      <c r="K2002" s="104"/>
      <c r="L2002" s="104"/>
      <c r="R2002" s="105"/>
      <c r="S2002" s="105"/>
      <c r="T2002" s="105"/>
      <c r="U2002" s="105"/>
      <c r="V2002" s="105"/>
      <c r="W2002" s="105"/>
      <c r="AD2002" s="106"/>
      <c r="AE2002" s="97"/>
      <c r="AF2002" s="97"/>
      <c r="AG2002" s="97"/>
      <c r="AH2002" s="97"/>
      <c r="AI2002" s="97"/>
      <c r="AJ2002" s="97"/>
      <c r="AK2002" s="97"/>
      <c r="AL2002" s="97"/>
      <c r="AM2002" s="97"/>
      <c r="AN2002" s="97"/>
      <c r="AO2002" s="97"/>
      <c r="AP2002" s="97"/>
      <c r="AQ2002" s="97"/>
    </row>
    <row r="2003" spans="2:43" s="101" customFormat="1" ht="15" customHeight="1">
      <c r="B2003" s="104"/>
      <c r="C2003" s="104"/>
      <c r="D2003" s="104"/>
      <c r="E2003" s="104"/>
      <c r="F2003" s="104"/>
      <c r="G2003" s="104"/>
      <c r="H2003" s="104"/>
      <c r="I2003" s="104"/>
      <c r="J2003" s="104"/>
      <c r="K2003" s="104"/>
      <c r="L2003" s="104"/>
      <c r="R2003" s="105"/>
      <c r="S2003" s="105"/>
      <c r="T2003" s="105"/>
      <c r="U2003" s="105"/>
      <c r="V2003" s="105"/>
      <c r="W2003" s="105"/>
      <c r="AD2003" s="106"/>
      <c r="AE2003" s="97"/>
      <c r="AF2003" s="97"/>
      <c r="AG2003" s="97"/>
      <c r="AH2003" s="97"/>
      <c r="AI2003" s="97"/>
      <c r="AJ2003" s="97"/>
      <c r="AK2003" s="97"/>
      <c r="AL2003" s="97"/>
      <c r="AM2003" s="97"/>
      <c r="AN2003" s="97"/>
      <c r="AO2003" s="97"/>
      <c r="AP2003" s="97"/>
      <c r="AQ2003" s="97"/>
    </row>
    <row r="2004" spans="2:43" s="101" customFormat="1" ht="15" customHeight="1">
      <c r="B2004" s="104"/>
      <c r="C2004" s="104"/>
      <c r="D2004" s="104"/>
      <c r="E2004" s="104"/>
      <c r="F2004" s="104"/>
      <c r="G2004" s="104"/>
      <c r="H2004" s="104"/>
      <c r="I2004" s="104"/>
      <c r="J2004" s="104"/>
      <c r="K2004" s="104"/>
      <c r="L2004" s="104"/>
      <c r="R2004" s="105"/>
      <c r="S2004" s="105"/>
      <c r="T2004" s="105"/>
      <c r="U2004" s="105"/>
      <c r="V2004" s="105"/>
      <c r="W2004" s="105"/>
      <c r="AD2004" s="106"/>
      <c r="AE2004" s="97"/>
      <c r="AF2004" s="97"/>
      <c r="AG2004" s="97"/>
      <c r="AH2004" s="97"/>
      <c r="AI2004" s="97"/>
      <c r="AJ2004" s="97"/>
      <c r="AK2004" s="97"/>
      <c r="AL2004" s="97"/>
      <c r="AM2004" s="97"/>
      <c r="AN2004" s="97"/>
      <c r="AO2004" s="97"/>
      <c r="AP2004" s="97"/>
      <c r="AQ2004" s="97"/>
    </row>
    <row r="2005" spans="2:43" s="101" customFormat="1" ht="15" customHeight="1">
      <c r="B2005" s="104"/>
      <c r="C2005" s="104"/>
      <c r="D2005" s="104"/>
      <c r="E2005" s="104"/>
      <c r="F2005" s="104"/>
      <c r="G2005" s="104"/>
      <c r="H2005" s="104"/>
      <c r="I2005" s="104"/>
      <c r="J2005" s="104"/>
      <c r="K2005" s="104"/>
      <c r="L2005" s="104"/>
      <c r="R2005" s="105"/>
      <c r="S2005" s="105"/>
      <c r="T2005" s="105"/>
      <c r="U2005" s="105"/>
      <c r="V2005" s="105"/>
      <c r="W2005" s="105"/>
      <c r="AD2005" s="106"/>
      <c r="AE2005" s="97"/>
      <c r="AF2005" s="97"/>
      <c r="AG2005" s="97"/>
      <c r="AH2005" s="97"/>
      <c r="AI2005" s="97"/>
      <c r="AJ2005" s="97"/>
      <c r="AK2005" s="97"/>
      <c r="AL2005" s="97"/>
      <c r="AM2005" s="97"/>
      <c r="AN2005" s="97"/>
      <c r="AO2005" s="97"/>
      <c r="AP2005" s="97"/>
      <c r="AQ2005" s="97"/>
    </row>
    <row r="2006" spans="2:43" s="101" customFormat="1" ht="15" customHeight="1">
      <c r="B2006" s="104"/>
      <c r="C2006" s="104"/>
      <c r="D2006" s="104"/>
      <c r="E2006" s="104"/>
      <c r="F2006" s="104"/>
      <c r="G2006" s="104"/>
      <c r="H2006" s="104"/>
      <c r="I2006" s="104"/>
      <c r="J2006" s="104"/>
      <c r="K2006" s="104"/>
      <c r="L2006" s="104"/>
      <c r="R2006" s="105"/>
      <c r="S2006" s="105"/>
      <c r="T2006" s="105"/>
      <c r="U2006" s="105"/>
      <c r="V2006" s="105"/>
      <c r="W2006" s="105"/>
      <c r="AD2006" s="106"/>
      <c r="AE2006" s="97"/>
      <c r="AF2006" s="97"/>
      <c r="AG2006" s="97"/>
      <c r="AH2006" s="97"/>
      <c r="AI2006" s="97"/>
      <c r="AJ2006" s="97"/>
      <c r="AK2006" s="97"/>
      <c r="AL2006" s="97"/>
      <c r="AM2006" s="97"/>
      <c r="AN2006" s="97"/>
      <c r="AO2006" s="97"/>
      <c r="AP2006" s="97"/>
      <c r="AQ2006" s="97"/>
    </row>
    <row r="2007" spans="2:43" s="101" customFormat="1" ht="15" customHeight="1">
      <c r="B2007" s="104"/>
      <c r="C2007" s="104"/>
      <c r="D2007" s="104"/>
      <c r="E2007" s="104"/>
      <c r="F2007" s="104"/>
      <c r="G2007" s="104"/>
      <c r="H2007" s="104"/>
      <c r="I2007" s="104"/>
      <c r="J2007" s="104"/>
      <c r="K2007" s="104"/>
      <c r="L2007" s="104"/>
      <c r="R2007" s="105"/>
      <c r="S2007" s="105"/>
      <c r="T2007" s="105"/>
      <c r="U2007" s="105"/>
      <c r="V2007" s="105"/>
      <c r="W2007" s="105"/>
      <c r="AD2007" s="106"/>
      <c r="AE2007" s="97"/>
      <c r="AF2007" s="97"/>
      <c r="AG2007" s="97"/>
      <c r="AH2007" s="97"/>
      <c r="AI2007" s="97"/>
      <c r="AJ2007" s="97"/>
      <c r="AK2007" s="97"/>
      <c r="AL2007" s="97"/>
      <c r="AM2007" s="97"/>
      <c r="AN2007" s="97"/>
      <c r="AO2007" s="97"/>
      <c r="AP2007" s="97"/>
      <c r="AQ2007" s="97"/>
    </row>
    <row r="2008" spans="2:43" s="101" customFormat="1" ht="15" customHeight="1">
      <c r="B2008" s="104"/>
      <c r="C2008" s="104"/>
      <c r="D2008" s="104"/>
      <c r="E2008" s="104"/>
      <c r="F2008" s="104"/>
      <c r="G2008" s="104"/>
      <c r="H2008" s="104"/>
      <c r="I2008" s="104"/>
      <c r="J2008" s="104"/>
      <c r="K2008" s="104"/>
      <c r="L2008" s="104"/>
      <c r="R2008" s="105"/>
      <c r="S2008" s="105"/>
      <c r="T2008" s="105"/>
      <c r="U2008" s="105"/>
      <c r="V2008" s="105"/>
      <c r="W2008" s="105"/>
      <c r="AD2008" s="106"/>
      <c r="AE2008" s="97"/>
      <c r="AF2008" s="97"/>
      <c r="AG2008" s="97"/>
      <c r="AH2008" s="97"/>
      <c r="AI2008" s="97"/>
      <c r="AJ2008" s="97"/>
      <c r="AK2008" s="97"/>
      <c r="AL2008" s="97"/>
      <c r="AM2008" s="97"/>
      <c r="AN2008" s="97"/>
      <c r="AO2008" s="97"/>
      <c r="AP2008" s="97"/>
      <c r="AQ2008" s="97"/>
    </row>
    <row r="2009" spans="2:43" s="101" customFormat="1" ht="15" customHeight="1">
      <c r="B2009" s="104"/>
      <c r="C2009" s="104"/>
      <c r="D2009" s="104"/>
      <c r="E2009" s="104"/>
      <c r="F2009" s="104"/>
      <c r="G2009" s="104"/>
      <c r="H2009" s="104"/>
      <c r="I2009" s="104"/>
      <c r="J2009" s="104"/>
      <c r="K2009" s="104"/>
      <c r="L2009" s="104"/>
      <c r="R2009" s="105"/>
      <c r="S2009" s="105"/>
      <c r="T2009" s="105"/>
      <c r="U2009" s="105"/>
      <c r="V2009" s="105"/>
      <c r="W2009" s="105"/>
      <c r="AD2009" s="106"/>
      <c r="AE2009" s="97"/>
      <c r="AF2009" s="97"/>
      <c r="AG2009" s="97"/>
      <c r="AH2009" s="97"/>
      <c r="AI2009" s="97"/>
      <c r="AJ2009" s="97"/>
      <c r="AK2009" s="97"/>
      <c r="AL2009" s="97"/>
      <c r="AM2009" s="97"/>
      <c r="AN2009" s="97"/>
      <c r="AO2009" s="97"/>
      <c r="AP2009" s="97"/>
      <c r="AQ2009" s="97"/>
    </row>
    <row r="2010" spans="2:43" s="101" customFormat="1" ht="15" customHeight="1">
      <c r="B2010" s="104"/>
      <c r="C2010" s="104"/>
      <c r="D2010" s="104"/>
      <c r="E2010" s="104"/>
      <c r="F2010" s="104"/>
      <c r="G2010" s="104"/>
      <c r="H2010" s="104"/>
      <c r="I2010" s="104"/>
      <c r="J2010" s="104"/>
      <c r="K2010" s="104"/>
      <c r="L2010" s="104"/>
      <c r="R2010" s="105"/>
      <c r="S2010" s="105"/>
      <c r="T2010" s="105"/>
      <c r="U2010" s="105"/>
      <c r="V2010" s="105"/>
      <c r="W2010" s="105"/>
      <c r="AD2010" s="106"/>
      <c r="AE2010" s="97"/>
      <c r="AF2010" s="97"/>
      <c r="AG2010" s="97"/>
      <c r="AH2010" s="97"/>
      <c r="AI2010" s="97"/>
      <c r="AJ2010" s="97"/>
      <c r="AK2010" s="97"/>
      <c r="AL2010" s="97"/>
      <c r="AM2010" s="97"/>
      <c r="AN2010" s="97"/>
      <c r="AO2010" s="97"/>
      <c r="AP2010" s="97"/>
      <c r="AQ2010" s="97"/>
    </row>
    <row r="2011" spans="2:43" s="101" customFormat="1" ht="15" customHeight="1">
      <c r="B2011" s="104"/>
      <c r="C2011" s="104"/>
      <c r="D2011" s="104"/>
      <c r="E2011" s="104"/>
      <c r="F2011" s="104"/>
      <c r="G2011" s="104"/>
      <c r="H2011" s="104"/>
      <c r="I2011" s="104"/>
      <c r="J2011" s="104"/>
      <c r="K2011" s="104"/>
      <c r="L2011" s="104"/>
      <c r="R2011" s="105"/>
      <c r="S2011" s="105"/>
      <c r="T2011" s="105"/>
      <c r="U2011" s="105"/>
      <c r="V2011" s="105"/>
      <c r="W2011" s="105"/>
      <c r="AD2011" s="106"/>
      <c r="AE2011" s="97"/>
      <c r="AF2011" s="97"/>
      <c r="AG2011" s="97"/>
      <c r="AH2011" s="97"/>
      <c r="AI2011" s="97"/>
      <c r="AJ2011" s="97"/>
      <c r="AK2011" s="97"/>
      <c r="AL2011" s="97"/>
      <c r="AM2011" s="97"/>
      <c r="AN2011" s="97"/>
      <c r="AO2011" s="97"/>
      <c r="AP2011" s="97"/>
      <c r="AQ2011" s="97"/>
    </row>
    <row r="2012" spans="2:43" s="101" customFormat="1" ht="15" customHeight="1">
      <c r="B2012" s="104"/>
      <c r="C2012" s="104"/>
      <c r="D2012" s="104"/>
      <c r="E2012" s="104"/>
      <c r="F2012" s="104"/>
      <c r="G2012" s="104"/>
      <c r="H2012" s="104"/>
      <c r="I2012" s="104"/>
      <c r="J2012" s="104"/>
      <c r="K2012" s="104"/>
      <c r="L2012" s="104"/>
      <c r="R2012" s="105"/>
      <c r="S2012" s="105"/>
      <c r="T2012" s="105"/>
      <c r="U2012" s="105"/>
      <c r="V2012" s="105"/>
      <c r="W2012" s="105"/>
      <c r="AD2012" s="106"/>
      <c r="AE2012" s="97"/>
      <c r="AF2012" s="97"/>
      <c r="AG2012" s="97"/>
      <c r="AH2012" s="97"/>
      <c r="AI2012" s="97"/>
      <c r="AJ2012" s="97"/>
      <c r="AK2012" s="97"/>
      <c r="AL2012" s="97"/>
      <c r="AM2012" s="97"/>
      <c r="AN2012" s="97"/>
      <c r="AO2012" s="97"/>
      <c r="AP2012" s="97"/>
      <c r="AQ2012" s="97"/>
    </row>
    <row r="2013" spans="2:43" s="101" customFormat="1" ht="15" customHeight="1">
      <c r="B2013" s="104"/>
      <c r="C2013" s="104"/>
      <c r="D2013" s="104"/>
      <c r="E2013" s="104"/>
      <c r="F2013" s="104"/>
      <c r="G2013" s="104"/>
      <c r="H2013" s="104"/>
      <c r="I2013" s="104"/>
      <c r="J2013" s="104"/>
      <c r="K2013" s="104"/>
      <c r="L2013" s="104"/>
      <c r="R2013" s="105"/>
      <c r="S2013" s="105"/>
      <c r="T2013" s="105"/>
      <c r="U2013" s="105"/>
      <c r="V2013" s="105"/>
      <c r="W2013" s="105"/>
      <c r="AD2013" s="106"/>
      <c r="AE2013" s="97"/>
      <c r="AF2013" s="97"/>
      <c r="AG2013" s="97"/>
      <c r="AH2013" s="97"/>
      <c r="AI2013" s="97"/>
      <c r="AJ2013" s="97"/>
      <c r="AK2013" s="97"/>
      <c r="AL2013" s="97"/>
      <c r="AM2013" s="97"/>
      <c r="AN2013" s="97"/>
      <c r="AO2013" s="97"/>
      <c r="AP2013" s="97"/>
      <c r="AQ2013" s="97"/>
    </row>
    <row r="2014" spans="2:43" s="101" customFormat="1" ht="15" customHeight="1">
      <c r="B2014" s="104"/>
      <c r="C2014" s="104"/>
      <c r="D2014" s="104"/>
      <c r="E2014" s="104"/>
      <c r="F2014" s="104"/>
      <c r="G2014" s="104"/>
      <c r="H2014" s="104"/>
      <c r="I2014" s="104"/>
      <c r="J2014" s="104"/>
      <c r="K2014" s="104"/>
      <c r="L2014" s="104"/>
      <c r="R2014" s="105"/>
      <c r="S2014" s="105"/>
      <c r="T2014" s="105"/>
      <c r="U2014" s="105"/>
      <c r="V2014" s="105"/>
      <c r="W2014" s="105"/>
      <c r="AD2014" s="106"/>
      <c r="AE2014" s="97"/>
      <c r="AF2014" s="97"/>
      <c r="AG2014" s="97"/>
      <c r="AH2014" s="97"/>
      <c r="AI2014" s="97"/>
      <c r="AJ2014" s="97"/>
      <c r="AK2014" s="97"/>
      <c r="AL2014" s="97"/>
      <c r="AM2014" s="97"/>
      <c r="AN2014" s="97"/>
      <c r="AO2014" s="97"/>
      <c r="AP2014" s="97"/>
      <c r="AQ2014" s="97"/>
    </row>
    <row r="2015" spans="2:43" s="101" customFormat="1" ht="15" customHeight="1">
      <c r="B2015" s="104"/>
      <c r="C2015" s="104"/>
      <c r="D2015" s="104"/>
      <c r="E2015" s="104"/>
      <c r="F2015" s="104"/>
      <c r="G2015" s="104"/>
      <c r="H2015" s="104"/>
      <c r="I2015" s="104"/>
      <c r="J2015" s="104"/>
      <c r="K2015" s="104"/>
      <c r="L2015" s="104"/>
      <c r="R2015" s="105"/>
      <c r="S2015" s="105"/>
      <c r="T2015" s="105"/>
      <c r="U2015" s="105"/>
      <c r="V2015" s="105"/>
      <c r="W2015" s="105"/>
      <c r="AD2015" s="106"/>
      <c r="AE2015" s="97"/>
      <c r="AF2015" s="97"/>
      <c r="AG2015" s="97"/>
      <c r="AH2015" s="97"/>
      <c r="AI2015" s="97"/>
      <c r="AJ2015" s="97"/>
      <c r="AK2015" s="97"/>
      <c r="AL2015" s="97"/>
      <c r="AM2015" s="97"/>
      <c r="AN2015" s="97"/>
      <c r="AO2015" s="97"/>
      <c r="AP2015" s="97"/>
      <c r="AQ2015" s="97"/>
    </row>
    <row r="2016" spans="2:43" s="101" customFormat="1" ht="15" customHeight="1">
      <c r="B2016" s="104"/>
      <c r="C2016" s="104"/>
      <c r="D2016" s="104"/>
      <c r="E2016" s="104"/>
      <c r="F2016" s="104"/>
      <c r="G2016" s="104"/>
      <c r="H2016" s="104"/>
      <c r="I2016" s="104"/>
      <c r="J2016" s="104"/>
      <c r="K2016" s="104"/>
      <c r="L2016" s="104"/>
      <c r="R2016" s="105"/>
      <c r="S2016" s="105"/>
      <c r="T2016" s="105"/>
      <c r="U2016" s="105"/>
      <c r="V2016" s="105"/>
      <c r="W2016" s="105"/>
      <c r="AD2016" s="106"/>
      <c r="AE2016" s="97"/>
      <c r="AF2016" s="97"/>
      <c r="AG2016" s="97"/>
      <c r="AH2016" s="97"/>
      <c r="AI2016" s="97"/>
      <c r="AJ2016" s="97"/>
      <c r="AK2016" s="97"/>
      <c r="AL2016" s="97"/>
      <c r="AM2016" s="97"/>
      <c r="AN2016" s="97"/>
      <c r="AO2016" s="97"/>
      <c r="AP2016" s="97"/>
      <c r="AQ2016" s="97"/>
    </row>
    <row r="2017" spans="2:43" s="101" customFormat="1" ht="15" customHeight="1">
      <c r="B2017" s="104"/>
      <c r="C2017" s="104"/>
      <c r="D2017" s="104"/>
      <c r="E2017" s="104"/>
      <c r="F2017" s="104"/>
      <c r="G2017" s="104"/>
      <c r="H2017" s="104"/>
      <c r="I2017" s="104"/>
      <c r="J2017" s="104"/>
      <c r="K2017" s="104"/>
      <c r="L2017" s="104"/>
      <c r="R2017" s="105"/>
      <c r="S2017" s="105"/>
      <c r="T2017" s="105"/>
      <c r="U2017" s="105"/>
      <c r="V2017" s="105"/>
      <c r="W2017" s="105"/>
      <c r="AD2017" s="106"/>
      <c r="AE2017" s="97"/>
      <c r="AF2017" s="97"/>
      <c r="AG2017" s="97"/>
      <c r="AH2017" s="97"/>
      <c r="AI2017" s="97"/>
      <c r="AJ2017" s="97"/>
      <c r="AK2017" s="97"/>
      <c r="AL2017" s="97"/>
      <c r="AM2017" s="97"/>
      <c r="AN2017" s="97"/>
      <c r="AO2017" s="97"/>
      <c r="AP2017" s="97"/>
      <c r="AQ2017" s="97"/>
    </row>
    <row r="2018" spans="2:43" s="101" customFormat="1" ht="15" customHeight="1">
      <c r="B2018" s="104"/>
      <c r="C2018" s="104"/>
      <c r="D2018" s="104"/>
      <c r="E2018" s="104"/>
      <c r="F2018" s="104"/>
      <c r="G2018" s="104"/>
      <c r="H2018" s="104"/>
      <c r="I2018" s="104"/>
      <c r="J2018" s="104"/>
      <c r="K2018" s="104"/>
      <c r="L2018" s="104"/>
      <c r="R2018" s="105"/>
      <c r="S2018" s="105"/>
      <c r="T2018" s="105"/>
      <c r="U2018" s="105"/>
      <c r="V2018" s="105"/>
      <c r="W2018" s="105"/>
      <c r="AD2018" s="106"/>
      <c r="AE2018" s="97"/>
      <c r="AF2018" s="97"/>
      <c r="AG2018" s="97"/>
      <c r="AH2018" s="97"/>
      <c r="AI2018" s="97"/>
      <c r="AJ2018" s="97"/>
      <c r="AK2018" s="97"/>
      <c r="AL2018" s="97"/>
      <c r="AM2018" s="97"/>
      <c r="AN2018" s="97"/>
      <c r="AO2018" s="97"/>
      <c r="AP2018" s="97"/>
      <c r="AQ2018" s="97"/>
    </row>
    <row r="2019" spans="2:43" s="101" customFormat="1" ht="15" customHeight="1">
      <c r="B2019" s="104"/>
      <c r="C2019" s="104"/>
      <c r="D2019" s="104"/>
      <c r="E2019" s="104"/>
      <c r="F2019" s="104"/>
      <c r="G2019" s="104"/>
      <c r="H2019" s="104"/>
      <c r="I2019" s="104"/>
      <c r="J2019" s="104"/>
      <c r="K2019" s="104"/>
      <c r="L2019" s="104"/>
      <c r="R2019" s="105"/>
      <c r="S2019" s="105"/>
      <c r="T2019" s="105"/>
      <c r="U2019" s="105"/>
      <c r="V2019" s="105"/>
      <c r="W2019" s="105"/>
      <c r="AD2019" s="106"/>
      <c r="AE2019" s="97"/>
      <c r="AF2019" s="97"/>
      <c r="AG2019" s="97"/>
      <c r="AH2019" s="97"/>
      <c r="AI2019" s="97"/>
      <c r="AJ2019" s="97"/>
      <c r="AK2019" s="97"/>
      <c r="AL2019" s="97"/>
      <c r="AM2019" s="97"/>
      <c r="AN2019" s="97"/>
      <c r="AO2019" s="97"/>
      <c r="AP2019" s="97"/>
      <c r="AQ2019" s="97"/>
    </row>
    <row r="2020" spans="2:43" s="101" customFormat="1" ht="15" customHeight="1">
      <c r="B2020" s="104"/>
      <c r="C2020" s="104"/>
      <c r="D2020" s="104"/>
      <c r="E2020" s="104"/>
      <c r="F2020" s="104"/>
      <c r="G2020" s="104"/>
      <c r="H2020" s="104"/>
      <c r="I2020" s="104"/>
      <c r="J2020" s="104"/>
      <c r="K2020" s="104"/>
      <c r="L2020" s="104"/>
      <c r="R2020" s="105"/>
      <c r="S2020" s="105"/>
      <c r="T2020" s="105"/>
      <c r="U2020" s="105"/>
      <c r="V2020" s="105"/>
      <c r="W2020" s="105"/>
      <c r="AD2020" s="106"/>
      <c r="AE2020" s="97"/>
      <c r="AF2020" s="97"/>
      <c r="AG2020" s="97"/>
      <c r="AH2020" s="97"/>
      <c r="AI2020" s="97"/>
      <c r="AJ2020" s="97"/>
      <c r="AK2020" s="97"/>
      <c r="AL2020" s="97"/>
      <c r="AM2020" s="97"/>
      <c r="AN2020" s="97"/>
      <c r="AO2020" s="97"/>
      <c r="AP2020" s="97"/>
      <c r="AQ2020" s="97"/>
    </row>
    <row r="2021" spans="2:43" s="101" customFormat="1" ht="15" customHeight="1">
      <c r="B2021" s="104"/>
      <c r="C2021" s="104"/>
      <c r="D2021" s="104"/>
      <c r="E2021" s="104"/>
      <c r="F2021" s="104"/>
      <c r="G2021" s="104"/>
      <c r="H2021" s="104"/>
      <c r="I2021" s="104"/>
      <c r="J2021" s="104"/>
      <c r="K2021" s="104"/>
      <c r="L2021" s="104"/>
      <c r="R2021" s="105"/>
      <c r="S2021" s="105"/>
      <c r="T2021" s="105"/>
      <c r="U2021" s="105"/>
      <c r="V2021" s="105"/>
      <c r="W2021" s="105"/>
      <c r="AD2021" s="106"/>
      <c r="AE2021" s="97"/>
      <c r="AF2021" s="97"/>
      <c r="AG2021" s="97"/>
      <c r="AH2021" s="97"/>
      <c r="AI2021" s="97"/>
      <c r="AJ2021" s="97"/>
      <c r="AK2021" s="97"/>
      <c r="AL2021" s="97"/>
      <c r="AM2021" s="97"/>
      <c r="AN2021" s="97"/>
      <c r="AO2021" s="97"/>
      <c r="AP2021" s="97"/>
      <c r="AQ2021" s="97"/>
    </row>
    <row r="2022" spans="2:43" s="101" customFormat="1" ht="15" customHeight="1">
      <c r="B2022" s="104"/>
      <c r="C2022" s="104"/>
      <c r="D2022" s="104"/>
      <c r="E2022" s="104"/>
      <c r="F2022" s="104"/>
      <c r="G2022" s="104"/>
      <c r="H2022" s="104"/>
      <c r="I2022" s="104"/>
      <c r="J2022" s="104"/>
      <c r="K2022" s="104"/>
      <c r="L2022" s="104"/>
      <c r="R2022" s="105"/>
      <c r="S2022" s="105"/>
      <c r="T2022" s="105"/>
      <c r="U2022" s="105"/>
      <c r="V2022" s="105"/>
      <c r="W2022" s="105"/>
      <c r="AD2022" s="106"/>
      <c r="AE2022" s="97"/>
      <c r="AF2022" s="97"/>
      <c r="AG2022" s="97"/>
      <c r="AH2022" s="97"/>
      <c r="AI2022" s="97"/>
      <c r="AJ2022" s="97"/>
      <c r="AK2022" s="97"/>
      <c r="AL2022" s="97"/>
      <c r="AM2022" s="97"/>
      <c r="AN2022" s="97"/>
      <c r="AO2022" s="97"/>
      <c r="AP2022" s="97"/>
      <c r="AQ2022" s="97"/>
    </row>
    <row r="2023" spans="2:43" s="101" customFormat="1" ht="15" customHeight="1">
      <c r="B2023" s="104"/>
      <c r="C2023" s="104"/>
      <c r="D2023" s="104"/>
      <c r="E2023" s="104"/>
      <c r="F2023" s="104"/>
      <c r="G2023" s="104"/>
      <c r="H2023" s="104"/>
      <c r="I2023" s="104"/>
      <c r="J2023" s="104"/>
      <c r="K2023" s="104"/>
      <c r="L2023" s="104"/>
      <c r="R2023" s="105"/>
      <c r="S2023" s="105"/>
      <c r="T2023" s="105"/>
      <c r="U2023" s="105"/>
      <c r="V2023" s="105"/>
      <c r="W2023" s="105"/>
      <c r="AD2023" s="106"/>
      <c r="AE2023" s="97"/>
      <c r="AF2023" s="97"/>
      <c r="AG2023" s="97"/>
      <c r="AH2023" s="97"/>
      <c r="AI2023" s="97"/>
      <c r="AJ2023" s="97"/>
      <c r="AK2023" s="97"/>
      <c r="AL2023" s="97"/>
      <c r="AM2023" s="97"/>
      <c r="AN2023" s="97"/>
      <c r="AO2023" s="97"/>
      <c r="AP2023" s="97"/>
      <c r="AQ2023" s="97"/>
    </row>
    <row r="2024" spans="2:43" s="101" customFormat="1" ht="15" customHeight="1">
      <c r="B2024" s="104"/>
      <c r="C2024" s="104"/>
      <c r="D2024" s="104"/>
      <c r="E2024" s="104"/>
      <c r="F2024" s="104"/>
      <c r="G2024" s="104"/>
      <c r="H2024" s="104"/>
      <c r="I2024" s="104"/>
      <c r="J2024" s="104"/>
      <c r="K2024" s="104"/>
      <c r="L2024" s="104"/>
      <c r="R2024" s="105"/>
      <c r="S2024" s="105"/>
      <c r="T2024" s="105"/>
      <c r="U2024" s="105"/>
      <c r="V2024" s="105"/>
      <c r="W2024" s="105"/>
      <c r="AD2024" s="106"/>
      <c r="AE2024" s="97"/>
      <c r="AF2024" s="97"/>
      <c r="AG2024" s="97"/>
      <c r="AH2024" s="97"/>
      <c r="AI2024" s="97"/>
      <c r="AJ2024" s="97"/>
      <c r="AK2024" s="97"/>
      <c r="AL2024" s="97"/>
      <c r="AM2024" s="97"/>
      <c r="AN2024" s="97"/>
      <c r="AO2024" s="97"/>
      <c r="AP2024" s="97"/>
      <c r="AQ2024" s="97"/>
    </row>
    <row r="2025" spans="2:43" s="101" customFormat="1" ht="15" customHeight="1">
      <c r="B2025" s="104"/>
      <c r="C2025" s="104"/>
      <c r="D2025" s="104"/>
      <c r="E2025" s="104"/>
      <c r="F2025" s="104"/>
      <c r="G2025" s="104"/>
      <c r="H2025" s="104"/>
      <c r="I2025" s="104"/>
      <c r="J2025" s="104"/>
      <c r="K2025" s="104"/>
      <c r="L2025" s="104"/>
      <c r="R2025" s="105"/>
      <c r="S2025" s="105"/>
      <c r="T2025" s="105"/>
      <c r="U2025" s="105"/>
      <c r="V2025" s="105"/>
      <c r="W2025" s="105"/>
      <c r="AD2025" s="106"/>
      <c r="AE2025" s="97"/>
      <c r="AF2025" s="97"/>
      <c r="AG2025" s="97"/>
      <c r="AH2025" s="97"/>
      <c r="AI2025" s="97"/>
      <c r="AJ2025" s="97"/>
      <c r="AK2025" s="97"/>
      <c r="AL2025" s="97"/>
      <c r="AM2025" s="97"/>
      <c r="AN2025" s="97"/>
      <c r="AO2025" s="97"/>
      <c r="AP2025" s="97"/>
      <c r="AQ2025" s="97"/>
    </row>
    <row r="2026" spans="2:43" s="101" customFormat="1" ht="15" customHeight="1">
      <c r="B2026" s="104"/>
      <c r="C2026" s="104"/>
      <c r="D2026" s="104"/>
      <c r="E2026" s="104"/>
      <c r="F2026" s="104"/>
      <c r="G2026" s="104"/>
      <c r="H2026" s="104"/>
      <c r="I2026" s="104"/>
      <c r="J2026" s="104"/>
      <c r="K2026" s="104"/>
      <c r="L2026" s="104"/>
      <c r="R2026" s="105"/>
      <c r="S2026" s="105"/>
      <c r="T2026" s="105"/>
      <c r="U2026" s="105"/>
      <c r="V2026" s="105"/>
      <c r="W2026" s="105"/>
      <c r="AD2026" s="106"/>
      <c r="AE2026" s="97"/>
      <c r="AF2026" s="97"/>
      <c r="AG2026" s="97"/>
      <c r="AH2026" s="97"/>
      <c r="AI2026" s="97"/>
      <c r="AJ2026" s="97"/>
      <c r="AK2026" s="97"/>
      <c r="AL2026" s="97"/>
      <c r="AM2026" s="97"/>
      <c r="AN2026" s="97"/>
      <c r="AO2026" s="97"/>
      <c r="AP2026" s="97"/>
      <c r="AQ2026" s="97"/>
    </row>
    <row r="2027" spans="2:43" s="101" customFormat="1" ht="15" customHeight="1">
      <c r="B2027" s="104"/>
      <c r="C2027" s="104"/>
      <c r="D2027" s="104"/>
      <c r="E2027" s="104"/>
      <c r="F2027" s="104"/>
      <c r="G2027" s="104"/>
      <c r="H2027" s="104"/>
      <c r="I2027" s="104"/>
      <c r="J2027" s="104"/>
      <c r="K2027" s="104"/>
      <c r="L2027" s="104"/>
      <c r="R2027" s="105"/>
      <c r="S2027" s="105"/>
      <c r="T2027" s="105"/>
      <c r="U2027" s="105"/>
      <c r="V2027" s="105"/>
      <c r="W2027" s="105"/>
      <c r="AD2027" s="106"/>
      <c r="AE2027" s="97"/>
      <c r="AF2027" s="97"/>
      <c r="AG2027" s="97"/>
      <c r="AH2027" s="97"/>
      <c r="AI2027" s="97"/>
      <c r="AJ2027" s="97"/>
      <c r="AK2027" s="97"/>
      <c r="AL2027" s="97"/>
      <c r="AM2027" s="97"/>
      <c r="AN2027" s="97"/>
      <c r="AO2027" s="97"/>
      <c r="AP2027" s="97"/>
      <c r="AQ2027" s="97"/>
    </row>
    <row r="2028" spans="2:43" s="101" customFormat="1" ht="15" customHeight="1">
      <c r="B2028" s="104"/>
      <c r="C2028" s="104"/>
      <c r="D2028" s="104"/>
      <c r="E2028" s="104"/>
      <c r="F2028" s="104"/>
      <c r="G2028" s="104"/>
      <c r="H2028" s="104"/>
      <c r="I2028" s="104"/>
      <c r="J2028" s="104"/>
      <c r="K2028" s="104"/>
      <c r="L2028" s="104"/>
      <c r="R2028" s="105"/>
      <c r="S2028" s="105"/>
      <c r="T2028" s="105"/>
      <c r="U2028" s="105"/>
      <c r="V2028" s="105"/>
      <c r="W2028" s="105"/>
      <c r="AD2028" s="106"/>
      <c r="AE2028" s="97"/>
      <c r="AF2028" s="97"/>
      <c r="AG2028" s="97"/>
      <c r="AH2028" s="97"/>
      <c r="AI2028" s="97"/>
      <c r="AJ2028" s="97"/>
      <c r="AK2028" s="97"/>
      <c r="AL2028" s="97"/>
      <c r="AM2028" s="97"/>
      <c r="AN2028" s="97"/>
      <c r="AO2028" s="97"/>
      <c r="AP2028" s="97"/>
      <c r="AQ2028" s="97"/>
    </row>
    <row r="2029" spans="2:43" s="101" customFormat="1" ht="15" customHeight="1">
      <c r="B2029" s="104"/>
      <c r="C2029" s="104"/>
      <c r="D2029" s="104"/>
      <c r="E2029" s="104"/>
      <c r="F2029" s="104"/>
      <c r="G2029" s="104"/>
      <c r="H2029" s="104"/>
      <c r="I2029" s="104"/>
      <c r="J2029" s="104"/>
      <c r="K2029" s="104"/>
      <c r="L2029" s="104"/>
      <c r="R2029" s="105"/>
      <c r="S2029" s="105"/>
      <c r="T2029" s="105"/>
      <c r="U2029" s="105"/>
      <c r="V2029" s="105"/>
      <c r="W2029" s="105"/>
      <c r="AD2029" s="106"/>
      <c r="AE2029" s="97"/>
      <c r="AF2029" s="97"/>
      <c r="AG2029" s="97"/>
      <c r="AH2029" s="97"/>
      <c r="AI2029" s="97"/>
      <c r="AJ2029" s="97"/>
      <c r="AK2029" s="97"/>
      <c r="AL2029" s="97"/>
      <c r="AM2029" s="97"/>
      <c r="AN2029" s="97"/>
      <c r="AO2029" s="97"/>
      <c r="AP2029" s="97"/>
      <c r="AQ2029" s="97"/>
    </row>
    <row r="2030" spans="2:43" s="101" customFormat="1" ht="15" customHeight="1">
      <c r="B2030" s="104"/>
      <c r="C2030" s="104"/>
      <c r="D2030" s="104"/>
      <c r="E2030" s="104"/>
      <c r="F2030" s="104"/>
      <c r="G2030" s="104"/>
      <c r="H2030" s="104"/>
      <c r="I2030" s="104"/>
      <c r="J2030" s="104"/>
      <c r="K2030" s="104"/>
      <c r="L2030" s="104"/>
      <c r="R2030" s="105"/>
      <c r="S2030" s="105"/>
      <c r="T2030" s="105"/>
      <c r="U2030" s="105"/>
      <c r="V2030" s="105"/>
      <c r="W2030" s="105"/>
      <c r="AD2030" s="106"/>
      <c r="AE2030" s="97"/>
      <c r="AF2030" s="97"/>
      <c r="AG2030" s="97"/>
      <c r="AH2030" s="97"/>
      <c r="AI2030" s="97"/>
      <c r="AJ2030" s="97"/>
      <c r="AK2030" s="97"/>
      <c r="AL2030" s="97"/>
      <c r="AM2030" s="97"/>
      <c r="AN2030" s="97"/>
      <c r="AO2030" s="97"/>
      <c r="AP2030" s="97"/>
      <c r="AQ2030" s="97"/>
    </row>
    <row r="2031" spans="2:43" s="101" customFormat="1" ht="15" customHeight="1">
      <c r="B2031" s="104"/>
      <c r="C2031" s="104"/>
      <c r="D2031" s="104"/>
      <c r="E2031" s="104"/>
      <c r="F2031" s="104"/>
      <c r="G2031" s="104"/>
      <c r="H2031" s="104"/>
      <c r="I2031" s="104"/>
      <c r="J2031" s="104"/>
      <c r="K2031" s="104"/>
      <c r="L2031" s="104"/>
      <c r="R2031" s="105"/>
      <c r="S2031" s="105"/>
      <c r="T2031" s="105"/>
      <c r="U2031" s="105"/>
      <c r="V2031" s="105"/>
      <c r="W2031" s="105"/>
      <c r="AD2031" s="106"/>
      <c r="AE2031" s="97"/>
      <c r="AF2031" s="97"/>
      <c r="AG2031" s="97"/>
      <c r="AH2031" s="97"/>
      <c r="AI2031" s="97"/>
      <c r="AJ2031" s="97"/>
      <c r="AK2031" s="97"/>
      <c r="AL2031" s="97"/>
      <c r="AM2031" s="97"/>
      <c r="AN2031" s="97"/>
      <c r="AO2031" s="97"/>
      <c r="AP2031" s="97"/>
      <c r="AQ2031" s="97"/>
    </row>
    <row r="2032" spans="2:43" s="101" customFormat="1" ht="15" customHeight="1">
      <c r="B2032" s="104"/>
      <c r="C2032" s="104"/>
      <c r="D2032" s="104"/>
      <c r="E2032" s="104"/>
      <c r="F2032" s="104"/>
      <c r="G2032" s="104"/>
      <c r="H2032" s="104"/>
      <c r="I2032" s="104"/>
      <c r="J2032" s="104"/>
      <c r="K2032" s="104"/>
      <c r="L2032" s="104"/>
      <c r="R2032" s="105"/>
      <c r="S2032" s="105"/>
      <c r="T2032" s="105"/>
      <c r="U2032" s="105"/>
      <c r="V2032" s="105"/>
      <c r="W2032" s="105"/>
      <c r="AD2032" s="106"/>
      <c r="AE2032" s="97"/>
      <c r="AF2032" s="97"/>
      <c r="AG2032" s="97"/>
      <c r="AH2032" s="97"/>
      <c r="AI2032" s="97"/>
      <c r="AJ2032" s="97"/>
      <c r="AK2032" s="97"/>
      <c r="AL2032" s="97"/>
      <c r="AM2032" s="97"/>
      <c r="AN2032" s="97"/>
      <c r="AO2032" s="97"/>
      <c r="AP2032" s="97"/>
      <c r="AQ2032" s="97"/>
    </row>
    <row r="2033" spans="2:43" s="101" customFormat="1" ht="15" customHeight="1">
      <c r="B2033" s="104"/>
      <c r="C2033" s="104"/>
      <c r="D2033" s="104"/>
      <c r="E2033" s="104"/>
      <c r="F2033" s="104"/>
      <c r="G2033" s="104"/>
      <c r="H2033" s="104"/>
      <c r="I2033" s="104"/>
      <c r="J2033" s="104"/>
      <c r="K2033" s="104"/>
      <c r="L2033" s="104"/>
      <c r="R2033" s="105"/>
      <c r="S2033" s="105"/>
      <c r="T2033" s="105"/>
      <c r="U2033" s="105"/>
      <c r="V2033" s="105"/>
      <c r="W2033" s="105"/>
      <c r="AD2033" s="106"/>
      <c r="AE2033" s="97"/>
      <c r="AF2033" s="97"/>
      <c r="AG2033" s="97"/>
      <c r="AH2033" s="97"/>
      <c r="AI2033" s="97"/>
      <c r="AJ2033" s="97"/>
      <c r="AK2033" s="97"/>
      <c r="AL2033" s="97"/>
      <c r="AM2033" s="97"/>
      <c r="AN2033" s="97"/>
      <c r="AO2033" s="97"/>
      <c r="AP2033" s="97"/>
      <c r="AQ2033" s="97"/>
    </row>
    <row r="2034" spans="2:43" s="101" customFormat="1" ht="15" customHeight="1">
      <c r="B2034" s="104"/>
      <c r="C2034" s="104"/>
      <c r="D2034" s="104"/>
      <c r="E2034" s="104"/>
      <c r="F2034" s="104"/>
      <c r="G2034" s="104"/>
      <c r="H2034" s="104"/>
      <c r="I2034" s="104"/>
      <c r="J2034" s="104"/>
      <c r="K2034" s="104"/>
      <c r="L2034" s="104"/>
      <c r="R2034" s="105"/>
      <c r="S2034" s="105"/>
      <c r="T2034" s="105"/>
      <c r="U2034" s="105"/>
      <c r="V2034" s="105"/>
      <c r="W2034" s="105"/>
      <c r="AD2034" s="106"/>
      <c r="AE2034" s="97"/>
      <c r="AF2034" s="97"/>
      <c r="AG2034" s="97"/>
      <c r="AH2034" s="97"/>
      <c r="AI2034" s="97"/>
      <c r="AJ2034" s="97"/>
      <c r="AK2034" s="97"/>
      <c r="AL2034" s="97"/>
      <c r="AM2034" s="97"/>
      <c r="AN2034" s="97"/>
      <c r="AO2034" s="97"/>
      <c r="AP2034" s="97"/>
      <c r="AQ2034" s="97"/>
    </row>
    <row r="2035" spans="2:43" s="101" customFormat="1" ht="15" customHeight="1">
      <c r="B2035" s="104"/>
      <c r="C2035" s="104"/>
      <c r="D2035" s="104"/>
      <c r="E2035" s="104"/>
      <c r="F2035" s="104"/>
      <c r="G2035" s="104"/>
      <c r="H2035" s="104"/>
      <c r="I2035" s="104"/>
      <c r="J2035" s="104"/>
      <c r="K2035" s="104"/>
      <c r="L2035" s="104"/>
      <c r="R2035" s="105"/>
      <c r="S2035" s="105"/>
      <c r="T2035" s="105"/>
      <c r="U2035" s="105"/>
      <c r="V2035" s="105"/>
      <c r="W2035" s="105"/>
      <c r="AD2035" s="106"/>
      <c r="AE2035" s="97"/>
      <c r="AF2035" s="97"/>
      <c r="AG2035" s="97"/>
      <c r="AH2035" s="97"/>
      <c r="AI2035" s="97"/>
      <c r="AJ2035" s="97"/>
      <c r="AK2035" s="97"/>
      <c r="AL2035" s="97"/>
      <c r="AM2035" s="97"/>
      <c r="AN2035" s="97"/>
      <c r="AO2035" s="97"/>
      <c r="AP2035" s="97"/>
      <c r="AQ2035" s="97"/>
    </row>
    <row r="2036" spans="2:43" s="101" customFormat="1" ht="15" customHeight="1">
      <c r="B2036" s="104"/>
      <c r="C2036" s="104"/>
      <c r="D2036" s="104"/>
      <c r="E2036" s="104"/>
      <c r="F2036" s="104"/>
      <c r="G2036" s="104"/>
      <c r="H2036" s="104"/>
      <c r="I2036" s="104"/>
      <c r="J2036" s="104"/>
      <c r="K2036" s="104"/>
      <c r="L2036" s="104"/>
      <c r="R2036" s="105"/>
      <c r="S2036" s="105"/>
      <c r="T2036" s="105"/>
      <c r="U2036" s="105"/>
      <c r="V2036" s="105"/>
      <c r="W2036" s="105"/>
      <c r="AD2036" s="106"/>
      <c r="AE2036" s="97"/>
      <c r="AF2036" s="97"/>
      <c r="AG2036" s="97"/>
      <c r="AH2036" s="97"/>
      <c r="AI2036" s="97"/>
      <c r="AJ2036" s="97"/>
      <c r="AK2036" s="97"/>
      <c r="AL2036" s="97"/>
      <c r="AM2036" s="97"/>
      <c r="AN2036" s="97"/>
      <c r="AO2036" s="97"/>
      <c r="AP2036" s="97"/>
      <c r="AQ2036" s="97"/>
    </row>
    <row r="2037" spans="2:43" s="101" customFormat="1" ht="15" customHeight="1">
      <c r="B2037" s="104"/>
      <c r="C2037" s="104"/>
      <c r="D2037" s="104"/>
      <c r="E2037" s="104"/>
      <c r="F2037" s="104"/>
      <c r="G2037" s="104"/>
      <c r="H2037" s="104"/>
      <c r="I2037" s="104"/>
      <c r="J2037" s="104"/>
      <c r="K2037" s="104"/>
      <c r="L2037" s="104"/>
      <c r="R2037" s="105"/>
      <c r="S2037" s="105"/>
      <c r="T2037" s="105"/>
      <c r="U2037" s="105"/>
      <c r="V2037" s="105"/>
      <c r="W2037" s="105"/>
      <c r="AD2037" s="106"/>
      <c r="AE2037" s="97"/>
      <c r="AF2037" s="97"/>
      <c r="AG2037" s="97"/>
      <c r="AH2037" s="97"/>
      <c r="AI2037" s="97"/>
      <c r="AJ2037" s="97"/>
      <c r="AK2037" s="97"/>
      <c r="AL2037" s="97"/>
      <c r="AM2037" s="97"/>
      <c r="AN2037" s="97"/>
      <c r="AO2037" s="97"/>
      <c r="AP2037" s="97"/>
      <c r="AQ2037" s="97"/>
    </row>
    <row r="2038" spans="2:43" s="101" customFormat="1" ht="15" customHeight="1">
      <c r="B2038" s="104"/>
      <c r="C2038" s="104"/>
      <c r="D2038" s="104"/>
      <c r="E2038" s="104"/>
      <c r="F2038" s="104"/>
      <c r="G2038" s="104"/>
      <c r="H2038" s="104"/>
      <c r="I2038" s="104"/>
      <c r="J2038" s="104"/>
      <c r="K2038" s="104"/>
      <c r="L2038" s="104"/>
      <c r="R2038" s="105"/>
      <c r="S2038" s="105"/>
      <c r="T2038" s="105"/>
      <c r="U2038" s="105"/>
      <c r="V2038" s="105"/>
      <c r="W2038" s="105"/>
      <c r="AD2038" s="106"/>
      <c r="AE2038" s="97"/>
      <c r="AF2038" s="97"/>
      <c r="AG2038" s="97"/>
      <c r="AH2038" s="97"/>
      <c r="AI2038" s="97"/>
      <c r="AJ2038" s="97"/>
      <c r="AK2038" s="97"/>
      <c r="AL2038" s="97"/>
      <c r="AM2038" s="97"/>
      <c r="AN2038" s="97"/>
      <c r="AO2038" s="97"/>
      <c r="AP2038" s="97"/>
      <c r="AQ2038" s="97"/>
    </row>
    <row r="2039" spans="2:43" s="101" customFormat="1" ht="15" customHeight="1">
      <c r="B2039" s="104"/>
      <c r="C2039" s="104"/>
      <c r="D2039" s="104"/>
      <c r="E2039" s="104"/>
      <c r="F2039" s="104"/>
      <c r="G2039" s="104"/>
      <c r="H2039" s="104"/>
      <c r="I2039" s="104"/>
      <c r="J2039" s="104"/>
      <c r="K2039" s="104"/>
      <c r="L2039" s="104"/>
      <c r="R2039" s="105"/>
      <c r="S2039" s="105"/>
      <c r="T2039" s="105"/>
      <c r="U2039" s="105"/>
      <c r="V2039" s="105"/>
      <c r="W2039" s="105"/>
      <c r="AD2039" s="106"/>
      <c r="AE2039" s="97"/>
      <c r="AF2039" s="97"/>
      <c r="AG2039" s="97"/>
      <c r="AH2039" s="97"/>
      <c r="AI2039" s="97"/>
      <c r="AJ2039" s="97"/>
      <c r="AK2039" s="97"/>
      <c r="AL2039" s="97"/>
      <c r="AM2039" s="97"/>
      <c r="AN2039" s="97"/>
      <c r="AO2039" s="97"/>
      <c r="AP2039" s="97"/>
      <c r="AQ2039" s="97"/>
    </row>
    <row r="2040" spans="2:43" s="101" customFormat="1" ht="15" customHeight="1">
      <c r="B2040" s="104"/>
      <c r="C2040" s="104"/>
      <c r="D2040" s="104"/>
      <c r="E2040" s="104"/>
      <c r="F2040" s="104"/>
      <c r="G2040" s="104"/>
      <c r="H2040" s="104"/>
      <c r="I2040" s="104"/>
      <c r="J2040" s="104"/>
      <c r="K2040" s="104"/>
      <c r="L2040" s="104"/>
      <c r="R2040" s="105"/>
      <c r="S2040" s="105"/>
      <c r="T2040" s="105"/>
      <c r="U2040" s="105"/>
      <c r="V2040" s="105"/>
      <c r="W2040" s="105"/>
      <c r="AD2040" s="106"/>
      <c r="AE2040" s="97"/>
      <c r="AF2040" s="97"/>
      <c r="AG2040" s="97"/>
      <c r="AH2040" s="97"/>
      <c r="AI2040" s="97"/>
      <c r="AJ2040" s="97"/>
      <c r="AK2040" s="97"/>
      <c r="AL2040" s="97"/>
      <c r="AM2040" s="97"/>
      <c r="AN2040" s="97"/>
      <c r="AO2040" s="97"/>
      <c r="AP2040" s="97"/>
      <c r="AQ2040" s="97"/>
    </row>
    <row r="2041" spans="2:43" s="101" customFormat="1" ht="15" customHeight="1">
      <c r="B2041" s="104"/>
      <c r="C2041" s="104"/>
      <c r="D2041" s="104"/>
      <c r="E2041" s="104"/>
      <c r="F2041" s="104"/>
      <c r="G2041" s="104"/>
      <c r="H2041" s="104"/>
      <c r="I2041" s="104"/>
      <c r="J2041" s="104"/>
      <c r="K2041" s="104"/>
      <c r="L2041" s="104"/>
      <c r="R2041" s="105"/>
      <c r="S2041" s="105"/>
      <c r="T2041" s="105"/>
      <c r="U2041" s="105"/>
      <c r="V2041" s="105"/>
      <c r="W2041" s="105"/>
      <c r="AD2041" s="106"/>
      <c r="AE2041" s="97"/>
      <c r="AF2041" s="97"/>
      <c r="AG2041" s="97"/>
      <c r="AH2041" s="97"/>
      <c r="AI2041" s="97"/>
      <c r="AJ2041" s="97"/>
      <c r="AK2041" s="97"/>
      <c r="AL2041" s="97"/>
      <c r="AM2041" s="97"/>
      <c r="AN2041" s="97"/>
      <c r="AO2041" s="97"/>
      <c r="AP2041" s="97"/>
      <c r="AQ2041" s="97"/>
    </row>
    <row r="2042" spans="2:43" s="101" customFormat="1" ht="15" customHeight="1">
      <c r="B2042" s="104"/>
      <c r="C2042" s="104"/>
      <c r="D2042" s="104"/>
      <c r="E2042" s="104"/>
      <c r="F2042" s="104"/>
      <c r="G2042" s="104"/>
      <c r="H2042" s="104"/>
      <c r="I2042" s="104"/>
      <c r="J2042" s="104"/>
      <c r="K2042" s="104"/>
      <c r="L2042" s="104"/>
      <c r="R2042" s="105"/>
      <c r="S2042" s="105"/>
      <c r="T2042" s="105"/>
      <c r="U2042" s="105"/>
      <c r="V2042" s="105"/>
      <c r="W2042" s="105"/>
      <c r="AD2042" s="106"/>
      <c r="AE2042" s="97"/>
      <c r="AF2042" s="97"/>
      <c r="AG2042" s="97"/>
      <c r="AH2042" s="97"/>
      <c r="AI2042" s="97"/>
      <c r="AJ2042" s="97"/>
      <c r="AK2042" s="97"/>
      <c r="AL2042" s="97"/>
      <c r="AM2042" s="97"/>
      <c r="AN2042" s="97"/>
      <c r="AO2042" s="97"/>
      <c r="AP2042" s="97"/>
      <c r="AQ2042" s="97"/>
    </row>
    <row r="2043" spans="2:43" s="101" customFormat="1" ht="15" customHeight="1">
      <c r="B2043" s="104"/>
      <c r="C2043" s="104"/>
      <c r="D2043" s="104"/>
      <c r="E2043" s="104"/>
      <c r="F2043" s="104"/>
      <c r="G2043" s="104"/>
      <c r="H2043" s="104"/>
      <c r="I2043" s="104"/>
      <c r="J2043" s="104"/>
      <c r="K2043" s="104"/>
      <c r="L2043" s="104"/>
      <c r="R2043" s="105"/>
      <c r="S2043" s="105"/>
      <c r="T2043" s="105"/>
      <c r="U2043" s="105"/>
      <c r="V2043" s="105"/>
      <c r="W2043" s="105"/>
      <c r="AD2043" s="106"/>
      <c r="AE2043" s="97"/>
      <c r="AF2043" s="97"/>
      <c r="AG2043" s="97"/>
      <c r="AH2043" s="97"/>
      <c r="AI2043" s="97"/>
      <c r="AJ2043" s="97"/>
      <c r="AK2043" s="97"/>
      <c r="AL2043" s="97"/>
      <c r="AM2043" s="97"/>
      <c r="AN2043" s="97"/>
      <c r="AO2043" s="97"/>
      <c r="AP2043" s="97"/>
      <c r="AQ2043" s="97"/>
    </row>
    <row r="2044" spans="2:43" s="101" customFormat="1" ht="15" customHeight="1">
      <c r="B2044" s="104"/>
      <c r="C2044" s="104"/>
      <c r="D2044" s="104"/>
      <c r="E2044" s="104"/>
      <c r="F2044" s="104"/>
      <c r="G2044" s="104"/>
      <c r="H2044" s="104"/>
      <c r="I2044" s="104"/>
      <c r="J2044" s="104"/>
      <c r="K2044" s="104"/>
      <c r="L2044" s="104"/>
      <c r="R2044" s="105"/>
      <c r="S2044" s="105"/>
      <c r="T2044" s="105"/>
      <c r="U2044" s="105"/>
      <c r="V2044" s="105"/>
      <c r="W2044" s="105"/>
      <c r="AD2044" s="106"/>
      <c r="AE2044" s="97"/>
      <c r="AF2044" s="97"/>
      <c r="AG2044" s="97"/>
      <c r="AH2044" s="97"/>
      <c r="AI2044" s="97"/>
      <c r="AJ2044" s="97"/>
      <c r="AK2044" s="97"/>
      <c r="AL2044" s="97"/>
      <c r="AM2044" s="97"/>
      <c r="AN2044" s="97"/>
      <c r="AO2044" s="97"/>
      <c r="AP2044" s="97"/>
      <c r="AQ2044" s="97"/>
    </row>
    <row r="2045" spans="2:43" s="101" customFormat="1" ht="15" customHeight="1">
      <c r="B2045" s="104"/>
      <c r="C2045" s="104"/>
      <c r="D2045" s="104"/>
      <c r="E2045" s="104"/>
      <c r="F2045" s="104"/>
      <c r="G2045" s="104"/>
      <c r="H2045" s="104"/>
      <c r="I2045" s="104"/>
      <c r="J2045" s="104"/>
      <c r="K2045" s="104"/>
      <c r="L2045" s="104"/>
      <c r="R2045" s="105"/>
      <c r="S2045" s="105"/>
      <c r="T2045" s="105"/>
      <c r="U2045" s="105"/>
      <c r="V2045" s="105"/>
      <c r="W2045" s="105"/>
      <c r="AD2045" s="106"/>
      <c r="AE2045" s="97"/>
      <c r="AF2045" s="97"/>
      <c r="AG2045" s="97"/>
      <c r="AH2045" s="97"/>
      <c r="AI2045" s="97"/>
      <c r="AJ2045" s="97"/>
      <c r="AK2045" s="97"/>
      <c r="AL2045" s="97"/>
      <c r="AM2045" s="97"/>
      <c r="AN2045" s="97"/>
      <c r="AO2045" s="97"/>
      <c r="AP2045" s="97"/>
      <c r="AQ2045" s="97"/>
    </row>
    <row r="2046" spans="2:43" s="101" customFormat="1" ht="15" customHeight="1">
      <c r="B2046" s="104"/>
      <c r="C2046" s="104"/>
      <c r="D2046" s="104"/>
      <c r="E2046" s="104"/>
      <c r="F2046" s="104"/>
      <c r="G2046" s="104"/>
      <c r="H2046" s="104"/>
      <c r="I2046" s="104"/>
      <c r="J2046" s="104"/>
      <c r="K2046" s="104"/>
      <c r="L2046" s="104"/>
      <c r="R2046" s="105"/>
      <c r="S2046" s="105"/>
      <c r="T2046" s="105"/>
      <c r="U2046" s="105"/>
      <c r="V2046" s="105"/>
      <c r="W2046" s="105"/>
      <c r="AD2046" s="106"/>
      <c r="AE2046" s="97"/>
      <c r="AF2046" s="97"/>
      <c r="AG2046" s="97"/>
      <c r="AH2046" s="97"/>
      <c r="AI2046" s="97"/>
      <c r="AJ2046" s="97"/>
      <c r="AK2046" s="97"/>
      <c r="AL2046" s="97"/>
      <c r="AM2046" s="97"/>
      <c r="AN2046" s="97"/>
      <c r="AO2046" s="97"/>
      <c r="AP2046" s="97"/>
      <c r="AQ2046" s="97"/>
    </row>
    <row r="2047" spans="2:43" s="101" customFormat="1" ht="15" customHeight="1">
      <c r="B2047" s="104"/>
      <c r="C2047" s="104"/>
      <c r="D2047" s="104"/>
      <c r="E2047" s="104"/>
      <c r="F2047" s="104"/>
      <c r="G2047" s="104"/>
      <c r="H2047" s="104"/>
      <c r="I2047" s="104"/>
      <c r="J2047" s="104"/>
      <c r="K2047" s="104"/>
      <c r="L2047" s="104"/>
      <c r="R2047" s="105"/>
      <c r="S2047" s="105"/>
      <c r="T2047" s="105"/>
      <c r="U2047" s="105"/>
      <c r="V2047" s="105"/>
      <c r="W2047" s="105"/>
      <c r="AD2047" s="106"/>
      <c r="AE2047" s="97"/>
      <c r="AF2047" s="97"/>
      <c r="AG2047" s="97"/>
      <c r="AH2047" s="97"/>
      <c r="AI2047" s="97"/>
      <c r="AJ2047" s="97"/>
      <c r="AK2047" s="97"/>
      <c r="AL2047" s="97"/>
      <c r="AM2047" s="97"/>
      <c r="AN2047" s="97"/>
      <c r="AO2047" s="97"/>
      <c r="AP2047" s="97"/>
      <c r="AQ2047" s="97"/>
    </row>
    <row r="2048" spans="2:43" s="101" customFormat="1" ht="15" customHeight="1">
      <c r="B2048" s="104"/>
      <c r="C2048" s="104"/>
      <c r="D2048" s="104"/>
      <c r="E2048" s="104"/>
      <c r="F2048" s="104"/>
      <c r="G2048" s="104"/>
      <c r="H2048" s="104"/>
      <c r="I2048" s="104"/>
      <c r="J2048" s="104"/>
      <c r="K2048" s="104"/>
      <c r="L2048" s="104"/>
      <c r="R2048" s="105"/>
      <c r="S2048" s="105"/>
      <c r="T2048" s="105"/>
      <c r="U2048" s="105"/>
      <c r="V2048" s="105"/>
      <c r="W2048" s="105"/>
      <c r="AD2048" s="106"/>
      <c r="AE2048" s="97"/>
      <c r="AF2048" s="97"/>
      <c r="AG2048" s="97"/>
      <c r="AH2048" s="97"/>
      <c r="AI2048" s="97"/>
      <c r="AJ2048" s="97"/>
      <c r="AK2048" s="97"/>
      <c r="AL2048" s="97"/>
      <c r="AM2048" s="97"/>
      <c r="AN2048" s="97"/>
      <c r="AO2048" s="97"/>
      <c r="AP2048" s="97"/>
      <c r="AQ2048" s="97"/>
    </row>
    <row r="2049" spans="2:43" s="101" customFormat="1" ht="15" customHeight="1">
      <c r="B2049" s="104"/>
      <c r="C2049" s="104"/>
      <c r="D2049" s="104"/>
      <c r="E2049" s="104"/>
      <c r="F2049" s="104"/>
      <c r="G2049" s="104"/>
      <c r="H2049" s="104"/>
      <c r="I2049" s="104"/>
      <c r="J2049" s="104"/>
      <c r="K2049" s="104"/>
      <c r="L2049" s="104"/>
      <c r="R2049" s="105"/>
      <c r="S2049" s="105"/>
      <c r="T2049" s="105"/>
      <c r="U2049" s="105"/>
      <c r="V2049" s="105"/>
      <c r="W2049" s="105"/>
      <c r="AD2049" s="106"/>
      <c r="AE2049" s="97"/>
      <c r="AF2049" s="97"/>
      <c r="AG2049" s="97"/>
      <c r="AH2049" s="97"/>
      <c r="AI2049" s="97"/>
      <c r="AJ2049" s="97"/>
      <c r="AK2049" s="97"/>
      <c r="AL2049" s="97"/>
      <c r="AM2049" s="97"/>
      <c r="AN2049" s="97"/>
      <c r="AO2049" s="97"/>
      <c r="AP2049" s="97"/>
      <c r="AQ2049" s="97"/>
    </row>
    <row r="2050" spans="2:43" s="101" customFormat="1" ht="15" customHeight="1">
      <c r="B2050" s="104"/>
      <c r="C2050" s="104"/>
      <c r="D2050" s="104"/>
      <c r="E2050" s="104"/>
      <c r="F2050" s="104"/>
      <c r="G2050" s="104"/>
      <c r="H2050" s="104"/>
      <c r="I2050" s="104"/>
      <c r="J2050" s="104"/>
      <c r="K2050" s="104"/>
      <c r="L2050" s="104"/>
      <c r="R2050" s="105"/>
      <c r="S2050" s="105"/>
      <c r="T2050" s="105"/>
      <c r="U2050" s="105"/>
      <c r="V2050" s="105"/>
      <c r="W2050" s="105"/>
      <c r="AD2050" s="106"/>
      <c r="AE2050" s="97"/>
      <c r="AF2050" s="97"/>
      <c r="AG2050" s="97"/>
      <c r="AH2050" s="97"/>
      <c r="AI2050" s="97"/>
      <c r="AJ2050" s="97"/>
      <c r="AK2050" s="97"/>
      <c r="AL2050" s="97"/>
      <c r="AM2050" s="97"/>
      <c r="AN2050" s="97"/>
      <c r="AO2050" s="97"/>
      <c r="AP2050" s="97"/>
      <c r="AQ2050" s="97"/>
    </row>
    <row r="2051" spans="2:43" s="101" customFormat="1" ht="15" customHeight="1">
      <c r="B2051" s="104"/>
      <c r="C2051" s="104"/>
      <c r="D2051" s="104"/>
      <c r="E2051" s="104"/>
      <c r="F2051" s="104"/>
      <c r="G2051" s="104"/>
      <c r="H2051" s="104"/>
      <c r="I2051" s="104"/>
      <c r="J2051" s="104"/>
      <c r="K2051" s="104"/>
      <c r="L2051" s="104"/>
      <c r="R2051" s="105"/>
      <c r="S2051" s="105"/>
      <c r="T2051" s="105"/>
      <c r="U2051" s="105"/>
      <c r="V2051" s="105"/>
      <c r="W2051" s="105"/>
      <c r="AD2051" s="106"/>
      <c r="AE2051" s="97"/>
      <c r="AF2051" s="97"/>
      <c r="AG2051" s="97"/>
      <c r="AH2051" s="97"/>
      <c r="AI2051" s="97"/>
      <c r="AJ2051" s="97"/>
      <c r="AK2051" s="97"/>
      <c r="AL2051" s="97"/>
      <c r="AM2051" s="97"/>
      <c r="AN2051" s="97"/>
      <c r="AO2051" s="97"/>
      <c r="AP2051" s="97"/>
      <c r="AQ2051" s="97"/>
    </row>
    <row r="2052" spans="2:43" s="101" customFormat="1" ht="15" customHeight="1">
      <c r="B2052" s="104"/>
      <c r="C2052" s="104"/>
      <c r="D2052" s="104"/>
      <c r="E2052" s="104"/>
      <c r="F2052" s="104"/>
      <c r="G2052" s="104"/>
      <c r="H2052" s="104"/>
      <c r="I2052" s="104"/>
      <c r="J2052" s="104"/>
      <c r="K2052" s="104"/>
      <c r="L2052" s="104"/>
      <c r="R2052" s="105"/>
      <c r="S2052" s="105"/>
      <c r="T2052" s="105"/>
      <c r="U2052" s="105"/>
      <c r="V2052" s="105"/>
      <c r="W2052" s="105"/>
      <c r="AD2052" s="106"/>
      <c r="AE2052" s="97"/>
      <c r="AF2052" s="97"/>
      <c r="AG2052" s="97"/>
      <c r="AH2052" s="97"/>
      <c r="AI2052" s="97"/>
      <c r="AJ2052" s="97"/>
      <c r="AK2052" s="97"/>
      <c r="AL2052" s="97"/>
      <c r="AM2052" s="97"/>
      <c r="AN2052" s="97"/>
      <c r="AO2052" s="97"/>
      <c r="AP2052" s="97"/>
      <c r="AQ2052" s="97"/>
    </row>
    <row r="2053" spans="2:43" s="101" customFormat="1" ht="15" customHeight="1">
      <c r="B2053" s="104"/>
      <c r="C2053" s="104"/>
      <c r="D2053" s="104"/>
      <c r="E2053" s="104"/>
      <c r="F2053" s="104"/>
      <c r="G2053" s="104"/>
      <c r="H2053" s="104"/>
      <c r="I2053" s="104"/>
      <c r="J2053" s="104"/>
      <c r="K2053" s="104"/>
      <c r="L2053" s="104"/>
      <c r="R2053" s="105"/>
      <c r="S2053" s="105"/>
      <c r="T2053" s="105"/>
      <c r="U2053" s="105"/>
      <c r="V2053" s="105"/>
      <c r="W2053" s="105"/>
      <c r="AD2053" s="106"/>
      <c r="AE2053" s="97"/>
      <c r="AF2053" s="97"/>
      <c r="AG2053" s="97"/>
      <c r="AH2053" s="97"/>
      <c r="AI2053" s="97"/>
      <c r="AJ2053" s="97"/>
      <c r="AK2053" s="97"/>
      <c r="AL2053" s="97"/>
      <c r="AM2053" s="97"/>
      <c r="AN2053" s="97"/>
      <c r="AO2053" s="97"/>
      <c r="AP2053" s="97"/>
      <c r="AQ2053" s="97"/>
    </row>
    <row r="2054" spans="2:43" s="101" customFormat="1" ht="15" customHeight="1">
      <c r="B2054" s="104"/>
      <c r="C2054" s="104"/>
      <c r="D2054" s="104"/>
      <c r="E2054" s="104"/>
      <c r="F2054" s="104"/>
      <c r="G2054" s="104"/>
      <c r="H2054" s="104"/>
      <c r="I2054" s="104"/>
      <c r="J2054" s="104"/>
      <c r="K2054" s="104"/>
      <c r="L2054" s="104"/>
      <c r="R2054" s="105"/>
      <c r="S2054" s="105"/>
      <c r="T2054" s="105"/>
      <c r="U2054" s="105"/>
      <c r="V2054" s="105"/>
      <c r="W2054" s="105"/>
      <c r="AD2054" s="106"/>
      <c r="AE2054" s="97"/>
      <c r="AF2054" s="97"/>
      <c r="AG2054" s="97"/>
      <c r="AH2054" s="97"/>
      <c r="AI2054" s="97"/>
      <c r="AJ2054" s="97"/>
      <c r="AK2054" s="97"/>
      <c r="AL2054" s="97"/>
      <c r="AM2054" s="97"/>
      <c r="AN2054" s="97"/>
      <c r="AO2054" s="97"/>
      <c r="AP2054" s="97"/>
      <c r="AQ2054" s="97"/>
    </row>
    <row r="2055" spans="2:43" s="101" customFormat="1" ht="15" customHeight="1">
      <c r="B2055" s="104"/>
      <c r="C2055" s="104"/>
      <c r="D2055" s="104"/>
      <c r="E2055" s="104"/>
      <c r="F2055" s="104"/>
      <c r="G2055" s="104"/>
      <c r="H2055" s="104"/>
      <c r="I2055" s="104"/>
      <c r="J2055" s="104"/>
      <c r="K2055" s="104"/>
      <c r="L2055" s="104"/>
      <c r="R2055" s="105"/>
      <c r="S2055" s="105"/>
      <c r="T2055" s="105"/>
      <c r="U2055" s="105"/>
      <c r="V2055" s="105"/>
      <c r="W2055" s="105"/>
      <c r="AD2055" s="106"/>
      <c r="AE2055" s="97"/>
      <c r="AF2055" s="97"/>
      <c r="AG2055" s="97"/>
      <c r="AH2055" s="97"/>
      <c r="AI2055" s="97"/>
      <c r="AJ2055" s="97"/>
      <c r="AK2055" s="97"/>
      <c r="AL2055" s="97"/>
      <c r="AM2055" s="97"/>
      <c r="AN2055" s="97"/>
      <c r="AO2055" s="97"/>
      <c r="AP2055" s="97"/>
      <c r="AQ2055" s="97"/>
    </row>
    <row r="2056" spans="2:43" s="101" customFormat="1" ht="15" customHeight="1">
      <c r="B2056" s="104"/>
      <c r="C2056" s="104"/>
      <c r="D2056" s="104"/>
      <c r="E2056" s="104"/>
      <c r="F2056" s="104"/>
      <c r="G2056" s="104"/>
      <c r="H2056" s="104"/>
      <c r="I2056" s="104"/>
      <c r="J2056" s="104"/>
      <c r="K2056" s="104"/>
      <c r="L2056" s="104"/>
      <c r="R2056" s="105"/>
      <c r="S2056" s="105"/>
      <c r="T2056" s="105"/>
      <c r="U2056" s="105"/>
      <c r="V2056" s="105"/>
      <c r="W2056" s="105"/>
      <c r="AD2056" s="106"/>
      <c r="AE2056" s="97"/>
      <c r="AF2056" s="97"/>
      <c r="AG2056" s="97"/>
      <c r="AH2056" s="97"/>
      <c r="AI2056" s="97"/>
      <c r="AJ2056" s="97"/>
      <c r="AK2056" s="97"/>
      <c r="AL2056" s="97"/>
      <c r="AM2056" s="97"/>
      <c r="AN2056" s="97"/>
      <c r="AO2056" s="97"/>
      <c r="AP2056" s="97"/>
      <c r="AQ2056" s="97"/>
    </row>
    <row r="2057" spans="2:43" s="101" customFormat="1" ht="15" customHeight="1">
      <c r="B2057" s="104"/>
      <c r="C2057" s="104"/>
      <c r="D2057" s="104"/>
      <c r="E2057" s="104"/>
      <c r="F2057" s="104"/>
      <c r="G2057" s="104"/>
      <c r="H2057" s="104"/>
      <c r="I2057" s="104"/>
      <c r="J2057" s="104"/>
      <c r="K2057" s="104"/>
      <c r="L2057" s="104"/>
      <c r="R2057" s="105"/>
      <c r="S2057" s="105"/>
      <c r="T2057" s="105"/>
      <c r="U2057" s="105"/>
      <c r="V2057" s="105"/>
      <c r="W2057" s="105"/>
      <c r="AD2057" s="106"/>
      <c r="AE2057" s="97"/>
      <c r="AF2057" s="97"/>
      <c r="AG2057" s="97"/>
      <c r="AH2057" s="97"/>
      <c r="AI2057" s="97"/>
      <c r="AJ2057" s="97"/>
      <c r="AK2057" s="97"/>
      <c r="AL2057" s="97"/>
      <c r="AM2057" s="97"/>
      <c r="AN2057" s="97"/>
      <c r="AO2057" s="97"/>
      <c r="AP2057" s="97"/>
      <c r="AQ2057" s="97"/>
    </row>
    <row r="2058" spans="2:43" s="101" customFormat="1" ht="15" customHeight="1">
      <c r="B2058" s="104"/>
      <c r="C2058" s="104"/>
      <c r="D2058" s="104"/>
      <c r="E2058" s="104"/>
      <c r="F2058" s="104"/>
      <c r="G2058" s="104"/>
      <c r="H2058" s="104"/>
      <c r="I2058" s="104"/>
      <c r="J2058" s="104"/>
      <c r="K2058" s="104"/>
      <c r="L2058" s="104"/>
      <c r="R2058" s="105"/>
      <c r="S2058" s="105"/>
      <c r="T2058" s="105"/>
      <c r="U2058" s="105"/>
      <c r="V2058" s="105"/>
      <c r="W2058" s="105"/>
      <c r="AD2058" s="106"/>
      <c r="AE2058" s="97"/>
      <c r="AF2058" s="97"/>
      <c r="AG2058" s="97"/>
      <c r="AH2058" s="97"/>
      <c r="AI2058" s="97"/>
      <c r="AJ2058" s="97"/>
      <c r="AK2058" s="97"/>
      <c r="AL2058" s="97"/>
      <c r="AM2058" s="97"/>
      <c r="AN2058" s="97"/>
      <c r="AO2058" s="97"/>
      <c r="AP2058" s="97"/>
      <c r="AQ2058" s="97"/>
    </row>
    <row r="2059" spans="2:43" s="101" customFormat="1" ht="15" customHeight="1">
      <c r="B2059" s="104"/>
      <c r="C2059" s="104"/>
      <c r="D2059" s="104"/>
      <c r="E2059" s="104"/>
      <c r="F2059" s="104"/>
      <c r="G2059" s="104"/>
      <c r="H2059" s="104"/>
      <c r="I2059" s="104"/>
      <c r="J2059" s="104"/>
      <c r="K2059" s="104"/>
      <c r="L2059" s="104"/>
      <c r="R2059" s="105"/>
      <c r="S2059" s="105"/>
      <c r="T2059" s="105"/>
      <c r="U2059" s="105"/>
      <c r="V2059" s="105"/>
      <c r="W2059" s="105"/>
      <c r="AD2059" s="106"/>
      <c r="AE2059" s="97"/>
      <c r="AF2059" s="97"/>
      <c r="AG2059" s="97"/>
      <c r="AH2059" s="97"/>
      <c r="AI2059" s="97"/>
      <c r="AJ2059" s="97"/>
      <c r="AK2059" s="97"/>
      <c r="AL2059" s="97"/>
      <c r="AM2059" s="97"/>
      <c r="AN2059" s="97"/>
      <c r="AO2059" s="97"/>
      <c r="AP2059" s="97"/>
      <c r="AQ2059" s="97"/>
    </row>
    <row r="2060" spans="2:43" s="101" customFormat="1" ht="15" customHeight="1">
      <c r="B2060" s="104"/>
      <c r="C2060" s="104"/>
      <c r="D2060" s="104"/>
      <c r="E2060" s="104"/>
      <c r="F2060" s="104"/>
      <c r="G2060" s="104"/>
      <c r="H2060" s="104"/>
      <c r="I2060" s="104"/>
      <c r="J2060" s="104"/>
      <c r="K2060" s="104"/>
      <c r="L2060" s="104"/>
      <c r="R2060" s="105"/>
      <c r="S2060" s="105"/>
      <c r="T2060" s="105"/>
      <c r="U2060" s="105"/>
      <c r="V2060" s="105"/>
      <c r="W2060" s="105"/>
      <c r="AD2060" s="106"/>
      <c r="AE2060" s="97"/>
      <c r="AF2060" s="97"/>
      <c r="AG2060" s="97"/>
      <c r="AH2060" s="97"/>
      <c r="AI2060" s="97"/>
      <c r="AJ2060" s="97"/>
      <c r="AK2060" s="97"/>
      <c r="AL2060" s="97"/>
      <c r="AM2060" s="97"/>
      <c r="AN2060" s="97"/>
      <c r="AO2060" s="97"/>
      <c r="AP2060" s="97"/>
      <c r="AQ2060" s="97"/>
    </row>
    <row r="2061" spans="2:43" s="101" customFormat="1" ht="15" customHeight="1">
      <c r="B2061" s="104"/>
      <c r="C2061" s="104"/>
      <c r="D2061" s="104"/>
      <c r="E2061" s="104"/>
      <c r="F2061" s="104"/>
      <c r="G2061" s="104"/>
      <c r="H2061" s="104"/>
      <c r="I2061" s="104"/>
      <c r="J2061" s="104"/>
      <c r="K2061" s="104"/>
      <c r="L2061" s="104"/>
      <c r="R2061" s="105"/>
      <c r="S2061" s="105"/>
      <c r="T2061" s="105"/>
      <c r="U2061" s="105"/>
      <c r="V2061" s="105"/>
      <c r="W2061" s="105"/>
      <c r="AD2061" s="106"/>
      <c r="AE2061" s="97"/>
      <c r="AF2061" s="97"/>
      <c r="AG2061" s="97"/>
      <c r="AH2061" s="97"/>
      <c r="AI2061" s="97"/>
      <c r="AJ2061" s="97"/>
      <c r="AK2061" s="97"/>
      <c r="AL2061" s="97"/>
      <c r="AM2061" s="97"/>
      <c r="AN2061" s="97"/>
      <c r="AO2061" s="97"/>
      <c r="AP2061" s="97"/>
      <c r="AQ2061" s="97"/>
    </row>
    <row r="2062" spans="2:43" s="101" customFormat="1" ht="15" customHeight="1">
      <c r="B2062" s="104"/>
      <c r="C2062" s="104"/>
      <c r="D2062" s="104"/>
      <c r="E2062" s="104"/>
      <c r="F2062" s="104"/>
      <c r="G2062" s="104"/>
      <c r="H2062" s="104"/>
      <c r="I2062" s="104"/>
      <c r="J2062" s="104"/>
      <c r="K2062" s="104"/>
      <c r="L2062" s="104"/>
      <c r="R2062" s="105"/>
      <c r="S2062" s="105"/>
      <c r="T2062" s="105"/>
      <c r="U2062" s="105"/>
      <c r="V2062" s="105"/>
      <c r="W2062" s="105"/>
      <c r="AD2062" s="106"/>
      <c r="AE2062" s="97"/>
      <c r="AF2062" s="97"/>
      <c r="AG2062" s="97"/>
      <c r="AH2062" s="97"/>
      <c r="AI2062" s="97"/>
      <c r="AJ2062" s="97"/>
      <c r="AK2062" s="97"/>
      <c r="AL2062" s="97"/>
      <c r="AM2062" s="97"/>
      <c r="AN2062" s="97"/>
      <c r="AO2062" s="97"/>
      <c r="AP2062" s="97"/>
      <c r="AQ2062" s="97"/>
    </row>
    <row r="2063" spans="2:43" s="101" customFormat="1" ht="15" customHeight="1">
      <c r="B2063" s="104"/>
      <c r="C2063" s="104"/>
      <c r="D2063" s="104"/>
      <c r="E2063" s="104"/>
      <c r="F2063" s="104"/>
      <c r="G2063" s="104"/>
      <c r="H2063" s="104"/>
      <c r="I2063" s="104"/>
      <c r="J2063" s="104"/>
      <c r="K2063" s="104"/>
      <c r="L2063" s="104"/>
      <c r="R2063" s="105"/>
      <c r="S2063" s="105"/>
      <c r="T2063" s="105"/>
      <c r="U2063" s="105"/>
      <c r="V2063" s="105"/>
      <c r="W2063" s="105"/>
      <c r="AD2063" s="106"/>
      <c r="AE2063" s="97"/>
      <c r="AF2063" s="97"/>
      <c r="AG2063" s="97"/>
      <c r="AH2063" s="97"/>
      <c r="AI2063" s="97"/>
      <c r="AJ2063" s="97"/>
      <c r="AK2063" s="97"/>
      <c r="AL2063" s="97"/>
      <c r="AM2063" s="97"/>
      <c r="AN2063" s="97"/>
      <c r="AO2063" s="97"/>
      <c r="AP2063" s="97"/>
      <c r="AQ2063" s="97"/>
    </row>
    <row r="2064" spans="2:43" s="101" customFormat="1" ht="15" customHeight="1">
      <c r="B2064" s="104"/>
      <c r="C2064" s="104"/>
      <c r="D2064" s="104"/>
      <c r="E2064" s="104"/>
      <c r="F2064" s="104"/>
      <c r="G2064" s="104"/>
      <c r="H2064" s="104"/>
      <c r="I2064" s="104"/>
      <c r="J2064" s="104"/>
      <c r="K2064" s="104"/>
      <c r="L2064" s="104"/>
      <c r="R2064" s="105"/>
      <c r="S2064" s="105"/>
      <c r="T2064" s="105"/>
      <c r="U2064" s="105"/>
      <c r="V2064" s="105"/>
      <c r="W2064" s="105"/>
      <c r="AD2064" s="106"/>
      <c r="AE2064" s="97"/>
      <c r="AF2064" s="97"/>
      <c r="AG2064" s="97"/>
      <c r="AH2064" s="97"/>
      <c r="AI2064" s="97"/>
      <c r="AJ2064" s="97"/>
      <c r="AK2064" s="97"/>
      <c r="AL2064" s="97"/>
      <c r="AM2064" s="97"/>
      <c r="AN2064" s="97"/>
      <c r="AO2064" s="97"/>
      <c r="AP2064" s="97"/>
      <c r="AQ2064" s="97"/>
    </row>
    <row r="2065" spans="2:43" s="101" customFormat="1" ht="15" customHeight="1">
      <c r="B2065" s="104"/>
      <c r="C2065" s="104"/>
      <c r="D2065" s="104"/>
      <c r="E2065" s="104"/>
      <c r="F2065" s="104"/>
      <c r="G2065" s="104"/>
      <c r="H2065" s="104"/>
      <c r="I2065" s="104"/>
      <c r="J2065" s="104"/>
      <c r="K2065" s="104"/>
      <c r="L2065" s="104"/>
      <c r="R2065" s="105"/>
      <c r="S2065" s="105"/>
      <c r="T2065" s="105"/>
      <c r="U2065" s="105"/>
      <c r="V2065" s="105"/>
      <c r="W2065" s="105"/>
      <c r="AD2065" s="106"/>
      <c r="AE2065" s="97"/>
      <c r="AF2065" s="97"/>
      <c r="AG2065" s="97"/>
      <c r="AH2065" s="97"/>
      <c r="AI2065" s="97"/>
      <c r="AJ2065" s="97"/>
      <c r="AK2065" s="97"/>
      <c r="AL2065" s="97"/>
      <c r="AM2065" s="97"/>
      <c r="AN2065" s="97"/>
      <c r="AO2065" s="97"/>
      <c r="AP2065" s="97"/>
      <c r="AQ2065" s="97"/>
    </row>
    <row r="2066" spans="2:43" s="101" customFormat="1" ht="15" customHeight="1">
      <c r="B2066" s="104"/>
      <c r="C2066" s="104"/>
      <c r="D2066" s="104"/>
      <c r="E2066" s="104"/>
      <c r="F2066" s="104"/>
      <c r="G2066" s="104"/>
      <c r="H2066" s="104"/>
      <c r="I2066" s="104"/>
      <c r="J2066" s="104"/>
      <c r="K2066" s="104"/>
      <c r="L2066" s="104"/>
      <c r="R2066" s="105"/>
      <c r="S2066" s="105"/>
      <c r="T2066" s="105"/>
      <c r="U2066" s="105"/>
      <c r="V2066" s="105"/>
      <c r="W2066" s="105"/>
      <c r="AD2066" s="106"/>
      <c r="AE2066" s="97"/>
      <c r="AF2066" s="97"/>
      <c r="AG2066" s="97"/>
      <c r="AH2066" s="97"/>
      <c r="AI2066" s="97"/>
      <c r="AJ2066" s="97"/>
      <c r="AK2066" s="97"/>
      <c r="AL2066" s="97"/>
      <c r="AM2066" s="97"/>
      <c r="AN2066" s="97"/>
      <c r="AO2066" s="97"/>
      <c r="AP2066" s="97"/>
      <c r="AQ2066" s="97"/>
    </row>
    <row r="2067" spans="2:43" s="101" customFormat="1" ht="15" customHeight="1">
      <c r="B2067" s="104"/>
      <c r="C2067" s="104"/>
      <c r="D2067" s="104"/>
      <c r="E2067" s="104"/>
      <c r="F2067" s="104"/>
      <c r="G2067" s="104"/>
      <c r="H2067" s="104"/>
      <c r="I2067" s="104"/>
      <c r="J2067" s="104"/>
      <c r="K2067" s="104"/>
      <c r="L2067" s="104"/>
      <c r="R2067" s="105"/>
      <c r="S2067" s="105"/>
      <c r="T2067" s="105"/>
      <c r="U2067" s="105"/>
      <c r="V2067" s="105"/>
      <c r="W2067" s="105"/>
      <c r="AD2067" s="106"/>
      <c r="AE2067" s="97"/>
      <c r="AF2067" s="97"/>
      <c r="AG2067" s="97"/>
      <c r="AH2067" s="97"/>
      <c r="AI2067" s="97"/>
      <c r="AJ2067" s="97"/>
      <c r="AK2067" s="97"/>
      <c r="AL2067" s="97"/>
      <c r="AM2067" s="97"/>
      <c r="AN2067" s="97"/>
      <c r="AO2067" s="97"/>
      <c r="AP2067" s="97"/>
      <c r="AQ2067" s="97"/>
    </row>
    <row r="2068" spans="2:43" s="101" customFormat="1" ht="15" customHeight="1">
      <c r="B2068" s="104"/>
      <c r="C2068" s="104"/>
      <c r="D2068" s="104"/>
      <c r="E2068" s="104"/>
      <c r="F2068" s="104"/>
      <c r="G2068" s="104"/>
      <c r="H2068" s="104"/>
      <c r="I2068" s="104"/>
      <c r="J2068" s="104"/>
      <c r="K2068" s="104"/>
      <c r="L2068" s="104"/>
      <c r="R2068" s="105"/>
      <c r="S2068" s="105"/>
      <c r="T2068" s="105"/>
      <c r="U2068" s="105"/>
      <c r="V2068" s="105"/>
      <c r="W2068" s="105"/>
      <c r="AD2068" s="106"/>
      <c r="AE2068" s="97"/>
      <c r="AF2068" s="97"/>
      <c r="AG2068" s="97"/>
      <c r="AH2068" s="97"/>
      <c r="AI2068" s="97"/>
      <c r="AJ2068" s="97"/>
      <c r="AK2068" s="97"/>
      <c r="AL2068" s="97"/>
      <c r="AM2068" s="97"/>
      <c r="AN2068" s="97"/>
      <c r="AO2068" s="97"/>
      <c r="AP2068" s="97"/>
      <c r="AQ2068" s="97"/>
    </row>
    <row r="2069" spans="2:43" s="101" customFormat="1" ht="15" customHeight="1">
      <c r="B2069" s="104"/>
      <c r="C2069" s="104"/>
      <c r="D2069" s="104"/>
      <c r="E2069" s="104"/>
      <c r="F2069" s="104"/>
      <c r="G2069" s="104"/>
      <c r="H2069" s="104"/>
      <c r="I2069" s="104"/>
      <c r="J2069" s="104"/>
      <c r="K2069" s="104"/>
      <c r="L2069" s="104"/>
      <c r="R2069" s="105"/>
      <c r="S2069" s="105"/>
      <c r="T2069" s="105"/>
      <c r="U2069" s="105"/>
      <c r="V2069" s="105"/>
      <c r="W2069" s="105"/>
      <c r="AD2069" s="106"/>
      <c r="AE2069" s="97"/>
      <c r="AF2069" s="97"/>
      <c r="AG2069" s="97"/>
      <c r="AH2069" s="97"/>
      <c r="AI2069" s="97"/>
      <c r="AJ2069" s="97"/>
      <c r="AK2069" s="97"/>
      <c r="AL2069" s="97"/>
      <c r="AM2069" s="97"/>
      <c r="AN2069" s="97"/>
      <c r="AO2069" s="97"/>
      <c r="AP2069" s="97"/>
      <c r="AQ2069" s="97"/>
    </row>
    <row r="2070" spans="2:43" s="101" customFormat="1" ht="15" customHeight="1">
      <c r="B2070" s="104"/>
      <c r="C2070" s="104"/>
      <c r="D2070" s="104"/>
      <c r="E2070" s="104"/>
      <c r="F2070" s="104"/>
      <c r="G2070" s="104"/>
      <c r="H2070" s="104"/>
      <c r="I2070" s="104"/>
      <c r="J2070" s="104"/>
      <c r="K2070" s="104"/>
      <c r="L2070" s="104"/>
      <c r="R2070" s="105"/>
      <c r="S2070" s="105"/>
      <c r="T2070" s="105"/>
      <c r="U2070" s="105"/>
      <c r="V2070" s="105"/>
      <c r="W2070" s="105"/>
      <c r="AD2070" s="106"/>
      <c r="AE2070" s="97"/>
      <c r="AF2070" s="97"/>
      <c r="AG2070" s="97"/>
      <c r="AH2070" s="97"/>
      <c r="AI2070" s="97"/>
      <c r="AJ2070" s="97"/>
      <c r="AK2070" s="97"/>
      <c r="AL2070" s="97"/>
      <c r="AM2070" s="97"/>
      <c r="AN2070" s="97"/>
      <c r="AO2070" s="97"/>
      <c r="AP2070" s="97"/>
      <c r="AQ2070" s="97"/>
    </row>
    <row r="2071" spans="2:43" s="101" customFormat="1" ht="15" customHeight="1">
      <c r="B2071" s="104"/>
      <c r="C2071" s="104"/>
      <c r="D2071" s="104"/>
      <c r="E2071" s="104"/>
      <c r="F2071" s="104"/>
      <c r="G2071" s="104"/>
      <c r="H2071" s="104"/>
      <c r="I2071" s="104"/>
      <c r="J2071" s="104"/>
      <c r="K2071" s="104"/>
      <c r="L2071" s="104"/>
      <c r="R2071" s="105"/>
      <c r="S2071" s="105"/>
      <c r="T2071" s="105"/>
      <c r="U2071" s="105"/>
      <c r="V2071" s="105"/>
      <c r="W2071" s="105"/>
      <c r="AD2071" s="106"/>
      <c r="AE2071" s="97"/>
      <c r="AF2071" s="97"/>
      <c r="AG2071" s="97"/>
      <c r="AH2071" s="97"/>
      <c r="AI2071" s="97"/>
      <c r="AJ2071" s="97"/>
      <c r="AK2071" s="97"/>
      <c r="AL2071" s="97"/>
      <c r="AM2071" s="97"/>
      <c r="AN2071" s="97"/>
      <c r="AO2071" s="97"/>
      <c r="AP2071" s="97"/>
      <c r="AQ2071" s="97"/>
    </row>
    <row r="2072" spans="2:43" s="101" customFormat="1" ht="15" customHeight="1">
      <c r="B2072" s="104"/>
      <c r="C2072" s="104"/>
      <c r="D2072" s="104"/>
      <c r="E2072" s="104"/>
      <c r="F2072" s="104"/>
      <c r="G2072" s="104"/>
      <c r="H2072" s="104"/>
      <c r="I2072" s="104"/>
      <c r="J2072" s="104"/>
      <c r="K2072" s="104"/>
      <c r="L2072" s="104"/>
      <c r="R2072" s="105"/>
      <c r="S2072" s="105"/>
      <c r="T2072" s="105"/>
      <c r="U2072" s="105"/>
      <c r="V2072" s="105"/>
      <c r="W2072" s="105"/>
      <c r="AD2072" s="106"/>
      <c r="AE2072" s="97"/>
      <c r="AF2072" s="97"/>
      <c r="AG2072" s="97"/>
      <c r="AH2072" s="97"/>
      <c r="AI2072" s="97"/>
      <c r="AJ2072" s="97"/>
      <c r="AK2072" s="97"/>
      <c r="AL2072" s="97"/>
      <c r="AM2072" s="97"/>
      <c r="AN2072" s="97"/>
      <c r="AO2072" s="97"/>
      <c r="AP2072" s="97"/>
      <c r="AQ2072" s="97"/>
    </row>
    <row r="2073" spans="2:43" s="101" customFormat="1" ht="15" customHeight="1">
      <c r="B2073" s="104"/>
      <c r="C2073" s="104"/>
      <c r="D2073" s="104"/>
      <c r="E2073" s="104"/>
      <c r="F2073" s="104"/>
      <c r="G2073" s="104"/>
      <c r="H2073" s="104"/>
      <c r="I2073" s="104"/>
      <c r="J2073" s="104"/>
      <c r="K2073" s="104"/>
      <c r="L2073" s="104"/>
      <c r="R2073" s="105"/>
      <c r="S2073" s="105"/>
      <c r="T2073" s="105"/>
      <c r="U2073" s="105"/>
      <c r="V2073" s="105"/>
      <c r="W2073" s="105"/>
      <c r="AD2073" s="106"/>
      <c r="AE2073" s="97"/>
      <c r="AF2073" s="97"/>
      <c r="AG2073" s="97"/>
      <c r="AH2073" s="97"/>
      <c r="AI2073" s="97"/>
      <c r="AJ2073" s="97"/>
      <c r="AK2073" s="97"/>
      <c r="AL2073" s="97"/>
      <c r="AM2073" s="97"/>
      <c r="AN2073" s="97"/>
      <c r="AO2073" s="97"/>
      <c r="AP2073" s="97"/>
      <c r="AQ2073" s="97"/>
    </row>
    <row r="2074" spans="2:43" s="101" customFormat="1" ht="15" customHeight="1">
      <c r="B2074" s="104"/>
      <c r="C2074" s="104"/>
      <c r="D2074" s="104"/>
      <c r="E2074" s="104"/>
      <c r="F2074" s="104"/>
      <c r="G2074" s="104"/>
      <c r="H2074" s="104"/>
      <c r="I2074" s="104"/>
      <c r="J2074" s="104"/>
      <c r="K2074" s="104"/>
      <c r="L2074" s="104"/>
      <c r="R2074" s="105"/>
      <c r="S2074" s="105"/>
      <c r="T2074" s="105"/>
      <c r="U2074" s="105"/>
      <c r="V2074" s="105"/>
      <c r="W2074" s="105"/>
      <c r="AD2074" s="106"/>
      <c r="AE2074" s="97"/>
      <c r="AF2074" s="97"/>
      <c r="AG2074" s="97"/>
      <c r="AH2074" s="97"/>
      <c r="AI2074" s="97"/>
      <c r="AJ2074" s="97"/>
      <c r="AK2074" s="97"/>
      <c r="AL2074" s="97"/>
      <c r="AM2074" s="97"/>
      <c r="AN2074" s="97"/>
      <c r="AO2074" s="97"/>
      <c r="AP2074" s="97"/>
      <c r="AQ2074" s="97"/>
    </row>
    <row r="2075" spans="2:43" s="101" customFormat="1" ht="15" customHeight="1">
      <c r="B2075" s="104"/>
      <c r="C2075" s="104"/>
      <c r="D2075" s="104"/>
      <c r="E2075" s="104"/>
      <c r="F2075" s="104"/>
      <c r="G2075" s="104"/>
      <c r="H2075" s="104"/>
      <c r="I2075" s="104"/>
      <c r="J2075" s="104"/>
      <c r="K2075" s="104"/>
      <c r="L2075" s="104"/>
      <c r="R2075" s="105"/>
      <c r="S2075" s="105"/>
      <c r="T2075" s="105"/>
      <c r="U2075" s="105"/>
      <c r="V2075" s="105"/>
      <c r="W2075" s="105"/>
      <c r="AD2075" s="106"/>
      <c r="AE2075" s="97"/>
      <c r="AF2075" s="97"/>
      <c r="AG2075" s="97"/>
      <c r="AH2075" s="97"/>
      <c r="AI2075" s="97"/>
      <c r="AJ2075" s="97"/>
      <c r="AK2075" s="97"/>
      <c r="AL2075" s="97"/>
      <c r="AM2075" s="97"/>
      <c r="AN2075" s="97"/>
      <c r="AO2075" s="97"/>
      <c r="AP2075" s="97"/>
      <c r="AQ2075" s="97"/>
    </row>
    <row r="2076" spans="2:43" s="101" customFormat="1" ht="15" customHeight="1">
      <c r="B2076" s="104"/>
      <c r="C2076" s="104"/>
      <c r="D2076" s="104"/>
      <c r="E2076" s="104"/>
      <c r="F2076" s="104"/>
      <c r="G2076" s="104"/>
      <c r="H2076" s="104"/>
      <c r="I2076" s="104"/>
      <c r="J2076" s="104"/>
      <c r="K2076" s="104"/>
      <c r="L2076" s="104"/>
      <c r="R2076" s="105"/>
      <c r="S2076" s="105"/>
      <c r="T2076" s="105"/>
      <c r="U2076" s="105"/>
      <c r="V2076" s="105"/>
      <c r="W2076" s="105"/>
      <c r="AD2076" s="106"/>
      <c r="AE2076" s="97"/>
      <c r="AF2076" s="97"/>
      <c r="AG2076" s="97"/>
      <c r="AH2076" s="97"/>
      <c r="AI2076" s="97"/>
      <c r="AJ2076" s="97"/>
      <c r="AK2076" s="97"/>
      <c r="AL2076" s="97"/>
      <c r="AM2076" s="97"/>
      <c r="AN2076" s="97"/>
      <c r="AO2076" s="97"/>
      <c r="AP2076" s="97"/>
      <c r="AQ2076" s="97"/>
    </row>
    <row r="2077" spans="2:43" s="101" customFormat="1" ht="15" customHeight="1">
      <c r="B2077" s="104"/>
      <c r="C2077" s="104"/>
      <c r="D2077" s="104"/>
      <c r="E2077" s="104"/>
      <c r="F2077" s="104"/>
      <c r="G2077" s="104"/>
      <c r="H2077" s="104"/>
      <c r="I2077" s="104"/>
      <c r="J2077" s="104"/>
      <c r="K2077" s="104"/>
      <c r="L2077" s="104"/>
      <c r="R2077" s="105"/>
      <c r="S2077" s="105"/>
      <c r="T2077" s="105"/>
      <c r="U2077" s="105"/>
      <c r="V2077" s="105"/>
      <c r="W2077" s="105"/>
      <c r="AD2077" s="106"/>
      <c r="AE2077" s="97"/>
      <c r="AF2077" s="97"/>
      <c r="AG2077" s="97"/>
      <c r="AH2077" s="97"/>
      <c r="AI2077" s="97"/>
      <c r="AJ2077" s="97"/>
      <c r="AK2077" s="97"/>
      <c r="AL2077" s="97"/>
      <c r="AM2077" s="97"/>
      <c r="AN2077" s="97"/>
      <c r="AO2077" s="97"/>
      <c r="AP2077" s="97"/>
      <c r="AQ2077" s="97"/>
    </row>
    <row r="2078" spans="2:43" s="101" customFormat="1" ht="15" customHeight="1">
      <c r="B2078" s="104"/>
      <c r="C2078" s="104"/>
      <c r="D2078" s="104"/>
      <c r="E2078" s="104"/>
      <c r="F2078" s="104"/>
      <c r="G2078" s="104"/>
      <c r="H2078" s="104"/>
      <c r="I2078" s="104"/>
      <c r="J2078" s="104"/>
      <c r="K2078" s="104"/>
      <c r="L2078" s="104"/>
      <c r="R2078" s="105"/>
      <c r="S2078" s="105"/>
      <c r="T2078" s="105"/>
      <c r="U2078" s="105"/>
      <c r="V2078" s="105"/>
      <c r="W2078" s="105"/>
      <c r="AD2078" s="106"/>
      <c r="AE2078" s="97"/>
      <c r="AF2078" s="97"/>
      <c r="AG2078" s="97"/>
      <c r="AH2078" s="97"/>
      <c r="AI2078" s="97"/>
      <c r="AJ2078" s="97"/>
      <c r="AK2078" s="97"/>
      <c r="AL2078" s="97"/>
      <c r="AM2078" s="97"/>
      <c r="AN2078" s="97"/>
      <c r="AO2078" s="97"/>
      <c r="AP2078" s="97"/>
      <c r="AQ2078" s="97"/>
    </row>
    <row r="2079" spans="2:43" s="101" customFormat="1" ht="15" customHeight="1">
      <c r="B2079" s="104"/>
      <c r="C2079" s="104"/>
      <c r="D2079" s="104"/>
      <c r="E2079" s="104"/>
      <c r="F2079" s="104"/>
      <c r="G2079" s="104"/>
      <c r="H2079" s="104"/>
      <c r="I2079" s="104"/>
      <c r="J2079" s="104"/>
      <c r="K2079" s="104"/>
      <c r="L2079" s="104"/>
      <c r="R2079" s="105"/>
      <c r="S2079" s="105"/>
      <c r="T2079" s="105"/>
      <c r="U2079" s="105"/>
      <c r="V2079" s="105"/>
      <c r="W2079" s="105"/>
      <c r="AD2079" s="106"/>
      <c r="AE2079" s="97"/>
      <c r="AF2079" s="97"/>
      <c r="AG2079" s="97"/>
      <c r="AH2079" s="97"/>
      <c r="AI2079" s="97"/>
      <c r="AJ2079" s="97"/>
      <c r="AK2079" s="97"/>
      <c r="AL2079" s="97"/>
      <c r="AM2079" s="97"/>
      <c r="AN2079" s="97"/>
      <c r="AO2079" s="97"/>
      <c r="AP2079" s="97"/>
      <c r="AQ2079" s="97"/>
    </row>
    <row r="2080" spans="2:43" s="101" customFormat="1" ht="15" customHeight="1">
      <c r="B2080" s="104"/>
      <c r="C2080" s="104"/>
      <c r="D2080" s="104"/>
      <c r="E2080" s="104"/>
      <c r="F2080" s="104"/>
      <c r="G2080" s="104"/>
      <c r="H2080" s="104"/>
      <c r="I2080" s="104"/>
      <c r="J2080" s="104"/>
      <c r="K2080" s="104"/>
      <c r="L2080" s="104"/>
      <c r="R2080" s="105"/>
      <c r="S2080" s="105"/>
      <c r="T2080" s="105"/>
      <c r="U2080" s="105"/>
      <c r="V2080" s="105"/>
      <c r="W2080" s="105"/>
      <c r="AD2080" s="106"/>
      <c r="AE2080" s="97"/>
      <c r="AF2080" s="97"/>
      <c r="AG2080" s="97"/>
      <c r="AH2080" s="97"/>
      <c r="AI2080" s="97"/>
      <c r="AJ2080" s="97"/>
      <c r="AK2080" s="97"/>
      <c r="AL2080" s="97"/>
      <c r="AM2080" s="97"/>
      <c r="AN2080" s="97"/>
      <c r="AO2080" s="97"/>
      <c r="AP2080" s="97"/>
      <c r="AQ2080" s="97"/>
    </row>
    <row r="2081" spans="2:43" s="101" customFormat="1" ht="15" customHeight="1">
      <c r="B2081" s="104"/>
      <c r="C2081" s="104"/>
      <c r="D2081" s="104"/>
      <c r="E2081" s="104"/>
      <c r="F2081" s="104"/>
      <c r="G2081" s="104"/>
      <c r="H2081" s="104"/>
      <c r="I2081" s="104"/>
      <c r="J2081" s="104"/>
      <c r="K2081" s="104"/>
      <c r="L2081" s="104"/>
      <c r="R2081" s="105"/>
      <c r="S2081" s="105"/>
      <c r="T2081" s="105"/>
      <c r="U2081" s="105"/>
      <c r="V2081" s="105"/>
      <c r="W2081" s="105"/>
      <c r="AD2081" s="106"/>
      <c r="AE2081" s="97"/>
      <c r="AF2081" s="97"/>
      <c r="AG2081" s="97"/>
      <c r="AH2081" s="97"/>
      <c r="AI2081" s="97"/>
      <c r="AJ2081" s="97"/>
      <c r="AK2081" s="97"/>
      <c r="AL2081" s="97"/>
      <c r="AM2081" s="97"/>
      <c r="AN2081" s="97"/>
      <c r="AO2081" s="97"/>
      <c r="AP2081" s="97"/>
      <c r="AQ2081" s="97"/>
    </row>
    <row r="2082" spans="2:43" s="101" customFormat="1" ht="15" customHeight="1">
      <c r="B2082" s="104"/>
      <c r="C2082" s="104"/>
      <c r="D2082" s="104"/>
      <c r="E2082" s="104"/>
      <c r="F2082" s="104"/>
      <c r="G2082" s="104"/>
      <c r="H2082" s="104"/>
      <c r="I2082" s="104"/>
      <c r="J2082" s="104"/>
      <c r="K2082" s="104"/>
      <c r="L2082" s="104"/>
      <c r="R2082" s="105"/>
      <c r="S2082" s="105"/>
      <c r="T2082" s="105"/>
      <c r="U2082" s="105"/>
      <c r="V2082" s="105"/>
      <c r="W2082" s="105"/>
      <c r="AD2082" s="106"/>
      <c r="AE2082" s="97"/>
      <c r="AF2082" s="97"/>
      <c r="AG2082" s="97"/>
      <c r="AH2082" s="97"/>
      <c r="AI2082" s="97"/>
      <c r="AJ2082" s="97"/>
      <c r="AK2082" s="97"/>
      <c r="AL2082" s="97"/>
      <c r="AM2082" s="97"/>
      <c r="AN2082" s="97"/>
      <c r="AO2082" s="97"/>
      <c r="AP2082" s="97"/>
      <c r="AQ2082" s="97"/>
    </row>
    <row r="2083" spans="2:43" s="101" customFormat="1" ht="15" customHeight="1">
      <c r="B2083" s="104"/>
      <c r="C2083" s="104"/>
      <c r="D2083" s="104"/>
      <c r="E2083" s="104"/>
      <c r="F2083" s="104"/>
      <c r="G2083" s="104"/>
      <c r="H2083" s="104"/>
      <c r="I2083" s="104"/>
      <c r="J2083" s="104"/>
      <c r="K2083" s="104"/>
      <c r="L2083" s="104"/>
      <c r="R2083" s="105"/>
      <c r="S2083" s="105"/>
      <c r="T2083" s="105"/>
      <c r="U2083" s="105"/>
      <c r="V2083" s="105"/>
      <c r="W2083" s="105"/>
      <c r="AD2083" s="106"/>
      <c r="AE2083" s="97"/>
      <c r="AF2083" s="97"/>
      <c r="AG2083" s="97"/>
      <c r="AH2083" s="97"/>
      <c r="AI2083" s="97"/>
      <c r="AJ2083" s="97"/>
      <c r="AK2083" s="97"/>
      <c r="AL2083" s="97"/>
      <c r="AM2083" s="97"/>
      <c r="AN2083" s="97"/>
      <c r="AO2083" s="97"/>
      <c r="AP2083" s="97"/>
      <c r="AQ2083" s="97"/>
    </row>
    <row r="2084" spans="2:43" s="101" customFormat="1" ht="15" customHeight="1">
      <c r="B2084" s="104"/>
      <c r="C2084" s="104"/>
      <c r="D2084" s="104"/>
      <c r="E2084" s="104"/>
      <c r="F2084" s="104"/>
      <c r="G2084" s="104"/>
      <c r="H2084" s="104"/>
      <c r="I2084" s="104"/>
      <c r="J2084" s="104"/>
      <c r="K2084" s="104"/>
      <c r="L2084" s="104"/>
      <c r="R2084" s="105"/>
      <c r="S2084" s="105"/>
      <c r="T2084" s="105"/>
      <c r="U2084" s="105"/>
      <c r="V2084" s="105"/>
      <c r="W2084" s="105"/>
      <c r="AD2084" s="106"/>
      <c r="AE2084" s="97"/>
      <c r="AF2084" s="97"/>
      <c r="AG2084" s="97"/>
      <c r="AH2084" s="97"/>
      <c r="AI2084" s="97"/>
      <c r="AJ2084" s="97"/>
      <c r="AK2084" s="97"/>
      <c r="AL2084" s="97"/>
      <c r="AM2084" s="97"/>
      <c r="AN2084" s="97"/>
      <c r="AO2084" s="97"/>
      <c r="AP2084" s="97"/>
      <c r="AQ2084" s="97"/>
    </row>
    <row r="2085" spans="2:43" s="101" customFormat="1" ht="15" customHeight="1">
      <c r="B2085" s="104"/>
      <c r="C2085" s="104"/>
      <c r="D2085" s="104"/>
      <c r="E2085" s="104"/>
      <c r="F2085" s="104"/>
      <c r="G2085" s="104"/>
      <c r="H2085" s="104"/>
      <c r="I2085" s="104"/>
      <c r="J2085" s="104"/>
      <c r="K2085" s="104"/>
      <c r="L2085" s="104"/>
      <c r="R2085" s="105"/>
      <c r="S2085" s="105"/>
      <c r="T2085" s="105"/>
      <c r="U2085" s="105"/>
      <c r="V2085" s="105"/>
      <c r="W2085" s="105"/>
      <c r="AD2085" s="106"/>
      <c r="AE2085" s="97"/>
      <c r="AF2085" s="97"/>
      <c r="AG2085" s="97"/>
      <c r="AH2085" s="97"/>
      <c r="AI2085" s="97"/>
      <c r="AJ2085" s="97"/>
      <c r="AK2085" s="97"/>
      <c r="AL2085" s="97"/>
      <c r="AM2085" s="97"/>
      <c r="AN2085" s="97"/>
      <c r="AO2085" s="97"/>
      <c r="AP2085" s="97"/>
      <c r="AQ2085" s="97"/>
    </row>
    <row r="2086" spans="2:43" s="101" customFormat="1" ht="15" customHeight="1">
      <c r="B2086" s="104"/>
      <c r="C2086" s="104"/>
      <c r="D2086" s="104"/>
      <c r="E2086" s="104"/>
      <c r="F2086" s="104"/>
      <c r="G2086" s="104"/>
      <c r="H2086" s="104"/>
      <c r="I2086" s="104"/>
      <c r="J2086" s="104"/>
      <c r="K2086" s="104"/>
      <c r="L2086" s="104"/>
      <c r="R2086" s="105"/>
      <c r="S2086" s="105"/>
      <c r="T2086" s="105"/>
      <c r="U2086" s="105"/>
      <c r="V2086" s="105"/>
      <c r="W2086" s="105"/>
      <c r="AD2086" s="106"/>
      <c r="AE2086" s="97"/>
      <c r="AF2086" s="97"/>
      <c r="AG2086" s="97"/>
      <c r="AH2086" s="97"/>
      <c r="AI2086" s="97"/>
      <c r="AJ2086" s="97"/>
      <c r="AK2086" s="97"/>
      <c r="AL2086" s="97"/>
      <c r="AM2086" s="97"/>
      <c r="AN2086" s="97"/>
      <c r="AO2086" s="97"/>
      <c r="AP2086" s="97"/>
      <c r="AQ2086" s="97"/>
    </row>
    <row r="2087" spans="2:43" s="101" customFormat="1" ht="15" customHeight="1">
      <c r="B2087" s="104"/>
      <c r="C2087" s="104"/>
      <c r="D2087" s="104"/>
      <c r="E2087" s="104"/>
      <c r="F2087" s="104"/>
      <c r="G2087" s="104"/>
      <c r="H2087" s="104"/>
      <c r="I2087" s="104"/>
      <c r="J2087" s="104"/>
      <c r="K2087" s="104"/>
      <c r="L2087" s="104"/>
      <c r="R2087" s="105"/>
      <c r="S2087" s="105"/>
      <c r="T2087" s="105"/>
      <c r="U2087" s="105"/>
      <c r="V2087" s="105"/>
      <c r="W2087" s="105"/>
      <c r="AD2087" s="106"/>
      <c r="AE2087" s="97"/>
      <c r="AF2087" s="97"/>
      <c r="AG2087" s="97"/>
      <c r="AH2087" s="97"/>
      <c r="AI2087" s="97"/>
      <c r="AJ2087" s="97"/>
      <c r="AK2087" s="97"/>
      <c r="AL2087" s="97"/>
      <c r="AM2087" s="97"/>
      <c r="AN2087" s="97"/>
      <c r="AO2087" s="97"/>
      <c r="AP2087" s="97"/>
      <c r="AQ2087" s="97"/>
    </row>
    <row r="2088" spans="2:43" s="101" customFormat="1" ht="15" customHeight="1">
      <c r="B2088" s="104"/>
      <c r="C2088" s="104"/>
      <c r="D2088" s="104"/>
      <c r="E2088" s="104"/>
      <c r="F2088" s="104"/>
      <c r="G2088" s="104"/>
      <c r="H2088" s="104"/>
      <c r="I2088" s="104"/>
      <c r="J2088" s="104"/>
      <c r="K2088" s="104"/>
      <c r="L2088" s="104"/>
      <c r="R2088" s="105"/>
      <c r="S2088" s="105"/>
      <c r="T2088" s="105"/>
      <c r="U2088" s="105"/>
      <c r="V2088" s="105"/>
      <c r="W2088" s="105"/>
      <c r="AD2088" s="106"/>
      <c r="AE2088" s="97"/>
      <c r="AF2088" s="97"/>
      <c r="AG2088" s="97"/>
      <c r="AH2088" s="97"/>
      <c r="AI2088" s="97"/>
      <c r="AJ2088" s="97"/>
      <c r="AK2088" s="97"/>
      <c r="AL2088" s="97"/>
      <c r="AM2088" s="97"/>
      <c r="AN2088" s="97"/>
      <c r="AO2088" s="97"/>
      <c r="AP2088" s="97"/>
      <c r="AQ2088" s="97"/>
    </row>
    <row r="2089" spans="2:43" s="101" customFormat="1" ht="15" customHeight="1">
      <c r="B2089" s="104"/>
      <c r="C2089" s="104"/>
      <c r="D2089" s="104"/>
      <c r="E2089" s="104"/>
      <c r="F2089" s="104"/>
      <c r="G2089" s="104"/>
      <c r="H2089" s="104"/>
      <c r="I2089" s="104"/>
      <c r="J2089" s="104"/>
      <c r="K2089" s="104"/>
      <c r="L2089" s="104"/>
      <c r="R2089" s="105"/>
      <c r="S2089" s="105"/>
      <c r="T2089" s="105"/>
      <c r="U2089" s="105"/>
      <c r="V2089" s="105"/>
      <c r="W2089" s="105"/>
      <c r="AD2089" s="106"/>
      <c r="AE2089" s="97"/>
      <c r="AF2089" s="97"/>
      <c r="AG2089" s="97"/>
      <c r="AH2089" s="97"/>
      <c r="AI2089" s="97"/>
      <c r="AJ2089" s="97"/>
      <c r="AK2089" s="97"/>
      <c r="AL2089" s="97"/>
      <c r="AM2089" s="97"/>
      <c r="AN2089" s="97"/>
      <c r="AO2089" s="97"/>
      <c r="AP2089" s="97"/>
      <c r="AQ2089" s="97"/>
    </row>
    <row r="2090" spans="2:43" s="101" customFormat="1" ht="15" customHeight="1">
      <c r="B2090" s="104"/>
      <c r="C2090" s="104"/>
      <c r="D2090" s="104"/>
      <c r="E2090" s="104"/>
      <c r="F2090" s="104"/>
      <c r="G2090" s="104"/>
      <c r="H2090" s="104"/>
      <c r="I2090" s="104"/>
      <c r="J2090" s="104"/>
      <c r="K2090" s="104"/>
      <c r="L2090" s="104"/>
      <c r="R2090" s="105"/>
      <c r="S2090" s="105"/>
      <c r="T2090" s="105"/>
      <c r="U2090" s="105"/>
      <c r="V2090" s="105"/>
      <c r="W2090" s="105"/>
      <c r="AD2090" s="106"/>
      <c r="AE2090" s="97"/>
      <c r="AF2090" s="97"/>
      <c r="AG2090" s="97"/>
      <c r="AH2090" s="97"/>
      <c r="AI2090" s="97"/>
      <c r="AJ2090" s="97"/>
      <c r="AK2090" s="97"/>
      <c r="AL2090" s="97"/>
      <c r="AM2090" s="97"/>
      <c r="AN2090" s="97"/>
      <c r="AO2090" s="97"/>
      <c r="AP2090" s="97"/>
      <c r="AQ2090" s="97"/>
    </row>
    <row r="2091" spans="2:43" s="101" customFormat="1" ht="15" customHeight="1">
      <c r="B2091" s="104"/>
      <c r="C2091" s="104"/>
      <c r="D2091" s="104"/>
      <c r="E2091" s="104"/>
      <c r="F2091" s="104"/>
      <c r="G2091" s="104"/>
      <c r="H2091" s="104"/>
      <c r="I2091" s="104"/>
      <c r="J2091" s="104"/>
      <c r="K2091" s="104"/>
      <c r="L2091" s="104"/>
      <c r="R2091" s="105"/>
      <c r="S2091" s="105"/>
      <c r="T2091" s="105"/>
      <c r="U2091" s="105"/>
      <c r="V2091" s="105"/>
      <c r="W2091" s="105"/>
      <c r="AD2091" s="106"/>
      <c r="AE2091" s="97"/>
      <c r="AF2091" s="97"/>
      <c r="AG2091" s="97"/>
      <c r="AH2091" s="97"/>
      <c r="AI2091" s="97"/>
      <c r="AJ2091" s="97"/>
      <c r="AK2091" s="97"/>
      <c r="AL2091" s="97"/>
      <c r="AM2091" s="97"/>
      <c r="AN2091" s="97"/>
      <c r="AO2091" s="97"/>
      <c r="AP2091" s="97"/>
      <c r="AQ2091" s="97"/>
    </row>
    <row r="2092" spans="2:43" s="101" customFormat="1" ht="15" customHeight="1">
      <c r="B2092" s="104"/>
      <c r="C2092" s="104"/>
      <c r="D2092" s="104"/>
      <c r="E2092" s="104"/>
      <c r="F2092" s="104"/>
      <c r="G2092" s="104"/>
      <c r="H2092" s="104"/>
      <c r="I2092" s="104"/>
      <c r="J2092" s="104"/>
      <c r="K2092" s="104"/>
      <c r="L2092" s="104"/>
      <c r="R2092" s="105"/>
      <c r="S2092" s="105"/>
      <c r="T2092" s="105"/>
      <c r="U2092" s="105"/>
      <c r="V2092" s="105"/>
      <c r="W2092" s="105"/>
      <c r="AD2092" s="106"/>
      <c r="AE2092" s="97"/>
      <c r="AF2092" s="97"/>
      <c r="AG2092" s="97"/>
      <c r="AH2092" s="97"/>
      <c r="AI2092" s="97"/>
      <c r="AJ2092" s="97"/>
      <c r="AK2092" s="97"/>
      <c r="AL2092" s="97"/>
      <c r="AM2092" s="97"/>
      <c r="AN2092" s="97"/>
      <c r="AO2092" s="97"/>
      <c r="AP2092" s="97"/>
      <c r="AQ2092" s="97"/>
    </row>
    <row r="2093" spans="2:43" s="101" customFormat="1" ht="15" customHeight="1">
      <c r="B2093" s="104"/>
      <c r="C2093" s="104"/>
      <c r="D2093" s="104"/>
      <c r="E2093" s="104"/>
      <c r="F2093" s="104"/>
      <c r="G2093" s="104"/>
      <c r="H2093" s="104"/>
      <c r="I2093" s="104"/>
      <c r="J2093" s="104"/>
      <c r="K2093" s="104"/>
      <c r="L2093" s="104"/>
      <c r="R2093" s="105"/>
      <c r="S2093" s="105"/>
      <c r="T2093" s="105"/>
      <c r="U2093" s="105"/>
      <c r="V2093" s="105"/>
      <c r="W2093" s="105"/>
      <c r="AD2093" s="106"/>
      <c r="AE2093" s="97"/>
      <c r="AF2093" s="97"/>
      <c r="AG2093" s="97"/>
      <c r="AH2093" s="97"/>
      <c r="AI2093" s="97"/>
      <c r="AJ2093" s="97"/>
      <c r="AK2093" s="97"/>
      <c r="AL2093" s="97"/>
      <c r="AM2093" s="97"/>
      <c r="AN2093" s="97"/>
      <c r="AO2093" s="97"/>
      <c r="AP2093" s="97"/>
      <c r="AQ2093" s="97"/>
    </row>
    <row r="2094" spans="2:43" s="101" customFormat="1" ht="15" customHeight="1">
      <c r="B2094" s="104"/>
      <c r="C2094" s="104"/>
      <c r="D2094" s="104"/>
      <c r="E2094" s="104"/>
      <c r="F2094" s="104"/>
      <c r="G2094" s="104"/>
      <c r="H2094" s="104"/>
      <c r="I2094" s="104"/>
      <c r="J2094" s="104"/>
      <c r="K2094" s="104"/>
      <c r="L2094" s="104"/>
      <c r="R2094" s="105"/>
      <c r="S2094" s="105"/>
      <c r="T2094" s="105"/>
      <c r="U2094" s="105"/>
      <c r="V2094" s="105"/>
      <c r="W2094" s="105"/>
      <c r="AD2094" s="106"/>
      <c r="AE2094" s="97"/>
      <c r="AF2094" s="97"/>
      <c r="AG2094" s="97"/>
      <c r="AH2094" s="97"/>
      <c r="AI2094" s="97"/>
      <c r="AJ2094" s="97"/>
      <c r="AK2094" s="97"/>
      <c r="AL2094" s="97"/>
      <c r="AM2094" s="97"/>
      <c r="AN2094" s="97"/>
      <c r="AO2094" s="97"/>
      <c r="AP2094" s="97"/>
      <c r="AQ2094" s="97"/>
    </row>
    <row r="2095" spans="2:43" s="101" customFormat="1" ht="15" customHeight="1">
      <c r="B2095" s="104"/>
      <c r="C2095" s="104"/>
      <c r="D2095" s="104"/>
      <c r="E2095" s="104"/>
      <c r="F2095" s="104"/>
      <c r="G2095" s="104"/>
      <c r="H2095" s="104"/>
      <c r="I2095" s="104"/>
      <c r="J2095" s="104"/>
      <c r="K2095" s="104"/>
      <c r="L2095" s="104"/>
      <c r="R2095" s="105"/>
      <c r="S2095" s="105"/>
      <c r="T2095" s="105"/>
      <c r="U2095" s="105"/>
      <c r="V2095" s="105"/>
      <c r="W2095" s="105"/>
      <c r="AD2095" s="106"/>
      <c r="AE2095" s="97"/>
      <c r="AF2095" s="97"/>
      <c r="AG2095" s="97"/>
      <c r="AH2095" s="97"/>
      <c r="AI2095" s="97"/>
      <c r="AJ2095" s="97"/>
      <c r="AK2095" s="97"/>
      <c r="AL2095" s="97"/>
      <c r="AM2095" s="97"/>
      <c r="AN2095" s="97"/>
      <c r="AO2095" s="97"/>
      <c r="AP2095" s="97"/>
      <c r="AQ2095" s="97"/>
    </row>
    <row r="2096" spans="2:43" s="101" customFormat="1" ht="15" customHeight="1">
      <c r="B2096" s="104"/>
      <c r="C2096" s="104"/>
      <c r="D2096" s="104"/>
      <c r="E2096" s="104"/>
      <c r="F2096" s="104"/>
      <c r="G2096" s="104"/>
      <c r="H2096" s="104"/>
      <c r="I2096" s="104"/>
      <c r="J2096" s="104"/>
      <c r="K2096" s="104"/>
      <c r="L2096" s="104"/>
      <c r="R2096" s="105"/>
      <c r="S2096" s="105"/>
      <c r="T2096" s="105"/>
      <c r="U2096" s="105"/>
      <c r="V2096" s="105"/>
      <c r="W2096" s="105"/>
      <c r="AD2096" s="106"/>
      <c r="AE2096" s="97"/>
      <c r="AF2096" s="97"/>
      <c r="AG2096" s="97"/>
      <c r="AH2096" s="97"/>
      <c r="AI2096" s="97"/>
      <c r="AJ2096" s="97"/>
      <c r="AK2096" s="97"/>
      <c r="AL2096" s="97"/>
      <c r="AM2096" s="97"/>
      <c r="AN2096" s="97"/>
      <c r="AO2096" s="97"/>
      <c r="AP2096" s="97"/>
      <c r="AQ2096" s="97"/>
    </row>
    <row r="2097" spans="2:43" s="101" customFormat="1" ht="15" customHeight="1">
      <c r="B2097" s="104"/>
      <c r="C2097" s="104"/>
      <c r="D2097" s="104"/>
      <c r="E2097" s="104"/>
      <c r="F2097" s="104"/>
      <c r="G2097" s="104"/>
      <c r="H2097" s="104"/>
      <c r="I2097" s="104"/>
      <c r="J2097" s="104"/>
      <c r="K2097" s="104"/>
      <c r="L2097" s="104"/>
      <c r="R2097" s="105"/>
      <c r="S2097" s="105"/>
      <c r="T2097" s="105"/>
      <c r="U2097" s="105"/>
      <c r="V2097" s="105"/>
      <c r="W2097" s="105"/>
      <c r="AD2097" s="106"/>
      <c r="AE2097" s="97"/>
      <c r="AF2097" s="97"/>
      <c r="AG2097" s="97"/>
      <c r="AH2097" s="97"/>
      <c r="AI2097" s="97"/>
      <c r="AJ2097" s="97"/>
      <c r="AK2097" s="97"/>
      <c r="AL2097" s="97"/>
      <c r="AM2097" s="97"/>
      <c r="AN2097" s="97"/>
      <c r="AO2097" s="97"/>
      <c r="AP2097" s="97"/>
      <c r="AQ2097" s="97"/>
    </row>
    <row r="2098" spans="2:43" s="101" customFormat="1" ht="15" customHeight="1">
      <c r="B2098" s="104"/>
      <c r="C2098" s="104"/>
      <c r="D2098" s="104"/>
      <c r="E2098" s="104"/>
      <c r="F2098" s="104"/>
      <c r="G2098" s="104"/>
      <c r="H2098" s="104"/>
      <c r="I2098" s="104"/>
      <c r="J2098" s="104"/>
      <c r="K2098" s="104"/>
      <c r="L2098" s="104"/>
      <c r="R2098" s="105"/>
      <c r="S2098" s="105"/>
      <c r="T2098" s="105"/>
      <c r="U2098" s="105"/>
      <c r="V2098" s="105"/>
      <c r="W2098" s="105"/>
      <c r="AD2098" s="106"/>
      <c r="AE2098" s="97"/>
      <c r="AF2098" s="97"/>
      <c r="AG2098" s="97"/>
      <c r="AH2098" s="97"/>
      <c r="AI2098" s="97"/>
      <c r="AJ2098" s="97"/>
      <c r="AK2098" s="97"/>
      <c r="AL2098" s="97"/>
      <c r="AM2098" s="97"/>
      <c r="AN2098" s="97"/>
      <c r="AO2098" s="97"/>
      <c r="AP2098" s="97"/>
      <c r="AQ2098" s="97"/>
    </row>
    <row r="2099" spans="2:43" s="101" customFormat="1" ht="15" customHeight="1">
      <c r="B2099" s="104"/>
      <c r="C2099" s="104"/>
      <c r="D2099" s="104"/>
      <c r="E2099" s="104"/>
      <c r="F2099" s="104"/>
      <c r="G2099" s="104"/>
      <c r="H2099" s="104"/>
      <c r="I2099" s="104"/>
      <c r="J2099" s="104"/>
      <c r="K2099" s="104"/>
      <c r="L2099" s="104"/>
      <c r="R2099" s="105"/>
      <c r="S2099" s="105"/>
      <c r="T2099" s="105"/>
      <c r="U2099" s="105"/>
      <c r="V2099" s="105"/>
      <c r="W2099" s="105"/>
      <c r="AD2099" s="106"/>
      <c r="AE2099" s="97"/>
      <c r="AF2099" s="97"/>
      <c r="AG2099" s="97"/>
      <c r="AH2099" s="97"/>
      <c r="AI2099" s="97"/>
      <c r="AJ2099" s="97"/>
      <c r="AK2099" s="97"/>
      <c r="AL2099" s="97"/>
      <c r="AM2099" s="97"/>
      <c r="AN2099" s="97"/>
      <c r="AO2099" s="97"/>
      <c r="AP2099" s="97"/>
      <c r="AQ2099" s="97"/>
    </row>
    <row r="2100" spans="2:43" s="101" customFormat="1" ht="15" customHeight="1">
      <c r="B2100" s="104"/>
      <c r="C2100" s="104"/>
      <c r="D2100" s="104"/>
      <c r="E2100" s="104"/>
      <c r="F2100" s="104"/>
      <c r="G2100" s="104"/>
      <c r="H2100" s="104"/>
      <c r="I2100" s="104"/>
      <c r="J2100" s="104"/>
      <c r="K2100" s="104"/>
      <c r="L2100" s="104"/>
      <c r="R2100" s="105"/>
      <c r="S2100" s="105"/>
      <c r="T2100" s="105"/>
      <c r="U2100" s="105"/>
      <c r="V2100" s="105"/>
      <c r="W2100" s="105"/>
      <c r="AD2100" s="106"/>
      <c r="AE2100" s="97"/>
      <c r="AF2100" s="97"/>
      <c r="AG2100" s="97"/>
      <c r="AH2100" s="97"/>
      <c r="AI2100" s="97"/>
      <c r="AJ2100" s="97"/>
      <c r="AK2100" s="97"/>
      <c r="AL2100" s="97"/>
      <c r="AM2100" s="97"/>
      <c r="AN2100" s="97"/>
      <c r="AO2100" s="97"/>
      <c r="AP2100" s="97"/>
      <c r="AQ2100" s="97"/>
    </row>
    <row r="2101" spans="2:43" s="101" customFormat="1" ht="15" customHeight="1">
      <c r="B2101" s="104"/>
      <c r="C2101" s="104"/>
      <c r="D2101" s="104"/>
      <c r="E2101" s="104"/>
      <c r="F2101" s="104"/>
      <c r="G2101" s="104"/>
      <c r="H2101" s="104"/>
      <c r="I2101" s="104"/>
      <c r="J2101" s="104"/>
      <c r="K2101" s="104"/>
      <c r="L2101" s="104"/>
      <c r="R2101" s="105"/>
      <c r="S2101" s="105"/>
      <c r="T2101" s="105"/>
      <c r="U2101" s="105"/>
      <c r="V2101" s="105"/>
      <c r="W2101" s="105"/>
      <c r="AD2101" s="106"/>
      <c r="AE2101" s="97"/>
      <c r="AF2101" s="97"/>
      <c r="AG2101" s="97"/>
      <c r="AH2101" s="97"/>
      <c r="AI2101" s="97"/>
      <c r="AJ2101" s="97"/>
      <c r="AK2101" s="97"/>
      <c r="AL2101" s="97"/>
      <c r="AM2101" s="97"/>
      <c r="AN2101" s="97"/>
      <c r="AO2101" s="97"/>
      <c r="AP2101" s="97"/>
      <c r="AQ2101" s="97"/>
    </row>
    <row r="2102" spans="2:43" s="101" customFormat="1" ht="15" customHeight="1">
      <c r="B2102" s="104"/>
      <c r="C2102" s="104"/>
      <c r="D2102" s="104"/>
      <c r="E2102" s="104"/>
      <c r="F2102" s="104"/>
      <c r="G2102" s="104"/>
      <c r="H2102" s="104"/>
      <c r="I2102" s="104"/>
      <c r="J2102" s="104"/>
      <c r="K2102" s="104"/>
      <c r="L2102" s="104"/>
      <c r="R2102" s="105"/>
      <c r="S2102" s="105"/>
      <c r="T2102" s="105"/>
      <c r="U2102" s="105"/>
      <c r="V2102" s="105"/>
      <c r="W2102" s="105"/>
      <c r="AD2102" s="106"/>
      <c r="AE2102" s="97"/>
      <c r="AF2102" s="97"/>
      <c r="AG2102" s="97"/>
      <c r="AH2102" s="97"/>
      <c r="AI2102" s="97"/>
      <c r="AJ2102" s="97"/>
      <c r="AK2102" s="97"/>
      <c r="AL2102" s="97"/>
      <c r="AM2102" s="97"/>
      <c r="AN2102" s="97"/>
      <c r="AO2102" s="97"/>
      <c r="AP2102" s="97"/>
      <c r="AQ2102" s="97"/>
    </row>
    <row r="2103" spans="2:43" s="101" customFormat="1" ht="15" customHeight="1">
      <c r="B2103" s="104"/>
      <c r="C2103" s="104"/>
      <c r="D2103" s="104"/>
      <c r="E2103" s="104"/>
      <c r="F2103" s="104"/>
      <c r="G2103" s="104"/>
      <c r="H2103" s="104"/>
      <c r="I2103" s="104"/>
      <c r="J2103" s="104"/>
      <c r="K2103" s="104"/>
      <c r="L2103" s="104"/>
      <c r="R2103" s="105"/>
      <c r="S2103" s="105"/>
      <c r="T2103" s="105"/>
      <c r="U2103" s="105"/>
      <c r="V2103" s="105"/>
      <c r="W2103" s="105"/>
      <c r="AD2103" s="106"/>
      <c r="AE2103" s="97"/>
      <c r="AF2103" s="97"/>
      <c r="AG2103" s="97"/>
      <c r="AH2103" s="97"/>
      <c r="AI2103" s="97"/>
      <c r="AJ2103" s="97"/>
      <c r="AK2103" s="97"/>
      <c r="AL2103" s="97"/>
      <c r="AM2103" s="97"/>
      <c r="AN2103" s="97"/>
      <c r="AO2103" s="97"/>
      <c r="AP2103" s="97"/>
      <c r="AQ2103" s="97"/>
    </row>
    <row r="2104" spans="2:43" s="101" customFormat="1" ht="15" customHeight="1">
      <c r="B2104" s="104"/>
      <c r="C2104" s="104"/>
      <c r="D2104" s="104"/>
      <c r="E2104" s="104"/>
      <c r="F2104" s="104"/>
      <c r="G2104" s="104"/>
      <c r="H2104" s="104"/>
      <c r="I2104" s="104"/>
      <c r="J2104" s="104"/>
      <c r="K2104" s="104"/>
      <c r="L2104" s="104"/>
      <c r="R2104" s="105"/>
      <c r="S2104" s="105"/>
      <c r="T2104" s="105"/>
      <c r="U2104" s="105"/>
      <c r="V2104" s="105"/>
      <c r="W2104" s="105"/>
      <c r="AD2104" s="106"/>
      <c r="AE2104" s="97"/>
      <c r="AF2104" s="97"/>
      <c r="AG2104" s="97"/>
      <c r="AH2104" s="97"/>
      <c r="AI2104" s="97"/>
      <c r="AJ2104" s="97"/>
      <c r="AK2104" s="97"/>
      <c r="AL2104" s="97"/>
      <c r="AM2104" s="97"/>
      <c r="AN2104" s="97"/>
      <c r="AO2104" s="97"/>
      <c r="AP2104" s="97"/>
      <c r="AQ2104" s="97"/>
    </row>
    <row r="2105" spans="2:43" s="101" customFormat="1" ht="15" customHeight="1">
      <c r="B2105" s="104"/>
      <c r="C2105" s="104"/>
      <c r="D2105" s="104"/>
      <c r="E2105" s="104"/>
      <c r="F2105" s="104"/>
      <c r="G2105" s="104"/>
      <c r="H2105" s="104"/>
      <c r="I2105" s="104"/>
      <c r="J2105" s="104"/>
      <c r="K2105" s="104"/>
      <c r="L2105" s="104"/>
      <c r="R2105" s="105"/>
      <c r="S2105" s="105"/>
      <c r="T2105" s="105"/>
      <c r="U2105" s="105"/>
      <c r="V2105" s="105"/>
      <c r="W2105" s="105"/>
      <c r="AD2105" s="106"/>
      <c r="AE2105" s="97"/>
      <c r="AF2105" s="97"/>
      <c r="AG2105" s="97"/>
      <c r="AH2105" s="97"/>
      <c r="AI2105" s="97"/>
      <c r="AJ2105" s="97"/>
      <c r="AK2105" s="97"/>
      <c r="AL2105" s="97"/>
      <c r="AM2105" s="97"/>
      <c r="AN2105" s="97"/>
      <c r="AO2105" s="97"/>
      <c r="AP2105" s="97"/>
      <c r="AQ2105" s="97"/>
    </row>
    <row r="2106" spans="2:43" s="101" customFormat="1" ht="15" customHeight="1">
      <c r="B2106" s="104"/>
      <c r="C2106" s="104"/>
      <c r="D2106" s="104"/>
      <c r="E2106" s="104"/>
      <c r="F2106" s="104"/>
      <c r="G2106" s="104"/>
      <c r="H2106" s="104"/>
      <c r="I2106" s="104"/>
      <c r="J2106" s="104"/>
      <c r="K2106" s="104"/>
      <c r="L2106" s="104"/>
      <c r="R2106" s="105"/>
      <c r="S2106" s="105"/>
      <c r="T2106" s="105"/>
      <c r="U2106" s="105"/>
      <c r="V2106" s="105"/>
      <c r="W2106" s="105"/>
      <c r="AD2106" s="106"/>
      <c r="AE2106" s="97"/>
      <c r="AF2106" s="97"/>
      <c r="AG2106" s="97"/>
      <c r="AH2106" s="97"/>
      <c r="AI2106" s="97"/>
      <c r="AJ2106" s="97"/>
      <c r="AK2106" s="97"/>
      <c r="AL2106" s="97"/>
      <c r="AM2106" s="97"/>
      <c r="AN2106" s="97"/>
      <c r="AO2106" s="97"/>
      <c r="AP2106" s="97"/>
      <c r="AQ2106" s="97"/>
    </row>
    <row r="2107" spans="2:43" s="101" customFormat="1" ht="15" customHeight="1">
      <c r="B2107" s="104"/>
      <c r="C2107" s="104"/>
      <c r="D2107" s="104"/>
      <c r="E2107" s="104"/>
      <c r="F2107" s="104"/>
      <c r="G2107" s="104"/>
      <c r="H2107" s="104"/>
      <c r="I2107" s="104"/>
      <c r="J2107" s="104"/>
      <c r="K2107" s="104"/>
      <c r="L2107" s="104"/>
      <c r="R2107" s="105"/>
      <c r="S2107" s="105"/>
      <c r="T2107" s="105"/>
      <c r="U2107" s="105"/>
      <c r="V2107" s="105"/>
      <c r="W2107" s="105"/>
      <c r="AD2107" s="106"/>
      <c r="AE2107" s="97"/>
      <c r="AF2107" s="97"/>
      <c r="AG2107" s="97"/>
      <c r="AH2107" s="97"/>
      <c r="AI2107" s="97"/>
      <c r="AJ2107" s="97"/>
      <c r="AK2107" s="97"/>
      <c r="AL2107" s="97"/>
      <c r="AM2107" s="97"/>
      <c r="AN2107" s="97"/>
      <c r="AO2107" s="97"/>
      <c r="AP2107" s="97"/>
      <c r="AQ2107" s="97"/>
    </row>
    <row r="2108" spans="2:43" s="101" customFormat="1" ht="15" customHeight="1">
      <c r="B2108" s="104"/>
      <c r="C2108" s="104"/>
      <c r="D2108" s="104"/>
      <c r="E2108" s="104"/>
      <c r="F2108" s="104"/>
      <c r="G2108" s="104"/>
      <c r="H2108" s="104"/>
      <c r="I2108" s="104"/>
      <c r="J2108" s="104"/>
      <c r="K2108" s="104"/>
      <c r="L2108" s="104"/>
      <c r="R2108" s="105"/>
      <c r="S2108" s="105"/>
      <c r="T2108" s="105"/>
      <c r="U2108" s="105"/>
      <c r="V2108" s="105"/>
      <c r="W2108" s="105"/>
      <c r="AD2108" s="106"/>
      <c r="AE2108" s="97"/>
      <c r="AF2108" s="97"/>
      <c r="AG2108" s="97"/>
      <c r="AH2108" s="97"/>
      <c r="AI2108" s="97"/>
      <c r="AJ2108" s="97"/>
      <c r="AK2108" s="97"/>
      <c r="AL2108" s="97"/>
      <c r="AM2108" s="97"/>
      <c r="AN2108" s="97"/>
      <c r="AO2108" s="97"/>
      <c r="AP2108" s="97"/>
      <c r="AQ2108" s="97"/>
    </row>
    <row r="2109" spans="2:43" s="101" customFormat="1" ht="15" customHeight="1">
      <c r="B2109" s="104"/>
      <c r="C2109" s="104"/>
      <c r="D2109" s="104"/>
      <c r="E2109" s="104"/>
      <c r="F2109" s="104"/>
      <c r="G2109" s="104"/>
      <c r="H2109" s="104"/>
      <c r="I2109" s="104"/>
      <c r="J2109" s="104"/>
      <c r="K2109" s="104"/>
      <c r="L2109" s="104"/>
      <c r="R2109" s="105"/>
      <c r="S2109" s="105"/>
      <c r="T2109" s="105"/>
      <c r="U2109" s="105"/>
      <c r="V2109" s="105"/>
      <c r="W2109" s="105"/>
      <c r="AD2109" s="106"/>
      <c r="AE2109" s="97"/>
      <c r="AF2109" s="97"/>
      <c r="AG2109" s="97"/>
      <c r="AH2109" s="97"/>
      <c r="AI2109" s="97"/>
      <c r="AJ2109" s="97"/>
      <c r="AK2109" s="97"/>
      <c r="AL2109" s="97"/>
      <c r="AM2109" s="97"/>
      <c r="AN2109" s="97"/>
      <c r="AO2109" s="97"/>
      <c r="AP2109" s="97"/>
      <c r="AQ2109" s="97"/>
    </row>
    <row r="2110" spans="2:43" s="101" customFormat="1" ht="15" customHeight="1">
      <c r="B2110" s="104"/>
      <c r="C2110" s="104"/>
      <c r="D2110" s="104"/>
      <c r="E2110" s="104"/>
      <c r="F2110" s="104"/>
      <c r="G2110" s="104"/>
      <c r="H2110" s="104"/>
      <c r="I2110" s="104"/>
      <c r="J2110" s="104"/>
      <c r="K2110" s="104"/>
      <c r="L2110" s="104"/>
      <c r="R2110" s="105"/>
      <c r="S2110" s="105"/>
      <c r="T2110" s="105"/>
      <c r="U2110" s="105"/>
      <c r="V2110" s="105"/>
      <c r="W2110" s="105"/>
      <c r="AD2110" s="106"/>
      <c r="AE2110" s="97"/>
      <c r="AF2110" s="97"/>
      <c r="AG2110" s="97"/>
      <c r="AH2110" s="97"/>
      <c r="AI2110" s="97"/>
      <c r="AJ2110" s="97"/>
      <c r="AK2110" s="97"/>
      <c r="AL2110" s="97"/>
      <c r="AM2110" s="97"/>
      <c r="AN2110" s="97"/>
      <c r="AO2110" s="97"/>
      <c r="AP2110" s="97"/>
      <c r="AQ2110" s="97"/>
    </row>
    <row r="2111" spans="2:43" s="101" customFormat="1" ht="15" customHeight="1">
      <c r="B2111" s="104"/>
      <c r="C2111" s="104"/>
      <c r="D2111" s="104"/>
      <c r="E2111" s="104"/>
      <c r="F2111" s="104"/>
      <c r="G2111" s="104"/>
      <c r="H2111" s="104"/>
      <c r="I2111" s="104"/>
      <c r="J2111" s="104"/>
      <c r="K2111" s="104"/>
      <c r="L2111" s="104"/>
      <c r="R2111" s="105"/>
      <c r="S2111" s="105"/>
      <c r="T2111" s="105"/>
      <c r="U2111" s="105"/>
      <c r="V2111" s="105"/>
      <c r="W2111" s="105"/>
      <c r="AD2111" s="106"/>
      <c r="AE2111" s="97"/>
      <c r="AF2111" s="97"/>
      <c r="AG2111" s="97"/>
      <c r="AH2111" s="97"/>
      <c r="AI2111" s="97"/>
      <c r="AJ2111" s="97"/>
      <c r="AK2111" s="97"/>
      <c r="AL2111" s="97"/>
      <c r="AM2111" s="97"/>
      <c r="AN2111" s="97"/>
      <c r="AO2111" s="97"/>
      <c r="AP2111" s="97"/>
      <c r="AQ2111" s="97"/>
    </row>
    <row r="2112" spans="2:43" s="101" customFormat="1" ht="15" customHeight="1">
      <c r="B2112" s="104"/>
      <c r="C2112" s="104"/>
      <c r="D2112" s="104"/>
      <c r="E2112" s="104"/>
      <c r="F2112" s="104"/>
      <c r="G2112" s="104"/>
      <c r="H2112" s="104"/>
      <c r="I2112" s="104"/>
      <c r="J2112" s="104"/>
      <c r="K2112" s="104"/>
      <c r="L2112" s="104"/>
      <c r="R2112" s="105"/>
      <c r="S2112" s="105"/>
      <c r="T2112" s="105"/>
      <c r="U2112" s="105"/>
      <c r="V2112" s="105"/>
      <c r="W2112" s="105"/>
      <c r="AD2112" s="106"/>
      <c r="AE2112" s="97"/>
      <c r="AF2112" s="97"/>
      <c r="AG2112" s="97"/>
      <c r="AH2112" s="97"/>
      <c r="AI2112" s="97"/>
      <c r="AJ2112" s="97"/>
      <c r="AK2112" s="97"/>
      <c r="AL2112" s="97"/>
      <c r="AM2112" s="97"/>
      <c r="AN2112" s="97"/>
      <c r="AO2112" s="97"/>
      <c r="AP2112" s="97"/>
      <c r="AQ2112" s="97"/>
    </row>
    <row r="2113" spans="2:43" s="101" customFormat="1" ht="15" customHeight="1">
      <c r="B2113" s="104"/>
      <c r="C2113" s="104"/>
      <c r="D2113" s="104"/>
      <c r="E2113" s="104"/>
      <c r="F2113" s="104"/>
      <c r="G2113" s="104"/>
      <c r="H2113" s="104"/>
      <c r="I2113" s="104"/>
      <c r="J2113" s="104"/>
      <c r="K2113" s="104"/>
      <c r="L2113" s="104"/>
      <c r="R2113" s="105"/>
      <c r="S2113" s="105"/>
      <c r="T2113" s="105"/>
      <c r="U2113" s="105"/>
      <c r="V2113" s="105"/>
      <c r="W2113" s="105"/>
      <c r="AD2113" s="106"/>
      <c r="AE2113" s="97"/>
      <c r="AF2113" s="97"/>
      <c r="AG2113" s="97"/>
      <c r="AH2113" s="97"/>
      <c r="AI2113" s="97"/>
      <c r="AJ2113" s="97"/>
      <c r="AK2113" s="97"/>
      <c r="AL2113" s="97"/>
      <c r="AM2113" s="97"/>
      <c r="AN2113" s="97"/>
      <c r="AO2113" s="97"/>
      <c r="AP2113" s="97"/>
      <c r="AQ2113" s="97"/>
    </row>
    <row r="2114" spans="2:43" s="101" customFormat="1" ht="15" customHeight="1">
      <c r="B2114" s="104"/>
      <c r="C2114" s="104"/>
      <c r="D2114" s="104"/>
      <c r="E2114" s="104"/>
      <c r="F2114" s="104"/>
      <c r="G2114" s="104"/>
      <c r="H2114" s="104"/>
      <c r="I2114" s="104"/>
      <c r="J2114" s="104"/>
      <c r="K2114" s="104"/>
      <c r="L2114" s="104"/>
      <c r="R2114" s="105"/>
      <c r="S2114" s="105"/>
      <c r="T2114" s="105"/>
      <c r="U2114" s="105"/>
      <c r="V2114" s="105"/>
      <c r="W2114" s="105"/>
      <c r="AD2114" s="106"/>
      <c r="AE2114" s="97"/>
      <c r="AF2114" s="97"/>
      <c r="AG2114" s="97"/>
      <c r="AH2114" s="97"/>
      <c r="AI2114" s="97"/>
      <c r="AJ2114" s="97"/>
      <c r="AK2114" s="97"/>
      <c r="AL2114" s="97"/>
      <c r="AM2114" s="97"/>
      <c r="AN2114" s="97"/>
      <c r="AO2114" s="97"/>
      <c r="AP2114" s="97"/>
      <c r="AQ2114" s="97"/>
    </row>
    <row r="2115" spans="2:43" s="101" customFormat="1" ht="15" customHeight="1">
      <c r="B2115" s="104"/>
      <c r="C2115" s="104"/>
      <c r="D2115" s="104"/>
      <c r="E2115" s="104"/>
      <c r="F2115" s="104"/>
      <c r="G2115" s="104"/>
      <c r="H2115" s="104"/>
      <c r="I2115" s="104"/>
      <c r="J2115" s="104"/>
      <c r="K2115" s="104"/>
      <c r="L2115" s="104"/>
      <c r="R2115" s="105"/>
      <c r="S2115" s="105"/>
      <c r="T2115" s="105"/>
      <c r="U2115" s="105"/>
      <c r="V2115" s="105"/>
      <c r="W2115" s="105"/>
      <c r="AD2115" s="106"/>
      <c r="AE2115" s="97"/>
      <c r="AF2115" s="97"/>
      <c r="AG2115" s="97"/>
      <c r="AH2115" s="97"/>
      <c r="AI2115" s="97"/>
      <c r="AJ2115" s="97"/>
      <c r="AK2115" s="97"/>
      <c r="AL2115" s="97"/>
      <c r="AM2115" s="97"/>
      <c r="AN2115" s="97"/>
      <c r="AO2115" s="97"/>
      <c r="AP2115" s="97"/>
      <c r="AQ2115" s="97"/>
    </row>
    <row r="2116" spans="2:43" s="101" customFormat="1" ht="15" customHeight="1">
      <c r="B2116" s="104"/>
      <c r="C2116" s="104"/>
      <c r="D2116" s="104"/>
      <c r="E2116" s="104"/>
      <c r="F2116" s="104"/>
      <c r="G2116" s="104"/>
      <c r="H2116" s="104"/>
      <c r="I2116" s="104"/>
      <c r="J2116" s="104"/>
      <c r="K2116" s="104"/>
      <c r="L2116" s="104"/>
      <c r="R2116" s="105"/>
      <c r="S2116" s="105"/>
      <c r="T2116" s="105"/>
      <c r="U2116" s="105"/>
      <c r="V2116" s="105"/>
      <c r="W2116" s="105"/>
      <c r="AD2116" s="106"/>
      <c r="AE2116" s="97"/>
      <c r="AF2116" s="97"/>
      <c r="AG2116" s="97"/>
      <c r="AH2116" s="97"/>
      <c r="AI2116" s="97"/>
      <c r="AJ2116" s="97"/>
      <c r="AK2116" s="97"/>
      <c r="AL2116" s="97"/>
      <c r="AM2116" s="97"/>
      <c r="AN2116" s="97"/>
      <c r="AO2116" s="97"/>
      <c r="AP2116" s="97"/>
      <c r="AQ2116" s="97"/>
    </row>
    <row r="2117" spans="2:43" s="101" customFormat="1" ht="15" customHeight="1">
      <c r="B2117" s="104"/>
      <c r="C2117" s="104"/>
      <c r="D2117" s="104"/>
      <c r="E2117" s="104"/>
      <c r="F2117" s="104"/>
      <c r="G2117" s="104"/>
      <c r="H2117" s="104"/>
      <c r="I2117" s="104"/>
      <c r="J2117" s="104"/>
      <c r="K2117" s="104"/>
      <c r="L2117" s="104"/>
      <c r="R2117" s="105"/>
      <c r="S2117" s="105"/>
      <c r="T2117" s="105"/>
      <c r="U2117" s="105"/>
      <c r="V2117" s="105"/>
      <c r="W2117" s="105"/>
      <c r="AD2117" s="106"/>
      <c r="AE2117" s="97"/>
      <c r="AF2117" s="97"/>
      <c r="AG2117" s="97"/>
      <c r="AH2117" s="97"/>
      <c r="AI2117" s="97"/>
      <c r="AJ2117" s="97"/>
      <c r="AK2117" s="97"/>
      <c r="AL2117" s="97"/>
      <c r="AM2117" s="97"/>
      <c r="AN2117" s="97"/>
      <c r="AO2117" s="97"/>
      <c r="AP2117" s="97"/>
      <c r="AQ2117" s="97"/>
    </row>
    <row r="2118" spans="2:43" s="101" customFormat="1" ht="15" customHeight="1">
      <c r="B2118" s="104"/>
      <c r="C2118" s="104"/>
      <c r="D2118" s="104"/>
      <c r="E2118" s="104"/>
      <c r="F2118" s="104"/>
      <c r="G2118" s="104"/>
      <c r="H2118" s="104"/>
      <c r="I2118" s="104"/>
      <c r="J2118" s="104"/>
      <c r="K2118" s="104"/>
      <c r="L2118" s="104"/>
      <c r="R2118" s="105"/>
      <c r="S2118" s="105"/>
      <c r="T2118" s="105"/>
      <c r="U2118" s="105"/>
      <c r="V2118" s="105"/>
      <c r="W2118" s="105"/>
      <c r="AD2118" s="106"/>
      <c r="AE2118" s="97"/>
      <c r="AF2118" s="97"/>
      <c r="AG2118" s="97"/>
      <c r="AH2118" s="97"/>
      <c r="AI2118" s="97"/>
      <c r="AJ2118" s="97"/>
      <c r="AK2118" s="97"/>
      <c r="AL2118" s="97"/>
      <c r="AM2118" s="97"/>
      <c r="AN2118" s="97"/>
      <c r="AO2118" s="97"/>
      <c r="AP2118" s="97"/>
      <c r="AQ2118" s="97"/>
    </row>
    <row r="2119" spans="2:43" s="101" customFormat="1" ht="15" customHeight="1">
      <c r="B2119" s="104"/>
      <c r="C2119" s="104"/>
      <c r="D2119" s="104"/>
      <c r="E2119" s="104"/>
      <c r="F2119" s="104"/>
      <c r="G2119" s="104"/>
      <c r="H2119" s="104"/>
      <c r="I2119" s="104"/>
      <c r="J2119" s="104"/>
      <c r="K2119" s="104"/>
      <c r="L2119" s="104"/>
      <c r="R2119" s="105"/>
      <c r="S2119" s="105"/>
      <c r="T2119" s="105"/>
      <c r="U2119" s="105"/>
      <c r="V2119" s="105"/>
      <c r="W2119" s="105"/>
      <c r="AD2119" s="106"/>
      <c r="AE2119" s="97"/>
      <c r="AF2119" s="97"/>
      <c r="AG2119" s="97"/>
      <c r="AH2119" s="97"/>
      <c r="AI2119" s="97"/>
      <c r="AJ2119" s="97"/>
      <c r="AK2119" s="97"/>
      <c r="AL2119" s="97"/>
      <c r="AM2119" s="97"/>
      <c r="AN2119" s="97"/>
      <c r="AO2119" s="97"/>
      <c r="AP2119" s="97"/>
      <c r="AQ2119" s="97"/>
    </row>
    <row r="2120" spans="2:43" s="101" customFormat="1" ht="15" customHeight="1">
      <c r="B2120" s="104"/>
      <c r="C2120" s="104"/>
      <c r="D2120" s="104"/>
      <c r="E2120" s="104"/>
      <c r="F2120" s="104"/>
      <c r="G2120" s="104"/>
      <c r="H2120" s="104"/>
      <c r="I2120" s="104"/>
      <c r="J2120" s="104"/>
      <c r="K2120" s="104"/>
      <c r="L2120" s="104"/>
      <c r="R2120" s="105"/>
      <c r="S2120" s="105"/>
      <c r="T2120" s="105"/>
      <c r="U2120" s="105"/>
      <c r="V2120" s="105"/>
      <c r="W2120" s="105"/>
      <c r="AD2120" s="106"/>
      <c r="AE2120" s="97"/>
      <c r="AF2120" s="97"/>
      <c r="AG2120" s="97"/>
      <c r="AH2120" s="97"/>
      <c r="AI2120" s="97"/>
      <c r="AJ2120" s="97"/>
      <c r="AK2120" s="97"/>
      <c r="AL2120" s="97"/>
      <c r="AM2120" s="97"/>
      <c r="AN2120" s="97"/>
      <c r="AO2120" s="97"/>
      <c r="AP2120" s="97"/>
      <c r="AQ2120" s="97"/>
    </row>
    <row r="2121" spans="2:43" s="101" customFormat="1" ht="15" customHeight="1">
      <c r="B2121" s="104"/>
      <c r="C2121" s="104"/>
      <c r="D2121" s="104"/>
      <c r="E2121" s="104"/>
      <c r="F2121" s="104"/>
      <c r="G2121" s="104"/>
      <c r="H2121" s="104"/>
      <c r="I2121" s="104"/>
      <c r="J2121" s="104"/>
      <c r="K2121" s="104"/>
      <c r="L2121" s="104"/>
      <c r="R2121" s="105"/>
      <c r="S2121" s="105"/>
      <c r="T2121" s="105"/>
      <c r="U2121" s="105"/>
      <c r="V2121" s="105"/>
      <c r="W2121" s="105"/>
      <c r="AD2121" s="106"/>
      <c r="AE2121" s="97"/>
      <c r="AF2121" s="97"/>
      <c r="AG2121" s="97"/>
      <c r="AH2121" s="97"/>
      <c r="AI2121" s="97"/>
      <c r="AJ2121" s="97"/>
      <c r="AK2121" s="97"/>
      <c r="AL2121" s="97"/>
      <c r="AM2121" s="97"/>
      <c r="AN2121" s="97"/>
      <c r="AO2121" s="97"/>
      <c r="AP2121" s="97"/>
      <c r="AQ2121" s="97"/>
    </row>
    <row r="2122" spans="2:43" s="101" customFormat="1" ht="15" customHeight="1">
      <c r="B2122" s="104"/>
      <c r="C2122" s="104"/>
      <c r="D2122" s="104"/>
      <c r="E2122" s="104"/>
      <c r="F2122" s="104"/>
      <c r="G2122" s="104"/>
      <c r="H2122" s="104"/>
      <c r="I2122" s="104"/>
      <c r="J2122" s="104"/>
      <c r="K2122" s="104"/>
      <c r="L2122" s="104"/>
      <c r="R2122" s="105"/>
      <c r="S2122" s="105"/>
      <c r="T2122" s="105"/>
      <c r="U2122" s="105"/>
      <c r="V2122" s="105"/>
      <c r="W2122" s="105"/>
      <c r="AD2122" s="106"/>
      <c r="AE2122" s="97"/>
      <c r="AF2122" s="97"/>
      <c r="AG2122" s="97"/>
      <c r="AH2122" s="97"/>
      <c r="AI2122" s="97"/>
      <c r="AJ2122" s="97"/>
      <c r="AK2122" s="97"/>
      <c r="AL2122" s="97"/>
      <c r="AM2122" s="97"/>
      <c r="AN2122" s="97"/>
      <c r="AO2122" s="97"/>
      <c r="AP2122" s="97"/>
      <c r="AQ2122" s="97"/>
    </row>
    <row r="2123" spans="2:43" s="101" customFormat="1" ht="15" customHeight="1">
      <c r="B2123" s="104"/>
      <c r="C2123" s="104"/>
      <c r="D2123" s="104"/>
      <c r="E2123" s="104"/>
      <c r="F2123" s="104"/>
      <c r="G2123" s="104"/>
      <c r="H2123" s="104"/>
      <c r="I2123" s="104"/>
      <c r="J2123" s="104"/>
      <c r="K2123" s="104"/>
      <c r="L2123" s="104"/>
      <c r="R2123" s="105"/>
      <c r="S2123" s="105"/>
      <c r="T2123" s="105"/>
      <c r="U2123" s="105"/>
      <c r="V2123" s="105"/>
      <c r="W2123" s="105"/>
      <c r="AD2123" s="106"/>
      <c r="AE2123" s="97"/>
      <c r="AF2123" s="97"/>
      <c r="AG2123" s="97"/>
      <c r="AH2123" s="97"/>
      <c r="AI2123" s="97"/>
      <c r="AJ2123" s="97"/>
      <c r="AK2123" s="97"/>
      <c r="AL2123" s="97"/>
      <c r="AM2123" s="97"/>
      <c r="AN2123" s="97"/>
      <c r="AO2123" s="97"/>
      <c r="AP2123" s="97"/>
      <c r="AQ2123" s="97"/>
    </row>
    <row r="2124" spans="2:43" s="101" customFormat="1" ht="15" customHeight="1">
      <c r="B2124" s="104"/>
      <c r="C2124" s="104"/>
      <c r="D2124" s="104"/>
      <c r="E2124" s="104"/>
      <c r="F2124" s="104"/>
      <c r="G2124" s="104"/>
      <c r="H2124" s="104"/>
      <c r="I2124" s="104"/>
      <c r="J2124" s="104"/>
      <c r="K2124" s="104"/>
      <c r="L2124" s="104"/>
      <c r="R2124" s="105"/>
      <c r="S2124" s="105"/>
      <c r="T2124" s="105"/>
      <c r="U2124" s="105"/>
      <c r="V2124" s="105"/>
      <c r="W2124" s="105"/>
      <c r="AD2124" s="106"/>
      <c r="AE2124" s="97"/>
      <c r="AF2124" s="97"/>
      <c r="AG2124" s="97"/>
      <c r="AH2124" s="97"/>
      <c r="AI2124" s="97"/>
      <c r="AJ2124" s="97"/>
      <c r="AK2124" s="97"/>
      <c r="AL2124" s="97"/>
      <c r="AM2124" s="97"/>
      <c r="AN2124" s="97"/>
      <c r="AO2124" s="97"/>
      <c r="AP2124" s="97"/>
      <c r="AQ2124" s="97"/>
    </row>
    <row r="2125" spans="2:43" s="101" customFormat="1" ht="15" customHeight="1">
      <c r="B2125" s="104"/>
      <c r="C2125" s="104"/>
      <c r="D2125" s="104"/>
      <c r="E2125" s="104"/>
      <c r="F2125" s="104"/>
      <c r="G2125" s="104"/>
      <c r="H2125" s="104"/>
      <c r="I2125" s="104"/>
      <c r="J2125" s="104"/>
      <c r="K2125" s="104"/>
      <c r="L2125" s="104"/>
      <c r="R2125" s="105"/>
      <c r="S2125" s="105"/>
      <c r="T2125" s="105"/>
      <c r="U2125" s="105"/>
      <c r="V2125" s="105"/>
      <c r="W2125" s="105"/>
      <c r="AD2125" s="106"/>
      <c r="AE2125" s="97"/>
      <c r="AF2125" s="97"/>
      <c r="AG2125" s="97"/>
      <c r="AH2125" s="97"/>
      <c r="AI2125" s="97"/>
      <c r="AJ2125" s="97"/>
      <c r="AK2125" s="97"/>
      <c r="AL2125" s="97"/>
      <c r="AM2125" s="97"/>
      <c r="AN2125" s="97"/>
      <c r="AO2125" s="97"/>
      <c r="AP2125" s="97"/>
      <c r="AQ2125" s="97"/>
    </row>
    <row r="2126" spans="2:43" s="101" customFormat="1" ht="15" customHeight="1">
      <c r="B2126" s="104"/>
      <c r="C2126" s="104"/>
      <c r="D2126" s="104"/>
      <c r="E2126" s="104"/>
      <c r="F2126" s="104"/>
      <c r="G2126" s="104"/>
      <c r="H2126" s="104"/>
      <c r="I2126" s="104"/>
      <c r="J2126" s="104"/>
      <c r="K2126" s="104"/>
      <c r="L2126" s="104"/>
      <c r="R2126" s="105"/>
      <c r="S2126" s="105"/>
      <c r="T2126" s="105"/>
      <c r="U2126" s="105"/>
      <c r="V2126" s="105"/>
      <c r="W2126" s="105"/>
      <c r="AD2126" s="106"/>
      <c r="AE2126" s="97"/>
      <c r="AF2126" s="97"/>
      <c r="AG2126" s="97"/>
      <c r="AH2126" s="97"/>
      <c r="AI2126" s="97"/>
      <c r="AJ2126" s="97"/>
      <c r="AK2126" s="97"/>
      <c r="AL2126" s="97"/>
      <c r="AM2126" s="97"/>
      <c r="AN2126" s="97"/>
      <c r="AO2126" s="97"/>
      <c r="AP2126" s="97"/>
      <c r="AQ2126" s="97"/>
    </row>
    <row r="2127" spans="2:43" s="101" customFormat="1" ht="15" customHeight="1">
      <c r="B2127" s="104"/>
      <c r="C2127" s="104"/>
      <c r="D2127" s="104"/>
      <c r="E2127" s="104"/>
      <c r="F2127" s="104"/>
      <c r="G2127" s="104"/>
      <c r="H2127" s="104"/>
      <c r="I2127" s="104"/>
      <c r="J2127" s="104"/>
      <c r="K2127" s="104"/>
      <c r="L2127" s="104"/>
      <c r="R2127" s="105"/>
      <c r="S2127" s="105"/>
      <c r="T2127" s="105"/>
      <c r="U2127" s="105"/>
      <c r="V2127" s="105"/>
      <c r="W2127" s="105"/>
      <c r="AD2127" s="106"/>
      <c r="AE2127" s="97"/>
      <c r="AF2127" s="97"/>
      <c r="AG2127" s="97"/>
      <c r="AH2127" s="97"/>
      <c r="AI2127" s="97"/>
      <c r="AJ2127" s="97"/>
      <c r="AK2127" s="97"/>
      <c r="AL2127" s="97"/>
      <c r="AM2127" s="97"/>
      <c r="AN2127" s="97"/>
      <c r="AO2127" s="97"/>
      <c r="AP2127" s="97"/>
      <c r="AQ2127" s="97"/>
    </row>
    <row r="2128" spans="2:43" s="101" customFormat="1" ht="15" customHeight="1">
      <c r="B2128" s="104"/>
      <c r="C2128" s="104"/>
      <c r="D2128" s="104"/>
      <c r="E2128" s="104"/>
      <c r="F2128" s="104"/>
      <c r="G2128" s="104"/>
      <c r="H2128" s="104"/>
      <c r="I2128" s="104"/>
      <c r="J2128" s="104"/>
      <c r="K2128" s="104"/>
      <c r="L2128" s="104"/>
      <c r="R2128" s="105"/>
      <c r="S2128" s="105"/>
      <c r="T2128" s="105"/>
      <c r="U2128" s="105"/>
      <c r="V2128" s="105"/>
      <c r="W2128" s="105"/>
      <c r="AD2128" s="106"/>
      <c r="AE2128" s="97"/>
      <c r="AF2128" s="97"/>
      <c r="AG2128" s="97"/>
      <c r="AH2128" s="97"/>
      <c r="AI2128" s="97"/>
      <c r="AJ2128" s="97"/>
      <c r="AK2128" s="97"/>
      <c r="AL2128" s="97"/>
      <c r="AM2128" s="97"/>
      <c r="AN2128" s="97"/>
      <c r="AO2128" s="97"/>
      <c r="AP2128" s="97"/>
      <c r="AQ2128" s="97"/>
    </row>
    <row r="2129" spans="2:43" s="101" customFormat="1" ht="15" customHeight="1">
      <c r="B2129" s="104"/>
      <c r="C2129" s="104"/>
      <c r="D2129" s="104"/>
      <c r="E2129" s="104"/>
      <c r="F2129" s="104"/>
      <c r="G2129" s="104"/>
      <c r="H2129" s="104"/>
      <c r="I2129" s="104"/>
      <c r="J2129" s="104"/>
      <c r="K2129" s="104"/>
      <c r="L2129" s="104"/>
      <c r="R2129" s="105"/>
      <c r="S2129" s="105"/>
      <c r="T2129" s="105"/>
      <c r="U2129" s="105"/>
      <c r="V2129" s="105"/>
      <c r="W2129" s="105"/>
      <c r="AD2129" s="106"/>
      <c r="AE2129" s="97"/>
      <c r="AF2129" s="97"/>
      <c r="AG2129" s="97"/>
      <c r="AH2129" s="97"/>
      <c r="AI2129" s="97"/>
      <c r="AJ2129" s="97"/>
      <c r="AK2129" s="97"/>
      <c r="AL2129" s="97"/>
      <c r="AM2129" s="97"/>
      <c r="AN2129" s="97"/>
      <c r="AO2129" s="97"/>
      <c r="AP2129" s="97"/>
      <c r="AQ2129" s="97"/>
    </row>
    <row r="2130" spans="2:43" s="101" customFormat="1" ht="15" customHeight="1">
      <c r="B2130" s="104"/>
      <c r="C2130" s="104"/>
      <c r="D2130" s="104"/>
      <c r="E2130" s="104"/>
      <c r="F2130" s="104"/>
      <c r="G2130" s="104"/>
      <c r="H2130" s="104"/>
      <c r="I2130" s="104"/>
      <c r="J2130" s="104"/>
      <c r="K2130" s="104"/>
      <c r="L2130" s="104"/>
      <c r="R2130" s="105"/>
      <c r="S2130" s="105"/>
      <c r="T2130" s="105"/>
      <c r="U2130" s="105"/>
      <c r="V2130" s="105"/>
      <c r="W2130" s="105"/>
      <c r="AD2130" s="106"/>
      <c r="AE2130" s="97"/>
      <c r="AF2130" s="97"/>
      <c r="AG2130" s="97"/>
      <c r="AH2130" s="97"/>
      <c r="AI2130" s="97"/>
      <c r="AJ2130" s="97"/>
      <c r="AK2130" s="97"/>
      <c r="AL2130" s="97"/>
      <c r="AM2130" s="97"/>
      <c r="AN2130" s="97"/>
      <c r="AO2130" s="97"/>
      <c r="AP2130" s="97"/>
      <c r="AQ2130" s="97"/>
    </row>
    <row r="2131" spans="2:43" s="101" customFormat="1" ht="15" customHeight="1">
      <c r="B2131" s="104"/>
      <c r="C2131" s="104"/>
      <c r="D2131" s="104"/>
      <c r="E2131" s="104"/>
      <c r="F2131" s="104"/>
      <c r="G2131" s="104"/>
      <c r="H2131" s="104"/>
      <c r="I2131" s="104"/>
      <c r="J2131" s="104"/>
      <c r="K2131" s="104"/>
      <c r="L2131" s="104"/>
      <c r="R2131" s="105"/>
      <c r="S2131" s="105"/>
      <c r="T2131" s="105"/>
      <c r="U2131" s="105"/>
      <c r="V2131" s="105"/>
      <c r="W2131" s="105"/>
      <c r="AD2131" s="106"/>
      <c r="AE2131" s="97"/>
      <c r="AF2131" s="97"/>
      <c r="AG2131" s="97"/>
      <c r="AH2131" s="97"/>
      <c r="AI2131" s="97"/>
      <c r="AJ2131" s="97"/>
      <c r="AK2131" s="97"/>
      <c r="AL2131" s="97"/>
      <c r="AM2131" s="97"/>
      <c r="AN2131" s="97"/>
      <c r="AO2131" s="97"/>
      <c r="AP2131" s="97"/>
      <c r="AQ2131" s="97"/>
    </row>
    <row r="2132" spans="2:43" s="101" customFormat="1" ht="15" customHeight="1">
      <c r="B2132" s="104"/>
      <c r="C2132" s="104"/>
      <c r="D2132" s="104"/>
      <c r="E2132" s="104"/>
      <c r="F2132" s="104"/>
      <c r="G2132" s="104"/>
      <c r="H2132" s="104"/>
      <c r="I2132" s="104"/>
      <c r="J2132" s="104"/>
      <c r="K2132" s="104"/>
      <c r="L2132" s="104"/>
      <c r="R2132" s="105"/>
      <c r="S2132" s="105"/>
      <c r="T2132" s="105"/>
      <c r="U2132" s="105"/>
      <c r="V2132" s="105"/>
      <c r="W2132" s="105"/>
      <c r="AD2132" s="106"/>
      <c r="AE2132" s="97"/>
      <c r="AF2132" s="97"/>
      <c r="AG2132" s="97"/>
      <c r="AH2132" s="97"/>
      <c r="AI2132" s="97"/>
      <c r="AJ2132" s="97"/>
      <c r="AK2132" s="97"/>
      <c r="AL2132" s="97"/>
      <c r="AM2132" s="97"/>
      <c r="AN2132" s="97"/>
      <c r="AO2132" s="97"/>
      <c r="AP2132" s="97"/>
      <c r="AQ2132" s="97"/>
    </row>
    <row r="2133" spans="2:43" s="101" customFormat="1" ht="15" customHeight="1">
      <c r="B2133" s="104"/>
      <c r="C2133" s="104"/>
      <c r="D2133" s="104"/>
      <c r="E2133" s="104"/>
      <c r="F2133" s="104"/>
      <c r="G2133" s="104"/>
      <c r="H2133" s="104"/>
      <c r="I2133" s="104"/>
      <c r="J2133" s="104"/>
      <c r="K2133" s="104"/>
      <c r="L2133" s="104"/>
      <c r="R2133" s="105"/>
      <c r="S2133" s="105"/>
      <c r="T2133" s="105"/>
      <c r="U2133" s="105"/>
      <c r="V2133" s="105"/>
      <c r="W2133" s="105"/>
      <c r="AD2133" s="106"/>
      <c r="AE2133" s="97"/>
      <c r="AF2133" s="97"/>
      <c r="AG2133" s="97"/>
      <c r="AH2133" s="97"/>
      <c r="AI2133" s="97"/>
      <c r="AJ2133" s="97"/>
      <c r="AK2133" s="97"/>
      <c r="AL2133" s="97"/>
      <c r="AM2133" s="97"/>
      <c r="AN2133" s="97"/>
      <c r="AO2133" s="97"/>
      <c r="AP2133" s="97"/>
      <c r="AQ2133" s="97"/>
    </row>
    <row r="2134" spans="2:43" s="101" customFormat="1" ht="15" customHeight="1">
      <c r="B2134" s="104"/>
      <c r="C2134" s="104"/>
      <c r="D2134" s="104"/>
      <c r="E2134" s="104"/>
      <c r="F2134" s="104"/>
      <c r="G2134" s="104"/>
      <c r="H2134" s="104"/>
      <c r="I2134" s="104"/>
      <c r="J2134" s="104"/>
      <c r="K2134" s="104"/>
      <c r="L2134" s="104"/>
      <c r="R2134" s="105"/>
      <c r="S2134" s="105"/>
      <c r="T2134" s="105"/>
      <c r="U2134" s="105"/>
      <c r="V2134" s="105"/>
      <c r="W2134" s="105"/>
      <c r="AD2134" s="106"/>
      <c r="AE2134" s="97"/>
      <c r="AF2134" s="97"/>
      <c r="AG2134" s="97"/>
      <c r="AH2134" s="97"/>
      <c r="AI2134" s="97"/>
      <c r="AJ2134" s="97"/>
      <c r="AK2134" s="97"/>
      <c r="AL2134" s="97"/>
      <c r="AM2134" s="97"/>
      <c r="AN2134" s="97"/>
      <c r="AO2134" s="97"/>
      <c r="AP2134" s="97"/>
      <c r="AQ2134" s="97"/>
    </row>
    <row r="2135" spans="2:43" s="101" customFormat="1" ht="15" customHeight="1">
      <c r="B2135" s="104"/>
      <c r="C2135" s="104"/>
      <c r="D2135" s="104"/>
      <c r="E2135" s="104"/>
      <c r="F2135" s="104"/>
      <c r="G2135" s="104"/>
      <c r="H2135" s="104"/>
      <c r="I2135" s="104"/>
      <c r="J2135" s="104"/>
      <c r="K2135" s="104"/>
      <c r="L2135" s="104"/>
      <c r="R2135" s="105"/>
      <c r="S2135" s="105"/>
      <c r="T2135" s="105"/>
      <c r="U2135" s="105"/>
      <c r="V2135" s="105"/>
      <c r="W2135" s="105"/>
      <c r="AD2135" s="106"/>
      <c r="AE2135" s="97"/>
      <c r="AF2135" s="97"/>
      <c r="AG2135" s="97"/>
      <c r="AH2135" s="97"/>
      <c r="AI2135" s="97"/>
      <c r="AJ2135" s="97"/>
      <c r="AK2135" s="97"/>
      <c r="AL2135" s="97"/>
      <c r="AM2135" s="97"/>
      <c r="AN2135" s="97"/>
      <c r="AO2135" s="97"/>
      <c r="AP2135" s="97"/>
      <c r="AQ2135" s="97"/>
    </row>
    <row r="2136" spans="2:43" s="101" customFormat="1" ht="15" customHeight="1">
      <c r="B2136" s="104"/>
      <c r="C2136" s="104"/>
      <c r="D2136" s="104"/>
      <c r="E2136" s="104"/>
      <c r="F2136" s="104"/>
      <c r="G2136" s="104"/>
      <c r="H2136" s="104"/>
      <c r="I2136" s="104"/>
      <c r="J2136" s="104"/>
      <c r="K2136" s="104"/>
      <c r="L2136" s="104"/>
      <c r="R2136" s="105"/>
      <c r="S2136" s="105"/>
      <c r="T2136" s="105"/>
      <c r="U2136" s="105"/>
      <c r="V2136" s="105"/>
      <c r="W2136" s="105"/>
      <c r="AD2136" s="106"/>
      <c r="AE2136" s="97"/>
      <c r="AF2136" s="97"/>
      <c r="AG2136" s="97"/>
      <c r="AH2136" s="97"/>
      <c r="AI2136" s="97"/>
      <c r="AJ2136" s="97"/>
      <c r="AK2136" s="97"/>
      <c r="AL2136" s="97"/>
      <c r="AM2136" s="97"/>
      <c r="AN2136" s="97"/>
      <c r="AO2136" s="97"/>
      <c r="AP2136" s="97"/>
      <c r="AQ2136" s="97"/>
    </row>
    <row r="2137" spans="2:43" s="101" customFormat="1" ht="15" customHeight="1">
      <c r="B2137" s="104"/>
      <c r="C2137" s="104"/>
      <c r="D2137" s="104"/>
      <c r="E2137" s="104"/>
      <c r="F2137" s="104"/>
      <c r="G2137" s="104"/>
      <c r="H2137" s="104"/>
      <c r="I2137" s="104"/>
      <c r="J2137" s="104"/>
      <c r="K2137" s="104"/>
      <c r="L2137" s="104"/>
      <c r="R2137" s="105"/>
      <c r="S2137" s="105"/>
      <c r="T2137" s="105"/>
      <c r="U2137" s="105"/>
      <c r="V2137" s="105"/>
      <c r="W2137" s="105"/>
      <c r="AD2137" s="106"/>
      <c r="AE2137" s="97"/>
      <c r="AF2137" s="97"/>
      <c r="AG2137" s="97"/>
      <c r="AH2137" s="97"/>
      <c r="AI2137" s="97"/>
      <c r="AJ2137" s="97"/>
      <c r="AK2137" s="97"/>
      <c r="AL2137" s="97"/>
      <c r="AM2137" s="97"/>
      <c r="AN2137" s="97"/>
      <c r="AO2137" s="97"/>
      <c r="AP2137" s="97"/>
      <c r="AQ2137" s="97"/>
    </row>
    <row r="2138" spans="2:43" s="101" customFormat="1" ht="15" customHeight="1">
      <c r="B2138" s="104"/>
      <c r="C2138" s="104"/>
      <c r="D2138" s="104"/>
      <c r="E2138" s="104"/>
      <c r="F2138" s="104"/>
      <c r="G2138" s="104"/>
      <c r="H2138" s="104"/>
      <c r="I2138" s="104"/>
      <c r="J2138" s="104"/>
      <c r="K2138" s="104"/>
      <c r="L2138" s="104"/>
      <c r="R2138" s="105"/>
      <c r="S2138" s="105"/>
      <c r="T2138" s="105"/>
      <c r="U2138" s="105"/>
      <c r="V2138" s="105"/>
      <c r="W2138" s="105"/>
      <c r="AD2138" s="106"/>
      <c r="AE2138" s="97"/>
      <c r="AF2138" s="97"/>
      <c r="AG2138" s="97"/>
      <c r="AH2138" s="97"/>
      <c r="AI2138" s="97"/>
      <c r="AJ2138" s="97"/>
      <c r="AK2138" s="97"/>
      <c r="AL2138" s="97"/>
      <c r="AM2138" s="97"/>
      <c r="AN2138" s="97"/>
      <c r="AO2138" s="97"/>
      <c r="AP2138" s="97"/>
      <c r="AQ2138" s="97"/>
    </row>
    <row r="2139" spans="2:43" s="101" customFormat="1" ht="15" customHeight="1">
      <c r="B2139" s="104"/>
      <c r="C2139" s="104"/>
      <c r="D2139" s="104"/>
      <c r="E2139" s="104"/>
      <c r="F2139" s="104"/>
      <c r="G2139" s="104"/>
      <c r="H2139" s="104"/>
      <c r="I2139" s="104"/>
      <c r="J2139" s="104"/>
      <c r="K2139" s="104"/>
      <c r="L2139" s="104"/>
      <c r="R2139" s="105"/>
      <c r="S2139" s="105"/>
      <c r="T2139" s="105"/>
      <c r="U2139" s="105"/>
      <c r="V2139" s="105"/>
      <c r="W2139" s="105"/>
      <c r="AD2139" s="106"/>
      <c r="AE2139" s="97"/>
      <c r="AF2139" s="97"/>
      <c r="AG2139" s="97"/>
      <c r="AH2139" s="97"/>
      <c r="AI2139" s="97"/>
      <c r="AJ2139" s="97"/>
      <c r="AK2139" s="97"/>
      <c r="AL2139" s="97"/>
      <c r="AM2139" s="97"/>
      <c r="AN2139" s="97"/>
      <c r="AO2139" s="97"/>
      <c r="AP2139" s="97"/>
      <c r="AQ2139" s="97"/>
    </row>
    <row r="2140" spans="2:43" s="101" customFormat="1" ht="15" customHeight="1">
      <c r="B2140" s="104"/>
      <c r="C2140" s="104"/>
      <c r="D2140" s="104"/>
      <c r="E2140" s="104"/>
      <c r="F2140" s="104"/>
      <c r="G2140" s="104"/>
      <c r="H2140" s="104"/>
      <c r="I2140" s="104"/>
      <c r="J2140" s="104"/>
      <c r="K2140" s="104"/>
      <c r="L2140" s="104"/>
      <c r="R2140" s="105"/>
      <c r="S2140" s="105"/>
      <c r="T2140" s="105"/>
      <c r="U2140" s="105"/>
      <c r="V2140" s="105"/>
      <c r="W2140" s="105"/>
      <c r="AD2140" s="106"/>
      <c r="AE2140" s="97"/>
      <c r="AF2140" s="97"/>
      <c r="AG2140" s="97"/>
      <c r="AH2140" s="97"/>
      <c r="AI2140" s="97"/>
      <c r="AJ2140" s="97"/>
      <c r="AK2140" s="97"/>
      <c r="AL2140" s="97"/>
      <c r="AM2140" s="97"/>
      <c r="AN2140" s="97"/>
      <c r="AO2140" s="97"/>
      <c r="AP2140" s="97"/>
      <c r="AQ2140" s="97"/>
    </row>
    <row r="2141" spans="2:43" s="101" customFormat="1" ht="15" customHeight="1">
      <c r="B2141" s="104"/>
      <c r="C2141" s="104"/>
      <c r="D2141" s="104"/>
      <c r="E2141" s="104"/>
      <c r="F2141" s="104"/>
      <c r="G2141" s="104"/>
      <c r="H2141" s="104"/>
      <c r="I2141" s="104"/>
      <c r="J2141" s="104"/>
      <c r="K2141" s="104"/>
      <c r="L2141" s="104"/>
      <c r="R2141" s="105"/>
      <c r="S2141" s="105"/>
      <c r="T2141" s="105"/>
      <c r="U2141" s="105"/>
      <c r="V2141" s="105"/>
      <c r="W2141" s="105"/>
      <c r="AD2141" s="106"/>
      <c r="AE2141" s="97"/>
      <c r="AF2141" s="97"/>
      <c r="AG2141" s="97"/>
      <c r="AH2141" s="97"/>
      <c r="AI2141" s="97"/>
      <c r="AJ2141" s="97"/>
      <c r="AK2141" s="97"/>
      <c r="AL2141" s="97"/>
      <c r="AM2141" s="97"/>
      <c r="AN2141" s="97"/>
      <c r="AO2141" s="97"/>
      <c r="AP2141" s="97"/>
      <c r="AQ2141" s="97"/>
    </row>
    <row r="2142" spans="2:43" s="101" customFormat="1" ht="15" customHeight="1">
      <c r="B2142" s="104"/>
      <c r="C2142" s="104"/>
      <c r="D2142" s="104"/>
      <c r="E2142" s="104"/>
      <c r="F2142" s="104"/>
      <c r="G2142" s="104"/>
      <c r="H2142" s="104"/>
      <c r="I2142" s="104"/>
      <c r="J2142" s="104"/>
      <c r="K2142" s="104"/>
      <c r="L2142" s="104"/>
      <c r="R2142" s="105"/>
      <c r="S2142" s="105"/>
      <c r="T2142" s="105"/>
      <c r="U2142" s="105"/>
      <c r="V2142" s="105"/>
      <c r="W2142" s="105"/>
      <c r="AD2142" s="106"/>
      <c r="AE2142" s="97"/>
      <c r="AF2142" s="97"/>
      <c r="AG2142" s="97"/>
      <c r="AH2142" s="97"/>
      <c r="AI2142" s="97"/>
      <c r="AJ2142" s="97"/>
      <c r="AK2142" s="97"/>
      <c r="AL2142" s="97"/>
      <c r="AM2142" s="97"/>
      <c r="AN2142" s="97"/>
      <c r="AO2142" s="97"/>
      <c r="AP2142" s="97"/>
      <c r="AQ2142" s="97"/>
    </row>
    <row r="2143" spans="2:43" s="101" customFormat="1" ht="15" customHeight="1">
      <c r="B2143" s="104"/>
      <c r="C2143" s="104"/>
      <c r="D2143" s="104"/>
      <c r="E2143" s="104"/>
      <c r="F2143" s="104"/>
      <c r="G2143" s="104"/>
      <c r="H2143" s="104"/>
      <c r="I2143" s="104"/>
      <c r="J2143" s="104"/>
      <c r="K2143" s="104"/>
      <c r="L2143" s="104"/>
      <c r="R2143" s="105"/>
      <c r="S2143" s="105"/>
      <c r="T2143" s="105"/>
      <c r="U2143" s="105"/>
      <c r="V2143" s="105"/>
      <c r="W2143" s="105"/>
      <c r="AD2143" s="106"/>
      <c r="AE2143" s="97"/>
      <c r="AF2143" s="97"/>
      <c r="AG2143" s="97"/>
      <c r="AH2143" s="97"/>
      <c r="AI2143" s="97"/>
      <c r="AJ2143" s="97"/>
      <c r="AK2143" s="97"/>
      <c r="AL2143" s="97"/>
      <c r="AM2143" s="97"/>
      <c r="AN2143" s="97"/>
      <c r="AO2143" s="97"/>
      <c r="AP2143" s="97"/>
      <c r="AQ2143" s="97"/>
    </row>
    <row r="2144" spans="2:43" s="101" customFormat="1" ht="15" customHeight="1">
      <c r="B2144" s="104"/>
      <c r="C2144" s="104"/>
      <c r="D2144" s="104"/>
      <c r="E2144" s="104"/>
      <c r="F2144" s="104"/>
      <c r="G2144" s="104"/>
      <c r="H2144" s="104"/>
      <c r="I2144" s="104"/>
      <c r="J2144" s="104"/>
      <c r="K2144" s="104"/>
      <c r="L2144" s="104"/>
      <c r="R2144" s="105"/>
      <c r="S2144" s="105"/>
      <c r="T2144" s="105"/>
      <c r="U2144" s="105"/>
      <c r="V2144" s="105"/>
      <c r="W2144" s="105"/>
      <c r="AD2144" s="106"/>
      <c r="AE2144" s="97"/>
      <c r="AF2144" s="97"/>
      <c r="AG2144" s="97"/>
      <c r="AH2144" s="97"/>
      <c r="AI2144" s="97"/>
      <c r="AJ2144" s="97"/>
      <c r="AK2144" s="97"/>
      <c r="AL2144" s="97"/>
      <c r="AM2144" s="97"/>
      <c r="AN2144" s="97"/>
      <c r="AO2144" s="97"/>
      <c r="AP2144" s="97"/>
      <c r="AQ2144" s="97"/>
    </row>
    <row r="2145" spans="2:43" s="101" customFormat="1" ht="15" customHeight="1">
      <c r="B2145" s="104"/>
      <c r="C2145" s="104"/>
      <c r="D2145" s="104"/>
      <c r="E2145" s="104"/>
      <c r="F2145" s="104"/>
      <c r="G2145" s="104"/>
      <c r="H2145" s="104"/>
      <c r="I2145" s="104"/>
      <c r="J2145" s="104"/>
      <c r="K2145" s="104"/>
      <c r="L2145" s="104"/>
      <c r="R2145" s="105"/>
      <c r="S2145" s="105"/>
      <c r="T2145" s="105"/>
      <c r="U2145" s="105"/>
      <c r="V2145" s="105"/>
      <c r="W2145" s="105"/>
      <c r="AD2145" s="106"/>
      <c r="AE2145" s="97"/>
      <c r="AF2145" s="97"/>
      <c r="AG2145" s="97"/>
      <c r="AH2145" s="97"/>
      <c r="AI2145" s="97"/>
      <c r="AJ2145" s="97"/>
      <c r="AK2145" s="97"/>
      <c r="AL2145" s="97"/>
      <c r="AM2145" s="97"/>
      <c r="AN2145" s="97"/>
      <c r="AO2145" s="97"/>
      <c r="AP2145" s="97"/>
      <c r="AQ2145" s="97"/>
    </row>
    <row r="2146" spans="2:43" s="101" customFormat="1" ht="15" customHeight="1">
      <c r="B2146" s="104"/>
      <c r="C2146" s="104"/>
      <c r="D2146" s="104"/>
      <c r="E2146" s="104"/>
      <c r="F2146" s="104"/>
      <c r="G2146" s="104"/>
      <c r="H2146" s="104"/>
      <c r="I2146" s="104"/>
      <c r="J2146" s="104"/>
      <c r="K2146" s="104"/>
      <c r="L2146" s="104"/>
      <c r="R2146" s="105"/>
      <c r="S2146" s="105"/>
      <c r="T2146" s="105"/>
      <c r="U2146" s="105"/>
      <c r="V2146" s="105"/>
      <c r="W2146" s="105"/>
      <c r="AD2146" s="106"/>
      <c r="AE2146" s="97"/>
      <c r="AF2146" s="97"/>
      <c r="AG2146" s="97"/>
      <c r="AH2146" s="97"/>
      <c r="AI2146" s="97"/>
      <c r="AJ2146" s="97"/>
      <c r="AK2146" s="97"/>
      <c r="AL2146" s="97"/>
      <c r="AM2146" s="97"/>
      <c r="AN2146" s="97"/>
      <c r="AO2146" s="97"/>
      <c r="AP2146" s="97"/>
      <c r="AQ2146" s="97"/>
    </row>
    <row r="2147" spans="2:43" s="101" customFormat="1" ht="15" customHeight="1">
      <c r="B2147" s="104"/>
      <c r="C2147" s="104"/>
      <c r="D2147" s="104"/>
      <c r="E2147" s="104"/>
      <c r="F2147" s="104"/>
      <c r="G2147" s="104"/>
      <c r="H2147" s="104"/>
      <c r="I2147" s="104"/>
      <c r="J2147" s="104"/>
      <c r="K2147" s="104"/>
      <c r="L2147" s="104"/>
      <c r="R2147" s="105"/>
      <c r="S2147" s="105"/>
      <c r="T2147" s="105"/>
      <c r="U2147" s="105"/>
      <c r="V2147" s="105"/>
      <c r="W2147" s="105"/>
      <c r="AD2147" s="106"/>
      <c r="AE2147" s="97"/>
      <c r="AF2147" s="97"/>
      <c r="AG2147" s="97"/>
      <c r="AH2147" s="97"/>
      <c r="AI2147" s="97"/>
      <c r="AJ2147" s="97"/>
      <c r="AK2147" s="97"/>
      <c r="AL2147" s="97"/>
      <c r="AM2147" s="97"/>
      <c r="AN2147" s="97"/>
      <c r="AO2147" s="97"/>
      <c r="AP2147" s="97"/>
      <c r="AQ2147" s="97"/>
    </row>
    <row r="2148" spans="2:43" s="101" customFormat="1" ht="15" customHeight="1">
      <c r="B2148" s="104"/>
      <c r="C2148" s="104"/>
      <c r="D2148" s="104"/>
      <c r="E2148" s="104"/>
      <c r="F2148" s="104"/>
      <c r="G2148" s="104"/>
      <c r="H2148" s="104"/>
      <c r="I2148" s="104"/>
      <c r="J2148" s="104"/>
      <c r="K2148" s="104"/>
      <c r="L2148" s="104"/>
      <c r="R2148" s="105"/>
      <c r="S2148" s="105"/>
      <c r="T2148" s="105"/>
      <c r="U2148" s="105"/>
      <c r="V2148" s="105"/>
      <c r="W2148" s="105"/>
      <c r="AD2148" s="106"/>
      <c r="AE2148" s="97"/>
      <c r="AF2148" s="97"/>
      <c r="AG2148" s="97"/>
      <c r="AH2148" s="97"/>
      <c r="AI2148" s="97"/>
      <c r="AJ2148" s="97"/>
      <c r="AK2148" s="97"/>
      <c r="AL2148" s="97"/>
      <c r="AM2148" s="97"/>
      <c r="AN2148" s="97"/>
      <c r="AO2148" s="97"/>
      <c r="AP2148" s="97"/>
      <c r="AQ2148" s="97"/>
    </row>
    <row r="2149" spans="2:43" s="101" customFormat="1" ht="15" customHeight="1">
      <c r="B2149" s="104"/>
      <c r="C2149" s="104"/>
      <c r="D2149" s="104"/>
      <c r="E2149" s="104"/>
      <c r="F2149" s="104"/>
      <c r="G2149" s="104"/>
      <c r="H2149" s="104"/>
      <c r="I2149" s="104"/>
      <c r="J2149" s="104"/>
      <c r="K2149" s="104"/>
      <c r="L2149" s="104"/>
      <c r="R2149" s="105"/>
      <c r="S2149" s="105"/>
      <c r="T2149" s="105"/>
      <c r="U2149" s="105"/>
      <c r="V2149" s="105"/>
      <c r="W2149" s="105"/>
      <c r="AD2149" s="106"/>
      <c r="AE2149" s="97"/>
      <c r="AF2149" s="97"/>
      <c r="AG2149" s="97"/>
      <c r="AH2149" s="97"/>
      <c r="AI2149" s="97"/>
      <c r="AJ2149" s="97"/>
      <c r="AK2149" s="97"/>
      <c r="AL2149" s="97"/>
      <c r="AM2149" s="97"/>
      <c r="AN2149" s="97"/>
      <c r="AO2149" s="97"/>
      <c r="AP2149" s="97"/>
      <c r="AQ2149" s="97"/>
    </row>
    <row r="2150" spans="2:43" s="101" customFormat="1" ht="15" customHeight="1">
      <c r="B2150" s="104"/>
      <c r="C2150" s="104"/>
      <c r="D2150" s="104"/>
      <c r="E2150" s="104"/>
      <c r="F2150" s="104"/>
      <c r="G2150" s="104"/>
      <c r="H2150" s="104"/>
      <c r="I2150" s="104"/>
      <c r="J2150" s="104"/>
      <c r="K2150" s="104"/>
      <c r="L2150" s="104"/>
      <c r="R2150" s="105"/>
      <c r="S2150" s="105"/>
      <c r="T2150" s="105"/>
      <c r="U2150" s="105"/>
      <c r="V2150" s="105"/>
      <c r="W2150" s="105"/>
      <c r="AD2150" s="106"/>
      <c r="AE2150" s="97"/>
      <c r="AF2150" s="97"/>
      <c r="AG2150" s="97"/>
      <c r="AH2150" s="97"/>
      <c r="AI2150" s="97"/>
      <c r="AJ2150" s="97"/>
      <c r="AK2150" s="97"/>
      <c r="AL2150" s="97"/>
      <c r="AM2150" s="97"/>
      <c r="AN2150" s="97"/>
      <c r="AO2150" s="97"/>
      <c r="AP2150" s="97"/>
      <c r="AQ2150" s="97"/>
    </row>
    <row r="2151" spans="2:43" s="101" customFormat="1" ht="15" customHeight="1">
      <c r="B2151" s="104"/>
      <c r="C2151" s="104"/>
      <c r="D2151" s="104"/>
      <c r="E2151" s="104"/>
      <c r="F2151" s="104"/>
      <c r="G2151" s="104"/>
      <c r="H2151" s="104"/>
      <c r="I2151" s="104"/>
      <c r="J2151" s="104"/>
      <c r="K2151" s="104"/>
      <c r="L2151" s="104"/>
      <c r="R2151" s="105"/>
      <c r="S2151" s="105"/>
      <c r="T2151" s="105"/>
      <c r="U2151" s="105"/>
      <c r="V2151" s="105"/>
      <c r="W2151" s="105"/>
      <c r="AD2151" s="106"/>
      <c r="AE2151" s="97"/>
      <c r="AF2151" s="97"/>
      <c r="AG2151" s="97"/>
      <c r="AH2151" s="97"/>
      <c r="AI2151" s="97"/>
      <c r="AJ2151" s="97"/>
      <c r="AK2151" s="97"/>
      <c r="AL2151" s="97"/>
      <c r="AM2151" s="97"/>
      <c r="AN2151" s="97"/>
      <c r="AO2151" s="97"/>
      <c r="AP2151" s="97"/>
      <c r="AQ2151" s="97"/>
    </row>
    <row r="2152" spans="2:43" s="101" customFormat="1" ht="15" customHeight="1">
      <c r="B2152" s="104"/>
      <c r="C2152" s="104"/>
      <c r="D2152" s="104"/>
      <c r="E2152" s="104"/>
      <c r="F2152" s="104"/>
      <c r="G2152" s="104"/>
      <c r="H2152" s="104"/>
      <c r="I2152" s="104"/>
      <c r="J2152" s="104"/>
      <c r="K2152" s="104"/>
      <c r="L2152" s="104"/>
      <c r="R2152" s="105"/>
      <c r="S2152" s="105"/>
      <c r="T2152" s="105"/>
      <c r="U2152" s="105"/>
      <c r="V2152" s="105"/>
      <c r="W2152" s="105"/>
      <c r="AD2152" s="106"/>
      <c r="AE2152" s="97"/>
      <c r="AF2152" s="97"/>
      <c r="AG2152" s="97"/>
      <c r="AH2152" s="97"/>
      <c r="AI2152" s="97"/>
      <c r="AJ2152" s="97"/>
      <c r="AK2152" s="97"/>
      <c r="AL2152" s="97"/>
      <c r="AM2152" s="97"/>
      <c r="AN2152" s="97"/>
      <c r="AO2152" s="97"/>
      <c r="AP2152" s="97"/>
      <c r="AQ2152" s="97"/>
    </row>
    <row r="2153" spans="2:43" s="101" customFormat="1" ht="15" customHeight="1">
      <c r="B2153" s="104"/>
      <c r="C2153" s="104"/>
      <c r="D2153" s="104"/>
      <c r="E2153" s="104"/>
      <c r="F2153" s="104"/>
      <c r="G2153" s="104"/>
      <c r="H2153" s="104"/>
      <c r="I2153" s="104"/>
      <c r="J2153" s="104"/>
      <c r="K2153" s="104"/>
      <c r="L2153" s="104"/>
      <c r="R2153" s="105"/>
      <c r="S2153" s="105"/>
      <c r="T2153" s="105"/>
      <c r="U2153" s="105"/>
      <c r="V2153" s="105"/>
      <c r="W2153" s="105"/>
      <c r="AD2153" s="106"/>
      <c r="AE2153" s="97"/>
      <c r="AF2153" s="97"/>
      <c r="AG2153" s="97"/>
      <c r="AH2153" s="97"/>
      <c r="AI2153" s="97"/>
      <c r="AJ2153" s="97"/>
      <c r="AK2153" s="97"/>
      <c r="AL2153" s="97"/>
      <c r="AM2153" s="97"/>
      <c r="AN2153" s="97"/>
      <c r="AO2153" s="97"/>
      <c r="AP2153" s="97"/>
      <c r="AQ2153" s="97"/>
    </row>
    <row r="2154" spans="2:43" s="101" customFormat="1" ht="15" customHeight="1">
      <c r="B2154" s="104"/>
      <c r="C2154" s="104"/>
      <c r="D2154" s="104"/>
      <c r="E2154" s="104"/>
      <c r="F2154" s="104"/>
      <c r="G2154" s="104"/>
      <c r="H2154" s="104"/>
      <c r="I2154" s="104"/>
      <c r="J2154" s="104"/>
      <c r="K2154" s="104"/>
      <c r="L2154" s="104"/>
      <c r="R2154" s="105"/>
      <c r="S2154" s="105"/>
      <c r="T2154" s="105"/>
      <c r="U2154" s="105"/>
      <c r="V2154" s="105"/>
      <c r="W2154" s="105"/>
      <c r="AD2154" s="106"/>
      <c r="AE2154" s="97"/>
      <c r="AF2154" s="97"/>
      <c r="AG2154" s="97"/>
      <c r="AH2154" s="97"/>
      <c r="AI2154" s="97"/>
      <c r="AJ2154" s="97"/>
      <c r="AK2154" s="97"/>
      <c r="AL2154" s="97"/>
      <c r="AM2154" s="97"/>
      <c r="AN2154" s="97"/>
      <c r="AO2154" s="97"/>
      <c r="AP2154" s="97"/>
      <c r="AQ2154" s="97"/>
    </row>
    <row r="2155" spans="2:43" s="101" customFormat="1" ht="15" customHeight="1">
      <c r="B2155" s="104"/>
      <c r="C2155" s="104"/>
      <c r="D2155" s="104"/>
      <c r="E2155" s="104"/>
      <c r="F2155" s="104"/>
      <c r="G2155" s="104"/>
      <c r="H2155" s="104"/>
      <c r="I2155" s="104"/>
      <c r="J2155" s="104"/>
      <c r="K2155" s="104"/>
      <c r="L2155" s="104"/>
      <c r="R2155" s="105"/>
      <c r="S2155" s="105"/>
      <c r="T2155" s="105"/>
      <c r="U2155" s="105"/>
      <c r="V2155" s="105"/>
      <c r="W2155" s="105"/>
      <c r="AD2155" s="106"/>
      <c r="AE2155" s="97"/>
      <c r="AF2155" s="97"/>
      <c r="AG2155" s="97"/>
      <c r="AH2155" s="97"/>
      <c r="AI2155" s="97"/>
      <c r="AJ2155" s="97"/>
      <c r="AK2155" s="97"/>
      <c r="AL2155" s="97"/>
      <c r="AM2155" s="97"/>
      <c r="AN2155" s="97"/>
      <c r="AO2155" s="97"/>
      <c r="AP2155" s="97"/>
      <c r="AQ2155" s="97"/>
    </row>
    <row r="2156" spans="2:43" s="101" customFormat="1" ht="15" customHeight="1">
      <c r="B2156" s="104"/>
      <c r="C2156" s="104"/>
      <c r="D2156" s="104"/>
      <c r="E2156" s="104"/>
      <c r="F2156" s="104"/>
      <c r="G2156" s="104"/>
      <c r="H2156" s="104"/>
      <c r="I2156" s="104"/>
      <c r="J2156" s="104"/>
      <c r="K2156" s="104"/>
      <c r="L2156" s="104"/>
      <c r="R2156" s="105"/>
      <c r="S2156" s="105"/>
      <c r="T2156" s="105"/>
      <c r="U2156" s="105"/>
      <c r="V2156" s="105"/>
      <c r="W2156" s="105"/>
      <c r="AD2156" s="106"/>
      <c r="AE2156" s="97"/>
      <c r="AF2156" s="97"/>
      <c r="AG2156" s="97"/>
      <c r="AH2156" s="97"/>
      <c r="AI2156" s="97"/>
      <c r="AJ2156" s="97"/>
      <c r="AK2156" s="97"/>
      <c r="AL2156" s="97"/>
      <c r="AM2156" s="97"/>
      <c r="AN2156" s="97"/>
      <c r="AO2156" s="97"/>
      <c r="AP2156" s="97"/>
      <c r="AQ2156" s="97"/>
    </row>
    <row r="2157" spans="2:43" s="101" customFormat="1" ht="15" customHeight="1">
      <c r="B2157" s="104"/>
      <c r="C2157" s="104"/>
      <c r="D2157" s="104"/>
      <c r="E2157" s="104"/>
      <c r="F2157" s="104"/>
      <c r="G2157" s="104"/>
      <c r="H2157" s="104"/>
      <c r="I2157" s="104"/>
      <c r="J2157" s="104"/>
      <c r="K2157" s="104"/>
      <c r="L2157" s="104"/>
      <c r="R2157" s="105"/>
      <c r="S2157" s="105"/>
      <c r="T2157" s="105"/>
      <c r="U2157" s="105"/>
      <c r="V2157" s="105"/>
      <c r="W2157" s="105"/>
      <c r="AD2157" s="106"/>
      <c r="AE2157" s="97"/>
      <c r="AF2157" s="97"/>
      <c r="AG2157" s="97"/>
      <c r="AH2157" s="97"/>
      <c r="AI2157" s="97"/>
      <c r="AJ2157" s="97"/>
      <c r="AK2157" s="97"/>
      <c r="AL2157" s="97"/>
      <c r="AM2157" s="97"/>
      <c r="AN2157" s="97"/>
      <c r="AO2157" s="97"/>
      <c r="AP2157" s="97"/>
      <c r="AQ2157" s="97"/>
    </row>
    <row r="2158" spans="2:43" s="101" customFormat="1" ht="15" customHeight="1">
      <c r="B2158" s="104"/>
      <c r="C2158" s="104"/>
      <c r="D2158" s="104"/>
      <c r="E2158" s="104"/>
      <c r="F2158" s="104"/>
      <c r="G2158" s="104"/>
      <c r="H2158" s="104"/>
      <c r="I2158" s="104"/>
      <c r="J2158" s="104"/>
      <c r="K2158" s="104"/>
      <c r="L2158" s="104"/>
      <c r="R2158" s="105"/>
      <c r="S2158" s="105"/>
      <c r="T2158" s="105"/>
      <c r="U2158" s="105"/>
      <c r="V2158" s="105"/>
      <c r="W2158" s="105"/>
      <c r="AD2158" s="106"/>
      <c r="AE2158" s="97"/>
      <c r="AF2158" s="97"/>
      <c r="AG2158" s="97"/>
      <c r="AH2158" s="97"/>
      <c r="AI2158" s="97"/>
      <c r="AJ2158" s="97"/>
      <c r="AK2158" s="97"/>
      <c r="AL2158" s="97"/>
      <c r="AM2158" s="97"/>
      <c r="AN2158" s="97"/>
      <c r="AO2158" s="97"/>
      <c r="AP2158" s="97"/>
      <c r="AQ2158" s="97"/>
    </row>
    <row r="2159" spans="2:43" s="101" customFormat="1" ht="15" customHeight="1">
      <c r="B2159" s="104"/>
      <c r="C2159" s="104"/>
      <c r="D2159" s="104"/>
      <c r="E2159" s="104"/>
      <c r="F2159" s="104"/>
      <c r="G2159" s="104"/>
      <c r="H2159" s="104"/>
      <c r="I2159" s="104"/>
      <c r="J2159" s="104"/>
      <c r="K2159" s="104"/>
      <c r="L2159" s="104"/>
      <c r="R2159" s="105"/>
      <c r="S2159" s="105"/>
      <c r="T2159" s="105"/>
      <c r="U2159" s="105"/>
      <c r="V2159" s="105"/>
      <c r="W2159" s="105"/>
      <c r="AD2159" s="106"/>
      <c r="AE2159" s="97"/>
      <c r="AF2159" s="97"/>
      <c r="AG2159" s="97"/>
      <c r="AH2159" s="97"/>
      <c r="AI2159" s="97"/>
      <c r="AJ2159" s="97"/>
      <c r="AK2159" s="97"/>
      <c r="AL2159" s="97"/>
      <c r="AM2159" s="97"/>
      <c r="AN2159" s="97"/>
      <c r="AO2159" s="97"/>
      <c r="AP2159" s="97"/>
      <c r="AQ2159" s="97"/>
    </row>
    <row r="2160" spans="2:43" s="101" customFormat="1" ht="15" customHeight="1">
      <c r="B2160" s="104"/>
      <c r="C2160" s="104"/>
      <c r="D2160" s="104"/>
      <c r="E2160" s="104"/>
      <c r="F2160" s="104"/>
      <c r="G2160" s="104"/>
      <c r="H2160" s="104"/>
      <c r="I2160" s="104"/>
      <c r="J2160" s="104"/>
      <c r="K2160" s="104"/>
      <c r="L2160" s="104"/>
      <c r="R2160" s="105"/>
      <c r="S2160" s="105"/>
      <c r="T2160" s="105"/>
      <c r="U2160" s="105"/>
      <c r="V2160" s="105"/>
      <c r="W2160" s="105"/>
      <c r="AD2160" s="106"/>
      <c r="AE2160" s="97"/>
      <c r="AF2160" s="97"/>
      <c r="AG2160" s="97"/>
      <c r="AH2160" s="97"/>
      <c r="AI2160" s="97"/>
      <c r="AJ2160" s="97"/>
      <c r="AK2160" s="97"/>
      <c r="AL2160" s="97"/>
      <c r="AM2160" s="97"/>
      <c r="AN2160" s="97"/>
      <c r="AO2160" s="97"/>
      <c r="AP2160" s="97"/>
      <c r="AQ2160" s="97"/>
    </row>
    <row r="2161" spans="2:43" s="101" customFormat="1" ht="15" customHeight="1">
      <c r="B2161" s="104"/>
      <c r="C2161" s="104"/>
      <c r="D2161" s="104"/>
      <c r="E2161" s="104"/>
      <c r="F2161" s="104"/>
      <c r="G2161" s="104"/>
      <c r="H2161" s="104"/>
      <c r="I2161" s="104"/>
      <c r="J2161" s="104"/>
      <c r="K2161" s="104"/>
      <c r="L2161" s="104"/>
      <c r="R2161" s="105"/>
      <c r="S2161" s="105"/>
      <c r="T2161" s="105"/>
      <c r="U2161" s="105"/>
      <c r="V2161" s="105"/>
      <c r="W2161" s="105"/>
      <c r="AD2161" s="106"/>
      <c r="AE2161" s="97"/>
      <c r="AF2161" s="97"/>
      <c r="AG2161" s="97"/>
      <c r="AH2161" s="97"/>
      <c r="AI2161" s="97"/>
      <c r="AJ2161" s="97"/>
      <c r="AK2161" s="97"/>
      <c r="AL2161" s="97"/>
      <c r="AM2161" s="97"/>
      <c r="AN2161" s="97"/>
      <c r="AO2161" s="97"/>
      <c r="AP2161" s="97"/>
      <c r="AQ2161" s="97"/>
    </row>
    <row r="2162" spans="2:43" s="101" customFormat="1" ht="15" customHeight="1">
      <c r="B2162" s="104"/>
      <c r="C2162" s="104"/>
      <c r="D2162" s="104"/>
      <c r="E2162" s="104"/>
      <c r="F2162" s="104"/>
      <c r="G2162" s="104"/>
      <c r="H2162" s="104"/>
      <c r="I2162" s="104"/>
      <c r="J2162" s="104"/>
      <c r="K2162" s="104"/>
      <c r="L2162" s="104"/>
      <c r="R2162" s="105"/>
      <c r="S2162" s="105"/>
      <c r="T2162" s="105"/>
      <c r="U2162" s="105"/>
      <c r="V2162" s="105"/>
      <c r="W2162" s="105"/>
      <c r="AD2162" s="106"/>
      <c r="AE2162" s="97"/>
      <c r="AF2162" s="97"/>
      <c r="AG2162" s="97"/>
      <c r="AH2162" s="97"/>
      <c r="AI2162" s="97"/>
      <c r="AJ2162" s="97"/>
      <c r="AK2162" s="97"/>
      <c r="AL2162" s="97"/>
      <c r="AM2162" s="97"/>
      <c r="AN2162" s="97"/>
      <c r="AO2162" s="97"/>
      <c r="AP2162" s="97"/>
      <c r="AQ2162" s="97"/>
    </row>
    <row r="2163" spans="2:43" s="101" customFormat="1" ht="15" customHeight="1">
      <c r="B2163" s="104"/>
      <c r="C2163" s="104"/>
      <c r="D2163" s="104"/>
      <c r="E2163" s="104"/>
      <c r="F2163" s="104"/>
      <c r="G2163" s="104"/>
      <c r="H2163" s="104"/>
      <c r="I2163" s="104"/>
      <c r="J2163" s="104"/>
      <c r="K2163" s="104"/>
      <c r="L2163" s="104"/>
      <c r="R2163" s="105"/>
      <c r="S2163" s="105"/>
      <c r="T2163" s="105"/>
      <c r="U2163" s="105"/>
      <c r="V2163" s="105"/>
      <c r="W2163" s="105"/>
      <c r="AD2163" s="106"/>
      <c r="AE2163" s="97"/>
      <c r="AF2163" s="97"/>
      <c r="AG2163" s="97"/>
      <c r="AH2163" s="97"/>
      <c r="AI2163" s="97"/>
      <c r="AJ2163" s="97"/>
      <c r="AK2163" s="97"/>
      <c r="AL2163" s="97"/>
      <c r="AM2163" s="97"/>
      <c r="AN2163" s="97"/>
      <c r="AO2163" s="97"/>
      <c r="AP2163" s="97"/>
      <c r="AQ2163" s="97"/>
    </row>
    <row r="2164" spans="2:43" s="101" customFormat="1" ht="15" customHeight="1">
      <c r="B2164" s="104"/>
      <c r="C2164" s="104"/>
      <c r="D2164" s="104"/>
      <c r="E2164" s="104"/>
      <c r="F2164" s="104"/>
      <c r="G2164" s="104"/>
      <c r="H2164" s="104"/>
      <c r="I2164" s="104"/>
      <c r="J2164" s="104"/>
      <c r="K2164" s="104"/>
      <c r="L2164" s="104"/>
      <c r="R2164" s="105"/>
      <c r="S2164" s="105"/>
      <c r="T2164" s="105"/>
      <c r="U2164" s="105"/>
      <c r="V2164" s="105"/>
      <c r="W2164" s="105"/>
      <c r="AD2164" s="106"/>
      <c r="AE2164" s="97"/>
      <c r="AF2164" s="97"/>
      <c r="AG2164" s="97"/>
      <c r="AH2164" s="97"/>
      <c r="AI2164" s="97"/>
      <c r="AJ2164" s="97"/>
      <c r="AK2164" s="97"/>
      <c r="AL2164" s="97"/>
      <c r="AM2164" s="97"/>
      <c r="AN2164" s="97"/>
      <c r="AO2164" s="97"/>
      <c r="AP2164" s="97"/>
      <c r="AQ2164" s="97"/>
    </row>
    <row r="2165" spans="2:43" s="101" customFormat="1" ht="15" customHeight="1">
      <c r="B2165" s="104"/>
      <c r="C2165" s="104"/>
      <c r="D2165" s="104"/>
      <c r="E2165" s="104"/>
      <c r="F2165" s="104"/>
      <c r="G2165" s="104"/>
      <c r="H2165" s="104"/>
      <c r="I2165" s="104"/>
      <c r="J2165" s="104"/>
      <c r="K2165" s="104"/>
      <c r="L2165" s="104"/>
      <c r="R2165" s="105"/>
      <c r="S2165" s="105"/>
      <c r="T2165" s="105"/>
      <c r="U2165" s="105"/>
      <c r="V2165" s="105"/>
      <c r="W2165" s="105"/>
      <c r="AD2165" s="106"/>
      <c r="AE2165" s="97"/>
      <c r="AF2165" s="97"/>
      <c r="AG2165" s="97"/>
      <c r="AH2165" s="97"/>
      <c r="AI2165" s="97"/>
      <c r="AJ2165" s="97"/>
      <c r="AK2165" s="97"/>
      <c r="AL2165" s="97"/>
      <c r="AM2165" s="97"/>
      <c r="AN2165" s="97"/>
      <c r="AO2165" s="97"/>
      <c r="AP2165" s="97"/>
      <c r="AQ2165" s="97"/>
    </row>
    <row r="2166" spans="2:43" s="101" customFormat="1" ht="15" customHeight="1">
      <c r="B2166" s="104"/>
      <c r="C2166" s="104"/>
      <c r="D2166" s="104"/>
      <c r="E2166" s="104"/>
      <c r="F2166" s="104"/>
      <c r="G2166" s="104"/>
      <c r="H2166" s="104"/>
      <c r="I2166" s="104"/>
      <c r="J2166" s="104"/>
      <c r="K2166" s="104"/>
      <c r="L2166" s="104"/>
      <c r="R2166" s="105"/>
      <c r="S2166" s="105"/>
      <c r="T2166" s="105"/>
      <c r="U2166" s="105"/>
      <c r="V2166" s="105"/>
      <c r="W2166" s="105"/>
      <c r="AD2166" s="106"/>
      <c r="AE2166" s="97"/>
      <c r="AF2166" s="97"/>
      <c r="AG2166" s="97"/>
      <c r="AH2166" s="97"/>
      <c r="AI2166" s="97"/>
      <c r="AJ2166" s="97"/>
      <c r="AK2166" s="97"/>
      <c r="AL2166" s="97"/>
      <c r="AM2166" s="97"/>
      <c r="AN2166" s="97"/>
      <c r="AO2166" s="97"/>
      <c r="AP2166" s="97"/>
      <c r="AQ2166" s="97"/>
    </row>
    <row r="2167" spans="2:43" s="101" customFormat="1" ht="15" customHeight="1">
      <c r="B2167" s="104"/>
      <c r="C2167" s="104"/>
      <c r="D2167" s="104"/>
      <c r="E2167" s="104"/>
      <c r="F2167" s="104"/>
      <c r="G2167" s="104"/>
      <c r="H2167" s="104"/>
      <c r="I2167" s="104"/>
      <c r="J2167" s="104"/>
      <c r="K2167" s="104"/>
      <c r="L2167" s="104"/>
      <c r="R2167" s="105"/>
      <c r="S2167" s="105"/>
      <c r="T2167" s="105"/>
      <c r="U2167" s="105"/>
      <c r="V2167" s="105"/>
      <c r="W2167" s="105"/>
      <c r="AD2167" s="106"/>
      <c r="AE2167" s="97"/>
      <c r="AF2167" s="97"/>
      <c r="AG2167" s="97"/>
      <c r="AH2167" s="97"/>
      <c r="AI2167" s="97"/>
      <c r="AJ2167" s="97"/>
      <c r="AK2167" s="97"/>
      <c r="AL2167" s="97"/>
      <c r="AM2167" s="97"/>
      <c r="AN2167" s="97"/>
      <c r="AO2167" s="97"/>
      <c r="AP2167" s="97"/>
      <c r="AQ2167" s="97"/>
    </row>
    <row r="2168" spans="2:43" s="101" customFormat="1" ht="15" customHeight="1">
      <c r="B2168" s="104"/>
      <c r="C2168" s="104"/>
      <c r="D2168" s="104"/>
      <c r="E2168" s="104"/>
      <c r="F2168" s="104"/>
      <c r="G2168" s="104"/>
      <c r="H2168" s="104"/>
      <c r="I2168" s="104"/>
      <c r="J2168" s="104"/>
      <c r="K2168" s="104"/>
      <c r="L2168" s="104"/>
      <c r="R2168" s="105"/>
      <c r="S2168" s="105"/>
      <c r="T2168" s="105"/>
      <c r="U2168" s="105"/>
      <c r="V2168" s="105"/>
      <c r="W2168" s="105"/>
      <c r="AD2168" s="106"/>
      <c r="AE2168" s="97"/>
      <c r="AF2168" s="97"/>
      <c r="AG2168" s="97"/>
      <c r="AH2168" s="97"/>
      <c r="AI2168" s="97"/>
      <c r="AJ2168" s="97"/>
      <c r="AK2168" s="97"/>
      <c r="AL2168" s="97"/>
      <c r="AM2168" s="97"/>
      <c r="AN2168" s="97"/>
      <c r="AO2168" s="97"/>
      <c r="AP2168" s="97"/>
      <c r="AQ2168" s="97"/>
    </row>
    <row r="2169" spans="2:43" s="101" customFormat="1" ht="15" customHeight="1">
      <c r="B2169" s="104"/>
      <c r="C2169" s="104"/>
      <c r="D2169" s="104"/>
      <c r="E2169" s="104"/>
      <c r="F2169" s="104"/>
      <c r="G2169" s="104"/>
      <c r="H2169" s="104"/>
      <c r="I2169" s="104"/>
      <c r="J2169" s="104"/>
      <c r="K2169" s="104"/>
      <c r="L2169" s="104"/>
      <c r="R2169" s="105"/>
      <c r="S2169" s="105"/>
      <c r="T2169" s="105"/>
      <c r="U2169" s="105"/>
      <c r="V2169" s="105"/>
      <c r="W2169" s="105"/>
      <c r="AD2169" s="106"/>
      <c r="AE2169" s="97"/>
      <c r="AF2169" s="97"/>
      <c r="AG2169" s="97"/>
      <c r="AH2169" s="97"/>
      <c r="AI2169" s="97"/>
      <c r="AJ2169" s="97"/>
      <c r="AK2169" s="97"/>
      <c r="AL2169" s="97"/>
      <c r="AM2169" s="97"/>
      <c r="AN2169" s="97"/>
      <c r="AO2169" s="97"/>
      <c r="AP2169" s="97"/>
      <c r="AQ2169" s="97"/>
    </row>
    <row r="2170" spans="2:43" s="101" customFormat="1" ht="15" customHeight="1">
      <c r="B2170" s="104"/>
      <c r="C2170" s="104"/>
      <c r="D2170" s="104"/>
      <c r="E2170" s="104"/>
      <c r="F2170" s="104"/>
      <c r="G2170" s="104"/>
      <c r="H2170" s="104"/>
      <c r="I2170" s="104"/>
      <c r="J2170" s="104"/>
      <c r="K2170" s="104"/>
      <c r="L2170" s="104"/>
      <c r="R2170" s="105"/>
      <c r="S2170" s="105"/>
      <c r="T2170" s="105"/>
      <c r="U2170" s="105"/>
      <c r="V2170" s="105"/>
      <c r="W2170" s="105"/>
      <c r="AD2170" s="106"/>
      <c r="AE2170" s="97"/>
      <c r="AF2170" s="97"/>
      <c r="AG2170" s="97"/>
      <c r="AH2170" s="97"/>
      <c r="AI2170" s="97"/>
      <c r="AJ2170" s="97"/>
      <c r="AK2170" s="97"/>
      <c r="AL2170" s="97"/>
      <c r="AM2170" s="97"/>
      <c r="AN2170" s="97"/>
      <c r="AO2170" s="97"/>
      <c r="AP2170" s="97"/>
      <c r="AQ2170" s="97"/>
    </row>
    <row r="2171" spans="2:43" s="101" customFormat="1" ht="15" customHeight="1">
      <c r="B2171" s="104"/>
      <c r="C2171" s="104"/>
      <c r="D2171" s="104"/>
      <c r="E2171" s="104"/>
      <c r="F2171" s="104"/>
      <c r="G2171" s="104"/>
      <c r="H2171" s="104"/>
      <c r="I2171" s="104"/>
      <c r="J2171" s="104"/>
      <c r="K2171" s="104"/>
      <c r="L2171" s="104"/>
      <c r="R2171" s="105"/>
      <c r="S2171" s="105"/>
      <c r="T2171" s="105"/>
      <c r="U2171" s="105"/>
      <c r="V2171" s="105"/>
      <c r="W2171" s="105"/>
      <c r="AD2171" s="106"/>
      <c r="AE2171" s="97"/>
      <c r="AF2171" s="97"/>
      <c r="AG2171" s="97"/>
      <c r="AH2171" s="97"/>
      <c r="AI2171" s="97"/>
      <c r="AJ2171" s="97"/>
      <c r="AK2171" s="97"/>
      <c r="AL2171" s="97"/>
      <c r="AM2171" s="97"/>
      <c r="AN2171" s="97"/>
      <c r="AO2171" s="97"/>
      <c r="AP2171" s="97"/>
      <c r="AQ2171" s="97"/>
    </row>
    <row r="2172" spans="2:43" s="101" customFormat="1" ht="15" customHeight="1">
      <c r="B2172" s="104"/>
      <c r="C2172" s="104"/>
      <c r="D2172" s="104"/>
      <c r="E2172" s="104"/>
      <c r="F2172" s="104"/>
      <c r="G2172" s="104"/>
      <c r="H2172" s="104"/>
      <c r="I2172" s="104"/>
      <c r="J2172" s="104"/>
      <c r="K2172" s="104"/>
      <c r="L2172" s="104"/>
      <c r="R2172" s="105"/>
      <c r="S2172" s="105"/>
      <c r="T2172" s="105"/>
      <c r="U2172" s="105"/>
      <c r="V2172" s="105"/>
      <c r="W2172" s="105"/>
      <c r="AD2172" s="106"/>
      <c r="AE2172" s="97"/>
      <c r="AF2172" s="97"/>
      <c r="AG2172" s="97"/>
      <c r="AH2172" s="97"/>
      <c r="AI2172" s="97"/>
      <c r="AJ2172" s="97"/>
      <c r="AK2172" s="97"/>
      <c r="AL2172" s="97"/>
      <c r="AM2172" s="97"/>
      <c r="AN2172" s="97"/>
      <c r="AO2172" s="97"/>
      <c r="AP2172" s="97"/>
      <c r="AQ2172" s="97"/>
    </row>
    <row r="2173" spans="2:43" s="101" customFormat="1" ht="15" customHeight="1">
      <c r="B2173" s="104"/>
      <c r="C2173" s="104"/>
      <c r="D2173" s="104"/>
      <c r="E2173" s="104"/>
      <c r="F2173" s="104"/>
      <c r="G2173" s="104"/>
      <c r="H2173" s="104"/>
      <c r="I2173" s="104"/>
      <c r="J2173" s="104"/>
      <c r="K2173" s="104"/>
      <c r="L2173" s="104"/>
      <c r="R2173" s="105"/>
      <c r="S2173" s="105"/>
      <c r="T2173" s="105"/>
      <c r="U2173" s="105"/>
      <c r="V2173" s="105"/>
      <c r="W2173" s="105"/>
      <c r="AD2173" s="106"/>
      <c r="AE2173" s="97"/>
      <c r="AF2173" s="97"/>
      <c r="AG2173" s="97"/>
      <c r="AH2173" s="97"/>
      <c r="AI2173" s="97"/>
      <c r="AJ2173" s="97"/>
      <c r="AK2173" s="97"/>
      <c r="AL2173" s="97"/>
      <c r="AM2173" s="97"/>
      <c r="AN2173" s="97"/>
      <c r="AO2173" s="97"/>
      <c r="AP2173" s="97"/>
      <c r="AQ2173" s="97"/>
    </row>
    <row r="2174" spans="2:43" s="101" customFormat="1" ht="15" customHeight="1">
      <c r="B2174" s="104"/>
      <c r="C2174" s="104"/>
      <c r="D2174" s="104"/>
      <c r="E2174" s="104"/>
      <c r="F2174" s="104"/>
      <c r="G2174" s="104"/>
      <c r="H2174" s="104"/>
      <c r="I2174" s="104"/>
      <c r="J2174" s="104"/>
      <c r="K2174" s="104"/>
      <c r="L2174" s="104"/>
      <c r="R2174" s="105"/>
      <c r="S2174" s="105"/>
      <c r="T2174" s="105"/>
      <c r="U2174" s="105"/>
      <c r="V2174" s="105"/>
      <c r="W2174" s="105"/>
      <c r="AD2174" s="106"/>
      <c r="AE2174" s="97"/>
      <c r="AF2174" s="97"/>
      <c r="AG2174" s="97"/>
      <c r="AH2174" s="97"/>
      <c r="AI2174" s="97"/>
      <c r="AJ2174" s="97"/>
      <c r="AK2174" s="97"/>
      <c r="AL2174" s="97"/>
      <c r="AM2174" s="97"/>
      <c r="AN2174" s="97"/>
      <c r="AO2174" s="97"/>
      <c r="AP2174" s="97"/>
      <c r="AQ2174" s="97"/>
    </row>
    <row r="2175" spans="2:43" s="101" customFormat="1" ht="15" customHeight="1">
      <c r="B2175" s="104"/>
      <c r="C2175" s="104"/>
      <c r="D2175" s="104"/>
      <c r="E2175" s="104"/>
      <c r="F2175" s="104"/>
      <c r="G2175" s="104"/>
      <c r="H2175" s="104"/>
      <c r="I2175" s="104"/>
      <c r="J2175" s="104"/>
      <c r="K2175" s="104"/>
      <c r="L2175" s="104"/>
      <c r="R2175" s="105"/>
      <c r="S2175" s="105"/>
      <c r="T2175" s="105"/>
      <c r="U2175" s="105"/>
      <c r="V2175" s="105"/>
      <c r="W2175" s="105"/>
      <c r="AD2175" s="106"/>
      <c r="AE2175" s="97"/>
      <c r="AF2175" s="97"/>
      <c r="AG2175" s="97"/>
      <c r="AH2175" s="97"/>
      <c r="AI2175" s="97"/>
      <c r="AJ2175" s="97"/>
      <c r="AK2175" s="97"/>
      <c r="AL2175" s="97"/>
      <c r="AM2175" s="97"/>
      <c r="AN2175" s="97"/>
      <c r="AO2175" s="97"/>
      <c r="AP2175" s="97"/>
      <c r="AQ2175" s="97"/>
    </row>
    <row r="2176" spans="2:43" s="101" customFormat="1" ht="15" customHeight="1">
      <c r="B2176" s="104"/>
      <c r="C2176" s="104"/>
      <c r="D2176" s="104"/>
      <c r="E2176" s="104"/>
      <c r="F2176" s="104"/>
      <c r="G2176" s="104"/>
      <c r="H2176" s="104"/>
      <c r="I2176" s="104"/>
      <c r="J2176" s="104"/>
      <c r="K2176" s="104"/>
      <c r="L2176" s="104"/>
      <c r="R2176" s="105"/>
      <c r="S2176" s="105"/>
      <c r="T2176" s="105"/>
      <c r="U2176" s="105"/>
      <c r="V2176" s="105"/>
      <c r="W2176" s="105"/>
      <c r="AD2176" s="106"/>
      <c r="AE2176" s="97"/>
      <c r="AF2176" s="97"/>
      <c r="AG2176" s="97"/>
      <c r="AH2176" s="97"/>
      <c r="AI2176" s="97"/>
      <c r="AJ2176" s="97"/>
      <c r="AK2176" s="97"/>
      <c r="AL2176" s="97"/>
      <c r="AM2176" s="97"/>
      <c r="AN2176" s="97"/>
      <c r="AO2176" s="97"/>
      <c r="AP2176" s="97"/>
      <c r="AQ2176" s="97"/>
    </row>
    <row r="2177" spans="2:43" s="101" customFormat="1" ht="15" customHeight="1">
      <c r="B2177" s="104"/>
      <c r="C2177" s="104"/>
      <c r="D2177" s="104"/>
      <c r="E2177" s="104"/>
      <c r="F2177" s="104"/>
      <c r="G2177" s="104"/>
      <c r="H2177" s="104"/>
      <c r="I2177" s="104"/>
      <c r="J2177" s="104"/>
      <c r="K2177" s="104"/>
      <c r="L2177" s="104"/>
      <c r="R2177" s="105"/>
      <c r="S2177" s="105"/>
      <c r="T2177" s="105"/>
      <c r="U2177" s="105"/>
      <c r="V2177" s="105"/>
      <c r="W2177" s="105"/>
      <c r="AD2177" s="106"/>
      <c r="AE2177" s="97"/>
      <c r="AF2177" s="97"/>
      <c r="AG2177" s="97"/>
      <c r="AH2177" s="97"/>
      <c r="AI2177" s="97"/>
      <c r="AJ2177" s="97"/>
      <c r="AK2177" s="97"/>
      <c r="AL2177" s="97"/>
      <c r="AM2177" s="97"/>
      <c r="AN2177" s="97"/>
      <c r="AO2177" s="97"/>
      <c r="AP2177" s="97"/>
      <c r="AQ2177" s="97"/>
    </row>
    <row r="2178" spans="2:43" s="101" customFormat="1" ht="15" customHeight="1">
      <c r="B2178" s="104"/>
      <c r="C2178" s="104"/>
      <c r="D2178" s="104"/>
      <c r="E2178" s="104"/>
      <c r="F2178" s="104"/>
      <c r="G2178" s="104"/>
      <c r="H2178" s="104"/>
      <c r="I2178" s="104"/>
      <c r="J2178" s="104"/>
      <c r="K2178" s="104"/>
      <c r="L2178" s="104"/>
      <c r="R2178" s="105"/>
      <c r="S2178" s="105"/>
      <c r="T2178" s="105"/>
      <c r="U2178" s="105"/>
      <c r="V2178" s="105"/>
      <c r="W2178" s="105"/>
      <c r="AD2178" s="106"/>
      <c r="AE2178" s="97"/>
      <c r="AF2178" s="97"/>
      <c r="AG2178" s="97"/>
      <c r="AH2178" s="97"/>
      <c r="AI2178" s="97"/>
      <c r="AJ2178" s="97"/>
      <c r="AK2178" s="97"/>
      <c r="AL2178" s="97"/>
      <c r="AM2178" s="97"/>
      <c r="AN2178" s="97"/>
      <c r="AO2178" s="97"/>
      <c r="AP2178" s="97"/>
      <c r="AQ2178" s="97"/>
    </row>
    <row r="2179" spans="2:43" s="101" customFormat="1" ht="15" customHeight="1">
      <c r="B2179" s="104"/>
      <c r="C2179" s="104"/>
      <c r="D2179" s="104"/>
      <c r="E2179" s="104"/>
      <c r="F2179" s="104"/>
      <c r="G2179" s="104"/>
      <c r="H2179" s="104"/>
      <c r="I2179" s="104"/>
      <c r="J2179" s="104"/>
      <c r="K2179" s="104"/>
      <c r="L2179" s="104"/>
      <c r="R2179" s="105"/>
      <c r="S2179" s="105"/>
      <c r="T2179" s="105"/>
      <c r="U2179" s="105"/>
      <c r="V2179" s="105"/>
      <c r="W2179" s="105"/>
      <c r="AD2179" s="106"/>
      <c r="AE2179" s="97"/>
      <c r="AF2179" s="97"/>
      <c r="AG2179" s="97"/>
      <c r="AH2179" s="97"/>
      <c r="AI2179" s="97"/>
      <c r="AJ2179" s="97"/>
      <c r="AK2179" s="97"/>
      <c r="AL2179" s="97"/>
      <c r="AM2179" s="97"/>
      <c r="AN2179" s="97"/>
      <c r="AO2179" s="97"/>
      <c r="AP2179" s="97"/>
      <c r="AQ2179" s="97"/>
    </row>
    <row r="2180" spans="2:43" s="101" customFormat="1" ht="15" customHeight="1">
      <c r="B2180" s="104"/>
      <c r="C2180" s="104"/>
      <c r="D2180" s="104"/>
      <c r="E2180" s="104"/>
      <c r="F2180" s="104"/>
      <c r="G2180" s="104"/>
      <c r="H2180" s="104"/>
      <c r="I2180" s="104"/>
      <c r="J2180" s="104"/>
      <c r="K2180" s="104"/>
      <c r="L2180" s="104"/>
      <c r="R2180" s="105"/>
      <c r="S2180" s="105"/>
      <c r="T2180" s="105"/>
      <c r="U2180" s="105"/>
      <c r="V2180" s="105"/>
      <c r="W2180" s="105"/>
      <c r="AD2180" s="106"/>
      <c r="AE2180" s="97"/>
      <c r="AF2180" s="97"/>
      <c r="AG2180" s="97"/>
      <c r="AH2180" s="97"/>
      <c r="AI2180" s="97"/>
      <c r="AJ2180" s="97"/>
      <c r="AK2180" s="97"/>
      <c r="AL2180" s="97"/>
      <c r="AM2180" s="97"/>
      <c r="AN2180" s="97"/>
      <c r="AO2180" s="97"/>
      <c r="AP2180" s="97"/>
      <c r="AQ2180" s="97"/>
    </row>
    <row r="2181" spans="2:43" s="101" customFormat="1" ht="15" customHeight="1">
      <c r="B2181" s="104"/>
      <c r="C2181" s="104"/>
      <c r="D2181" s="104"/>
      <c r="E2181" s="104"/>
      <c r="F2181" s="104"/>
      <c r="G2181" s="104"/>
      <c r="H2181" s="104"/>
      <c r="I2181" s="104"/>
      <c r="J2181" s="104"/>
      <c r="K2181" s="104"/>
      <c r="L2181" s="104"/>
      <c r="R2181" s="105"/>
      <c r="S2181" s="105"/>
      <c r="T2181" s="105"/>
      <c r="U2181" s="105"/>
      <c r="V2181" s="105"/>
      <c r="W2181" s="105"/>
      <c r="AD2181" s="106"/>
      <c r="AE2181" s="97"/>
      <c r="AF2181" s="97"/>
      <c r="AG2181" s="97"/>
      <c r="AH2181" s="97"/>
      <c r="AI2181" s="97"/>
      <c r="AJ2181" s="97"/>
      <c r="AK2181" s="97"/>
      <c r="AL2181" s="97"/>
      <c r="AM2181" s="97"/>
      <c r="AN2181" s="97"/>
      <c r="AO2181" s="97"/>
      <c r="AP2181" s="97"/>
      <c r="AQ2181" s="97"/>
    </row>
    <row r="2182" spans="2:43" s="101" customFormat="1" ht="15" customHeight="1">
      <c r="B2182" s="104"/>
      <c r="C2182" s="104"/>
      <c r="D2182" s="104"/>
      <c r="E2182" s="104"/>
      <c r="F2182" s="104"/>
      <c r="G2182" s="104"/>
      <c r="H2182" s="104"/>
      <c r="I2182" s="104"/>
      <c r="J2182" s="104"/>
      <c r="K2182" s="104"/>
      <c r="L2182" s="104"/>
      <c r="R2182" s="105"/>
      <c r="S2182" s="105"/>
      <c r="T2182" s="105"/>
      <c r="U2182" s="105"/>
      <c r="V2182" s="105"/>
      <c r="W2182" s="105"/>
      <c r="AD2182" s="106"/>
      <c r="AE2182" s="97"/>
      <c r="AF2182" s="97"/>
      <c r="AG2182" s="97"/>
      <c r="AH2182" s="97"/>
      <c r="AI2182" s="97"/>
      <c r="AJ2182" s="97"/>
      <c r="AK2182" s="97"/>
      <c r="AL2182" s="97"/>
      <c r="AM2182" s="97"/>
      <c r="AN2182" s="97"/>
      <c r="AO2182" s="97"/>
      <c r="AP2182" s="97"/>
      <c r="AQ2182" s="97"/>
    </row>
    <row r="2183" spans="2:43" s="101" customFormat="1" ht="15" customHeight="1">
      <c r="B2183" s="104"/>
      <c r="C2183" s="104"/>
      <c r="D2183" s="104"/>
      <c r="E2183" s="104"/>
      <c r="F2183" s="104"/>
      <c r="G2183" s="104"/>
      <c r="H2183" s="104"/>
      <c r="I2183" s="104"/>
      <c r="J2183" s="104"/>
      <c r="K2183" s="104"/>
      <c r="L2183" s="104"/>
      <c r="R2183" s="105"/>
      <c r="S2183" s="105"/>
      <c r="T2183" s="105"/>
      <c r="U2183" s="105"/>
      <c r="V2183" s="105"/>
      <c r="W2183" s="105"/>
      <c r="AD2183" s="106"/>
      <c r="AE2183" s="97"/>
      <c r="AF2183" s="97"/>
      <c r="AG2183" s="97"/>
      <c r="AH2183" s="97"/>
      <c r="AI2183" s="97"/>
      <c r="AJ2183" s="97"/>
      <c r="AK2183" s="97"/>
      <c r="AL2183" s="97"/>
      <c r="AM2183" s="97"/>
      <c r="AN2183" s="97"/>
      <c r="AO2183" s="97"/>
      <c r="AP2183" s="97"/>
      <c r="AQ2183" s="97"/>
    </row>
    <row r="2184" spans="2:43" s="101" customFormat="1" ht="15" customHeight="1">
      <c r="B2184" s="104"/>
      <c r="C2184" s="104"/>
      <c r="D2184" s="104"/>
      <c r="E2184" s="104"/>
      <c r="F2184" s="104"/>
      <c r="G2184" s="104"/>
      <c r="H2184" s="104"/>
      <c r="I2184" s="104"/>
      <c r="J2184" s="104"/>
      <c r="K2184" s="104"/>
      <c r="L2184" s="104"/>
      <c r="R2184" s="105"/>
      <c r="S2184" s="105"/>
      <c r="T2184" s="105"/>
      <c r="U2184" s="105"/>
      <c r="V2184" s="105"/>
      <c r="W2184" s="105"/>
      <c r="AD2184" s="106"/>
      <c r="AE2184" s="97"/>
      <c r="AF2184" s="97"/>
      <c r="AG2184" s="97"/>
      <c r="AH2184" s="97"/>
      <c r="AI2184" s="97"/>
      <c r="AJ2184" s="97"/>
      <c r="AK2184" s="97"/>
      <c r="AL2184" s="97"/>
      <c r="AM2184" s="97"/>
      <c r="AN2184" s="97"/>
      <c r="AO2184" s="97"/>
      <c r="AP2184" s="97"/>
      <c r="AQ2184" s="97"/>
    </row>
    <row r="2185" spans="2:43" s="101" customFormat="1" ht="15" customHeight="1">
      <c r="B2185" s="104"/>
      <c r="C2185" s="104"/>
      <c r="D2185" s="104"/>
      <c r="E2185" s="104"/>
      <c r="F2185" s="104"/>
      <c r="G2185" s="104"/>
      <c r="H2185" s="104"/>
      <c r="I2185" s="104"/>
      <c r="J2185" s="104"/>
      <c r="K2185" s="104"/>
      <c r="L2185" s="104"/>
      <c r="R2185" s="105"/>
      <c r="S2185" s="105"/>
      <c r="T2185" s="105"/>
      <c r="U2185" s="105"/>
      <c r="V2185" s="105"/>
      <c r="W2185" s="105"/>
      <c r="AD2185" s="106"/>
      <c r="AE2185" s="97"/>
      <c r="AF2185" s="97"/>
      <c r="AG2185" s="97"/>
      <c r="AH2185" s="97"/>
      <c r="AI2185" s="97"/>
      <c r="AJ2185" s="97"/>
      <c r="AK2185" s="97"/>
      <c r="AL2185" s="97"/>
      <c r="AM2185" s="97"/>
      <c r="AN2185" s="97"/>
      <c r="AO2185" s="97"/>
      <c r="AP2185" s="97"/>
      <c r="AQ2185" s="97"/>
    </row>
    <row r="2186" spans="2:43" s="101" customFormat="1" ht="15" customHeight="1">
      <c r="B2186" s="104"/>
      <c r="C2186" s="104"/>
      <c r="D2186" s="104"/>
      <c r="E2186" s="104"/>
      <c r="F2186" s="104"/>
      <c r="G2186" s="104"/>
      <c r="H2186" s="104"/>
      <c r="I2186" s="104"/>
      <c r="J2186" s="104"/>
      <c r="K2186" s="104"/>
      <c r="L2186" s="104"/>
      <c r="R2186" s="105"/>
      <c r="S2186" s="105"/>
      <c r="T2186" s="105"/>
      <c r="U2186" s="105"/>
      <c r="V2186" s="105"/>
      <c r="W2186" s="105"/>
      <c r="AD2186" s="106"/>
      <c r="AE2186" s="97"/>
      <c r="AF2186" s="97"/>
      <c r="AG2186" s="97"/>
      <c r="AH2186" s="97"/>
      <c r="AI2186" s="97"/>
      <c r="AJ2186" s="97"/>
      <c r="AK2186" s="97"/>
      <c r="AL2186" s="97"/>
      <c r="AM2186" s="97"/>
      <c r="AN2186" s="97"/>
      <c r="AO2186" s="97"/>
      <c r="AP2186" s="97"/>
      <c r="AQ2186" s="97"/>
    </row>
    <row r="2187" spans="2:43" s="101" customFormat="1" ht="15" customHeight="1">
      <c r="B2187" s="104"/>
      <c r="C2187" s="104"/>
      <c r="D2187" s="104"/>
      <c r="E2187" s="104"/>
      <c r="F2187" s="104"/>
      <c r="G2187" s="104"/>
      <c r="H2187" s="104"/>
      <c r="I2187" s="104"/>
      <c r="J2187" s="104"/>
      <c r="K2187" s="104"/>
      <c r="L2187" s="104"/>
      <c r="R2187" s="105"/>
      <c r="S2187" s="105"/>
      <c r="T2187" s="105"/>
      <c r="U2187" s="105"/>
      <c r="V2187" s="105"/>
      <c r="W2187" s="105"/>
      <c r="AD2187" s="106"/>
      <c r="AE2187" s="97"/>
      <c r="AF2187" s="97"/>
      <c r="AG2187" s="97"/>
      <c r="AH2187" s="97"/>
      <c r="AI2187" s="97"/>
      <c r="AJ2187" s="97"/>
      <c r="AK2187" s="97"/>
      <c r="AL2187" s="97"/>
      <c r="AM2187" s="97"/>
      <c r="AN2187" s="97"/>
      <c r="AO2187" s="97"/>
      <c r="AP2187" s="97"/>
      <c r="AQ2187" s="97"/>
    </row>
    <row r="2188" spans="2:43" s="101" customFormat="1" ht="15" customHeight="1">
      <c r="B2188" s="104"/>
      <c r="C2188" s="104"/>
      <c r="D2188" s="104"/>
      <c r="E2188" s="104"/>
      <c r="F2188" s="104"/>
      <c r="G2188" s="104"/>
      <c r="H2188" s="104"/>
      <c r="I2188" s="104"/>
      <c r="J2188" s="104"/>
      <c r="K2188" s="104"/>
      <c r="L2188" s="104"/>
      <c r="R2188" s="105"/>
      <c r="S2188" s="105"/>
      <c r="T2188" s="105"/>
      <c r="U2188" s="105"/>
      <c r="V2188" s="105"/>
      <c r="W2188" s="105"/>
      <c r="AD2188" s="106"/>
      <c r="AE2188" s="97"/>
      <c r="AF2188" s="97"/>
      <c r="AG2188" s="97"/>
      <c r="AH2188" s="97"/>
      <c r="AI2188" s="97"/>
      <c r="AJ2188" s="97"/>
      <c r="AK2188" s="97"/>
      <c r="AL2188" s="97"/>
      <c r="AM2188" s="97"/>
      <c r="AN2188" s="97"/>
      <c r="AO2188" s="97"/>
      <c r="AP2188" s="97"/>
      <c r="AQ2188" s="97"/>
    </row>
    <row r="2189" spans="2:43" s="101" customFormat="1" ht="15" customHeight="1">
      <c r="B2189" s="104"/>
      <c r="C2189" s="104"/>
      <c r="D2189" s="104"/>
      <c r="E2189" s="104"/>
      <c r="F2189" s="104"/>
      <c r="G2189" s="104"/>
      <c r="H2189" s="104"/>
      <c r="I2189" s="104"/>
      <c r="J2189" s="104"/>
      <c r="K2189" s="104"/>
      <c r="L2189" s="104"/>
      <c r="R2189" s="105"/>
      <c r="S2189" s="105"/>
      <c r="T2189" s="105"/>
      <c r="U2189" s="105"/>
      <c r="V2189" s="105"/>
      <c r="W2189" s="105"/>
      <c r="AD2189" s="106"/>
      <c r="AE2189" s="97"/>
      <c r="AF2189" s="97"/>
      <c r="AG2189" s="97"/>
      <c r="AH2189" s="97"/>
      <c r="AI2189" s="97"/>
      <c r="AJ2189" s="97"/>
      <c r="AK2189" s="97"/>
      <c r="AL2189" s="97"/>
      <c r="AM2189" s="97"/>
      <c r="AN2189" s="97"/>
      <c r="AO2189" s="97"/>
      <c r="AP2189" s="97"/>
      <c r="AQ2189" s="97"/>
    </row>
    <row r="2190" spans="2:43" s="101" customFormat="1" ht="15" customHeight="1">
      <c r="B2190" s="104"/>
      <c r="C2190" s="104"/>
      <c r="D2190" s="104"/>
      <c r="E2190" s="104"/>
      <c r="F2190" s="104"/>
      <c r="G2190" s="104"/>
      <c r="H2190" s="104"/>
      <c r="I2190" s="104"/>
      <c r="J2190" s="104"/>
      <c r="K2190" s="104"/>
      <c r="L2190" s="104"/>
      <c r="R2190" s="105"/>
      <c r="S2190" s="105"/>
      <c r="T2190" s="105"/>
      <c r="U2190" s="105"/>
      <c r="V2190" s="105"/>
      <c r="W2190" s="105"/>
      <c r="AD2190" s="106"/>
      <c r="AE2190" s="97"/>
      <c r="AF2190" s="97"/>
      <c r="AG2190" s="97"/>
      <c r="AH2190" s="97"/>
      <c r="AI2190" s="97"/>
      <c r="AJ2190" s="97"/>
      <c r="AK2190" s="97"/>
      <c r="AL2190" s="97"/>
      <c r="AM2190" s="97"/>
      <c r="AN2190" s="97"/>
      <c r="AO2190" s="97"/>
      <c r="AP2190" s="97"/>
      <c r="AQ2190" s="97"/>
    </row>
    <row r="2191" spans="2:43" s="101" customFormat="1" ht="15" customHeight="1">
      <c r="B2191" s="104"/>
      <c r="C2191" s="104"/>
      <c r="D2191" s="104"/>
      <c r="E2191" s="104"/>
      <c r="F2191" s="104"/>
      <c r="G2191" s="104"/>
      <c r="H2191" s="104"/>
      <c r="I2191" s="104"/>
      <c r="J2191" s="104"/>
      <c r="K2191" s="104"/>
      <c r="L2191" s="104"/>
      <c r="R2191" s="105"/>
      <c r="S2191" s="105"/>
      <c r="T2191" s="105"/>
      <c r="U2191" s="105"/>
      <c r="V2191" s="105"/>
      <c r="W2191" s="105"/>
      <c r="AD2191" s="106"/>
      <c r="AE2191" s="97"/>
      <c r="AF2191" s="97"/>
      <c r="AG2191" s="97"/>
      <c r="AH2191" s="97"/>
      <c r="AI2191" s="97"/>
      <c r="AJ2191" s="97"/>
      <c r="AK2191" s="97"/>
      <c r="AL2191" s="97"/>
      <c r="AM2191" s="97"/>
      <c r="AN2191" s="97"/>
      <c r="AO2191" s="97"/>
      <c r="AP2191" s="97"/>
      <c r="AQ2191" s="97"/>
    </row>
    <row r="2192" spans="2:43" s="101" customFormat="1" ht="15" customHeight="1">
      <c r="B2192" s="104"/>
      <c r="C2192" s="104"/>
      <c r="D2192" s="104"/>
      <c r="E2192" s="104"/>
      <c r="F2192" s="104"/>
      <c r="G2192" s="104"/>
      <c r="H2192" s="104"/>
      <c r="I2192" s="104"/>
      <c r="J2192" s="104"/>
      <c r="K2192" s="104"/>
      <c r="L2192" s="104"/>
      <c r="R2192" s="105"/>
      <c r="S2192" s="105"/>
      <c r="T2192" s="105"/>
      <c r="U2192" s="105"/>
      <c r="V2192" s="105"/>
      <c r="W2192" s="105"/>
      <c r="AD2192" s="106"/>
      <c r="AE2192" s="97"/>
      <c r="AF2192" s="97"/>
      <c r="AG2192" s="97"/>
      <c r="AH2192" s="97"/>
      <c r="AI2192" s="97"/>
      <c r="AJ2192" s="97"/>
      <c r="AK2192" s="97"/>
      <c r="AL2192" s="97"/>
      <c r="AM2192" s="97"/>
      <c r="AN2192" s="97"/>
      <c r="AO2192" s="97"/>
      <c r="AP2192" s="97"/>
      <c r="AQ2192" s="97"/>
    </row>
    <row r="2193" spans="2:43" s="101" customFormat="1" ht="15" customHeight="1">
      <c r="B2193" s="104"/>
      <c r="C2193" s="104"/>
      <c r="D2193" s="104"/>
      <c r="E2193" s="104"/>
      <c r="F2193" s="104"/>
      <c r="G2193" s="104"/>
      <c r="H2193" s="104"/>
      <c r="I2193" s="104"/>
      <c r="J2193" s="104"/>
      <c r="K2193" s="104"/>
      <c r="L2193" s="104"/>
      <c r="R2193" s="105"/>
      <c r="S2193" s="105"/>
      <c r="T2193" s="105"/>
      <c r="U2193" s="105"/>
      <c r="V2193" s="105"/>
      <c r="W2193" s="105"/>
      <c r="AD2193" s="106"/>
      <c r="AE2193" s="97"/>
      <c r="AF2193" s="97"/>
      <c r="AG2193" s="97"/>
      <c r="AH2193" s="97"/>
      <c r="AI2193" s="97"/>
      <c r="AJ2193" s="97"/>
      <c r="AK2193" s="97"/>
      <c r="AL2193" s="97"/>
      <c r="AM2193" s="97"/>
      <c r="AN2193" s="97"/>
      <c r="AO2193" s="97"/>
      <c r="AP2193" s="97"/>
      <c r="AQ2193" s="97"/>
    </row>
    <row r="2194" spans="2:43" s="101" customFormat="1" ht="15" customHeight="1">
      <c r="B2194" s="104"/>
      <c r="C2194" s="104"/>
      <c r="D2194" s="104"/>
      <c r="E2194" s="104"/>
      <c r="F2194" s="104"/>
      <c r="G2194" s="104"/>
      <c r="H2194" s="104"/>
      <c r="I2194" s="104"/>
      <c r="J2194" s="104"/>
      <c r="K2194" s="104"/>
      <c r="L2194" s="104"/>
      <c r="R2194" s="105"/>
      <c r="S2194" s="105"/>
      <c r="T2194" s="105"/>
      <c r="U2194" s="105"/>
      <c r="V2194" s="105"/>
      <c r="W2194" s="105"/>
      <c r="AD2194" s="106"/>
      <c r="AE2194" s="97"/>
      <c r="AF2194" s="97"/>
      <c r="AG2194" s="97"/>
      <c r="AH2194" s="97"/>
      <c r="AI2194" s="97"/>
      <c r="AJ2194" s="97"/>
      <c r="AK2194" s="97"/>
      <c r="AL2194" s="97"/>
      <c r="AM2194" s="97"/>
      <c r="AN2194" s="97"/>
      <c r="AO2194" s="97"/>
      <c r="AP2194" s="97"/>
      <c r="AQ2194" s="97"/>
    </row>
    <row r="2195" spans="2:43" s="101" customFormat="1" ht="15" customHeight="1">
      <c r="B2195" s="104"/>
      <c r="C2195" s="104"/>
      <c r="D2195" s="104"/>
      <c r="E2195" s="104"/>
      <c r="F2195" s="104"/>
      <c r="G2195" s="104"/>
      <c r="H2195" s="104"/>
      <c r="I2195" s="104"/>
      <c r="J2195" s="104"/>
      <c r="K2195" s="104"/>
      <c r="L2195" s="104"/>
      <c r="R2195" s="105"/>
      <c r="S2195" s="105"/>
      <c r="T2195" s="105"/>
      <c r="U2195" s="105"/>
      <c r="V2195" s="105"/>
      <c r="W2195" s="105"/>
      <c r="AD2195" s="106"/>
      <c r="AE2195" s="97"/>
      <c r="AF2195" s="97"/>
      <c r="AG2195" s="97"/>
      <c r="AH2195" s="97"/>
      <c r="AI2195" s="97"/>
      <c r="AJ2195" s="97"/>
      <c r="AK2195" s="97"/>
      <c r="AL2195" s="97"/>
      <c r="AM2195" s="97"/>
      <c r="AN2195" s="97"/>
      <c r="AO2195" s="97"/>
      <c r="AP2195" s="97"/>
      <c r="AQ2195" s="97"/>
    </row>
    <row r="2196" spans="2:43" s="101" customFormat="1" ht="15" customHeight="1">
      <c r="B2196" s="104"/>
      <c r="C2196" s="104"/>
      <c r="D2196" s="104"/>
      <c r="E2196" s="104"/>
      <c r="F2196" s="104"/>
      <c r="G2196" s="104"/>
      <c r="H2196" s="104"/>
      <c r="I2196" s="104"/>
      <c r="J2196" s="104"/>
      <c r="K2196" s="104"/>
      <c r="L2196" s="104"/>
      <c r="R2196" s="105"/>
      <c r="S2196" s="105"/>
      <c r="T2196" s="105"/>
      <c r="U2196" s="105"/>
      <c r="V2196" s="105"/>
      <c r="W2196" s="105"/>
      <c r="AD2196" s="106"/>
      <c r="AE2196" s="97"/>
      <c r="AF2196" s="97"/>
      <c r="AG2196" s="97"/>
      <c r="AH2196" s="97"/>
      <c r="AI2196" s="97"/>
      <c r="AJ2196" s="97"/>
      <c r="AK2196" s="97"/>
      <c r="AL2196" s="97"/>
      <c r="AM2196" s="97"/>
      <c r="AN2196" s="97"/>
      <c r="AO2196" s="97"/>
      <c r="AP2196" s="97"/>
      <c r="AQ2196" s="97"/>
    </row>
    <row r="2197" spans="2:43" s="101" customFormat="1" ht="15" customHeight="1">
      <c r="B2197" s="104"/>
      <c r="C2197" s="104"/>
      <c r="D2197" s="104"/>
      <c r="E2197" s="104"/>
      <c r="F2197" s="104"/>
      <c r="G2197" s="104"/>
      <c r="H2197" s="104"/>
      <c r="I2197" s="104"/>
      <c r="J2197" s="104"/>
      <c r="K2197" s="104"/>
      <c r="L2197" s="104"/>
      <c r="R2197" s="105"/>
      <c r="S2197" s="105"/>
      <c r="T2197" s="105"/>
      <c r="U2197" s="105"/>
      <c r="V2197" s="105"/>
      <c r="W2197" s="105"/>
      <c r="AD2197" s="106"/>
      <c r="AE2197" s="97"/>
      <c r="AF2197" s="97"/>
      <c r="AG2197" s="97"/>
      <c r="AH2197" s="97"/>
      <c r="AI2197" s="97"/>
      <c r="AJ2197" s="97"/>
      <c r="AK2197" s="97"/>
      <c r="AL2197" s="97"/>
      <c r="AM2197" s="97"/>
      <c r="AN2197" s="97"/>
      <c r="AO2197" s="97"/>
      <c r="AP2197" s="97"/>
      <c r="AQ2197" s="97"/>
    </row>
    <row r="2198" spans="2:43" s="101" customFormat="1" ht="15" customHeight="1">
      <c r="B2198" s="104"/>
      <c r="C2198" s="104"/>
      <c r="D2198" s="104"/>
      <c r="E2198" s="104"/>
      <c r="F2198" s="104"/>
      <c r="G2198" s="104"/>
      <c r="H2198" s="104"/>
      <c r="I2198" s="104"/>
      <c r="J2198" s="104"/>
      <c r="K2198" s="104"/>
      <c r="L2198" s="104"/>
      <c r="R2198" s="105"/>
      <c r="S2198" s="105"/>
      <c r="T2198" s="105"/>
      <c r="U2198" s="105"/>
      <c r="V2198" s="105"/>
      <c r="W2198" s="105"/>
      <c r="AD2198" s="106"/>
      <c r="AE2198" s="97"/>
      <c r="AF2198" s="97"/>
      <c r="AG2198" s="97"/>
      <c r="AH2198" s="97"/>
      <c r="AI2198" s="97"/>
      <c r="AJ2198" s="97"/>
      <c r="AK2198" s="97"/>
      <c r="AL2198" s="97"/>
      <c r="AM2198" s="97"/>
      <c r="AN2198" s="97"/>
      <c r="AO2198" s="97"/>
      <c r="AP2198" s="97"/>
      <c r="AQ2198" s="97"/>
    </row>
    <row r="2199" spans="2:43" s="101" customFormat="1" ht="15" customHeight="1">
      <c r="B2199" s="104"/>
      <c r="C2199" s="104"/>
      <c r="D2199" s="104"/>
      <c r="E2199" s="104"/>
      <c r="F2199" s="104"/>
      <c r="G2199" s="104"/>
      <c r="H2199" s="104"/>
      <c r="I2199" s="104"/>
      <c r="J2199" s="104"/>
      <c r="K2199" s="104"/>
      <c r="L2199" s="104"/>
      <c r="R2199" s="105"/>
      <c r="S2199" s="105"/>
      <c r="T2199" s="105"/>
      <c r="U2199" s="105"/>
      <c r="V2199" s="105"/>
      <c r="W2199" s="105"/>
      <c r="AD2199" s="106"/>
      <c r="AE2199" s="97"/>
      <c r="AF2199" s="97"/>
      <c r="AG2199" s="97"/>
      <c r="AH2199" s="97"/>
      <c r="AI2199" s="97"/>
      <c r="AJ2199" s="97"/>
      <c r="AK2199" s="97"/>
      <c r="AL2199" s="97"/>
      <c r="AM2199" s="97"/>
      <c r="AN2199" s="97"/>
      <c r="AO2199" s="97"/>
      <c r="AP2199" s="97"/>
      <c r="AQ2199" s="97"/>
    </row>
    <row r="2200" spans="2:43" s="101" customFormat="1" ht="15" customHeight="1">
      <c r="B2200" s="104"/>
      <c r="C2200" s="104"/>
      <c r="D2200" s="104"/>
      <c r="E2200" s="104"/>
      <c r="F2200" s="104"/>
      <c r="G2200" s="104"/>
      <c r="H2200" s="104"/>
      <c r="I2200" s="104"/>
      <c r="J2200" s="104"/>
      <c r="K2200" s="104"/>
      <c r="L2200" s="104"/>
      <c r="R2200" s="105"/>
      <c r="S2200" s="105"/>
      <c r="T2200" s="105"/>
      <c r="U2200" s="105"/>
      <c r="V2200" s="105"/>
      <c r="W2200" s="105"/>
      <c r="AD2200" s="106"/>
      <c r="AE2200" s="97"/>
      <c r="AF2200" s="97"/>
      <c r="AG2200" s="97"/>
      <c r="AH2200" s="97"/>
      <c r="AI2200" s="97"/>
      <c r="AJ2200" s="97"/>
      <c r="AK2200" s="97"/>
      <c r="AL2200" s="97"/>
      <c r="AM2200" s="97"/>
      <c r="AN2200" s="97"/>
      <c r="AO2200" s="97"/>
      <c r="AP2200" s="97"/>
      <c r="AQ2200" s="97"/>
    </row>
    <row r="2201" spans="2:43" s="101" customFormat="1" ht="15" customHeight="1">
      <c r="B2201" s="104"/>
      <c r="C2201" s="104"/>
      <c r="D2201" s="104"/>
      <c r="E2201" s="104"/>
      <c r="F2201" s="104"/>
      <c r="G2201" s="104"/>
      <c r="H2201" s="104"/>
      <c r="I2201" s="104"/>
      <c r="J2201" s="104"/>
      <c r="K2201" s="104"/>
      <c r="L2201" s="104"/>
      <c r="R2201" s="105"/>
      <c r="S2201" s="105"/>
      <c r="T2201" s="105"/>
      <c r="U2201" s="105"/>
      <c r="V2201" s="105"/>
      <c r="W2201" s="105"/>
      <c r="AD2201" s="106"/>
      <c r="AE2201" s="97"/>
      <c r="AF2201" s="97"/>
      <c r="AG2201" s="97"/>
      <c r="AH2201" s="97"/>
      <c r="AI2201" s="97"/>
      <c r="AJ2201" s="97"/>
      <c r="AK2201" s="97"/>
      <c r="AL2201" s="97"/>
      <c r="AM2201" s="97"/>
      <c r="AN2201" s="97"/>
      <c r="AO2201" s="97"/>
      <c r="AP2201" s="97"/>
      <c r="AQ2201" s="97"/>
    </row>
    <row r="2202" spans="2:43" s="101" customFormat="1" ht="15" customHeight="1">
      <c r="B2202" s="104"/>
      <c r="C2202" s="104"/>
      <c r="D2202" s="104"/>
      <c r="E2202" s="104"/>
      <c r="F2202" s="104"/>
      <c r="G2202" s="104"/>
      <c r="H2202" s="104"/>
      <c r="I2202" s="104"/>
      <c r="J2202" s="104"/>
      <c r="K2202" s="104"/>
      <c r="L2202" s="104"/>
      <c r="R2202" s="105"/>
      <c r="S2202" s="105"/>
      <c r="T2202" s="105"/>
      <c r="U2202" s="105"/>
      <c r="V2202" s="105"/>
      <c r="W2202" s="105"/>
      <c r="AD2202" s="106"/>
      <c r="AE2202" s="97"/>
      <c r="AF2202" s="97"/>
      <c r="AG2202" s="97"/>
      <c r="AH2202" s="97"/>
      <c r="AI2202" s="97"/>
      <c r="AJ2202" s="97"/>
      <c r="AK2202" s="97"/>
      <c r="AL2202" s="97"/>
      <c r="AM2202" s="97"/>
      <c r="AN2202" s="97"/>
      <c r="AO2202" s="97"/>
      <c r="AP2202" s="97"/>
      <c r="AQ2202" s="97"/>
    </row>
    <row r="2203" spans="2:43" s="101" customFormat="1" ht="15" customHeight="1">
      <c r="B2203" s="104"/>
      <c r="C2203" s="104"/>
      <c r="D2203" s="104"/>
      <c r="E2203" s="104"/>
      <c r="F2203" s="104"/>
      <c r="G2203" s="104"/>
      <c r="H2203" s="104"/>
      <c r="I2203" s="104"/>
      <c r="J2203" s="104"/>
      <c r="K2203" s="104"/>
      <c r="L2203" s="104"/>
      <c r="R2203" s="105"/>
      <c r="S2203" s="105"/>
      <c r="T2203" s="105"/>
      <c r="U2203" s="105"/>
      <c r="V2203" s="105"/>
      <c r="W2203" s="105"/>
      <c r="AD2203" s="106"/>
      <c r="AE2203" s="97"/>
      <c r="AF2203" s="97"/>
      <c r="AG2203" s="97"/>
      <c r="AH2203" s="97"/>
      <c r="AI2203" s="97"/>
      <c r="AJ2203" s="97"/>
      <c r="AK2203" s="97"/>
      <c r="AL2203" s="97"/>
      <c r="AM2203" s="97"/>
      <c r="AN2203" s="97"/>
      <c r="AO2203" s="97"/>
      <c r="AP2203" s="97"/>
      <c r="AQ2203" s="97"/>
    </row>
    <row r="2204" spans="2:43" s="101" customFormat="1" ht="15" customHeight="1">
      <c r="B2204" s="104"/>
      <c r="C2204" s="104"/>
      <c r="D2204" s="104"/>
      <c r="E2204" s="104"/>
      <c r="F2204" s="104"/>
      <c r="G2204" s="104"/>
      <c r="H2204" s="104"/>
      <c r="I2204" s="104"/>
      <c r="J2204" s="104"/>
      <c r="K2204" s="104"/>
      <c r="L2204" s="104"/>
      <c r="R2204" s="105"/>
      <c r="S2204" s="105"/>
      <c r="T2204" s="105"/>
      <c r="U2204" s="105"/>
      <c r="V2204" s="105"/>
      <c r="W2204" s="105"/>
      <c r="AD2204" s="106"/>
      <c r="AE2204" s="97"/>
      <c r="AF2204" s="97"/>
      <c r="AG2204" s="97"/>
      <c r="AH2204" s="97"/>
      <c r="AI2204" s="97"/>
      <c r="AJ2204" s="97"/>
      <c r="AK2204" s="97"/>
      <c r="AL2204" s="97"/>
      <c r="AM2204" s="97"/>
      <c r="AN2204" s="97"/>
      <c r="AO2204" s="97"/>
      <c r="AP2204" s="97"/>
      <c r="AQ2204" s="97"/>
    </row>
    <row r="2205" spans="2:43" s="101" customFormat="1" ht="15" customHeight="1">
      <c r="B2205" s="104"/>
      <c r="C2205" s="104"/>
      <c r="D2205" s="104"/>
      <c r="E2205" s="104"/>
      <c r="F2205" s="104"/>
      <c r="G2205" s="104"/>
      <c r="H2205" s="104"/>
      <c r="I2205" s="104"/>
      <c r="J2205" s="104"/>
      <c r="K2205" s="104"/>
      <c r="L2205" s="104"/>
      <c r="R2205" s="105"/>
      <c r="S2205" s="105"/>
      <c r="T2205" s="105"/>
      <c r="U2205" s="105"/>
      <c r="V2205" s="105"/>
      <c r="W2205" s="105"/>
      <c r="AD2205" s="106"/>
      <c r="AE2205" s="97"/>
      <c r="AF2205" s="97"/>
      <c r="AG2205" s="97"/>
      <c r="AH2205" s="97"/>
      <c r="AI2205" s="97"/>
      <c r="AJ2205" s="97"/>
      <c r="AK2205" s="97"/>
      <c r="AL2205" s="97"/>
      <c r="AM2205" s="97"/>
      <c r="AN2205" s="97"/>
      <c r="AO2205" s="97"/>
      <c r="AP2205" s="97"/>
      <c r="AQ2205" s="97"/>
    </row>
    <row r="2206" spans="2:43" s="101" customFormat="1" ht="15" customHeight="1">
      <c r="B2206" s="104"/>
      <c r="C2206" s="104"/>
      <c r="D2206" s="104"/>
      <c r="E2206" s="104"/>
      <c r="F2206" s="104"/>
      <c r="G2206" s="104"/>
      <c r="H2206" s="104"/>
      <c r="I2206" s="104"/>
      <c r="J2206" s="104"/>
      <c r="K2206" s="104"/>
      <c r="L2206" s="104"/>
      <c r="R2206" s="105"/>
      <c r="S2206" s="105"/>
      <c r="T2206" s="105"/>
      <c r="U2206" s="105"/>
      <c r="V2206" s="105"/>
      <c r="W2206" s="105"/>
      <c r="AD2206" s="106"/>
      <c r="AE2206" s="97"/>
      <c r="AF2206" s="97"/>
      <c r="AG2206" s="97"/>
      <c r="AH2206" s="97"/>
      <c r="AI2206" s="97"/>
      <c r="AJ2206" s="97"/>
      <c r="AK2206" s="97"/>
      <c r="AL2206" s="97"/>
      <c r="AM2206" s="97"/>
      <c r="AN2206" s="97"/>
      <c r="AO2206" s="97"/>
      <c r="AP2206" s="97"/>
      <c r="AQ2206" s="97"/>
    </row>
    <row r="2207" spans="2:43" s="101" customFormat="1" ht="15" customHeight="1">
      <c r="B2207" s="104"/>
      <c r="C2207" s="104"/>
      <c r="D2207" s="104"/>
      <c r="E2207" s="104"/>
      <c r="F2207" s="104"/>
      <c r="G2207" s="104"/>
      <c r="H2207" s="104"/>
      <c r="I2207" s="104"/>
      <c r="J2207" s="104"/>
      <c r="K2207" s="104"/>
      <c r="L2207" s="104"/>
      <c r="R2207" s="105"/>
      <c r="S2207" s="105"/>
      <c r="T2207" s="105"/>
      <c r="U2207" s="105"/>
      <c r="V2207" s="105"/>
      <c r="W2207" s="105"/>
      <c r="AD2207" s="106"/>
      <c r="AE2207" s="97"/>
      <c r="AF2207" s="97"/>
      <c r="AG2207" s="97"/>
      <c r="AH2207" s="97"/>
      <c r="AI2207" s="97"/>
      <c r="AJ2207" s="97"/>
      <c r="AK2207" s="97"/>
      <c r="AL2207" s="97"/>
      <c r="AM2207" s="97"/>
      <c r="AN2207" s="97"/>
      <c r="AO2207" s="97"/>
      <c r="AP2207" s="97"/>
      <c r="AQ2207" s="97"/>
    </row>
    <row r="2208" spans="2:43" s="101" customFormat="1" ht="15" customHeight="1">
      <c r="B2208" s="104"/>
      <c r="C2208" s="104"/>
      <c r="D2208" s="104"/>
      <c r="E2208" s="104"/>
      <c r="F2208" s="104"/>
      <c r="G2208" s="104"/>
      <c r="H2208" s="104"/>
      <c r="I2208" s="104"/>
      <c r="J2208" s="104"/>
      <c r="K2208" s="104"/>
      <c r="L2208" s="104"/>
      <c r="R2208" s="105"/>
      <c r="S2208" s="105"/>
      <c r="T2208" s="105"/>
      <c r="U2208" s="105"/>
      <c r="V2208" s="105"/>
      <c r="W2208" s="105"/>
      <c r="AD2208" s="106"/>
      <c r="AE2208" s="97"/>
      <c r="AF2208" s="97"/>
      <c r="AG2208" s="97"/>
      <c r="AH2208" s="97"/>
      <c r="AI2208" s="97"/>
      <c r="AJ2208" s="97"/>
      <c r="AK2208" s="97"/>
      <c r="AL2208" s="97"/>
      <c r="AM2208" s="97"/>
      <c r="AN2208" s="97"/>
      <c r="AO2208" s="97"/>
      <c r="AP2208" s="97"/>
      <c r="AQ2208" s="97"/>
    </row>
    <row r="2209" spans="2:43" s="101" customFormat="1" ht="15" customHeight="1">
      <c r="B2209" s="104"/>
      <c r="C2209" s="104"/>
      <c r="D2209" s="104"/>
      <c r="E2209" s="104"/>
      <c r="F2209" s="104"/>
      <c r="G2209" s="104"/>
      <c r="H2209" s="104"/>
      <c r="I2209" s="104"/>
      <c r="J2209" s="104"/>
      <c r="K2209" s="104"/>
      <c r="L2209" s="104"/>
      <c r="R2209" s="105"/>
      <c r="S2209" s="105"/>
      <c r="T2209" s="105"/>
      <c r="U2209" s="105"/>
      <c r="V2209" s="105"/>
      <c r="W2209" s="105"/>
      <c r="AD2209" s="106"/>
      <c r="AE2209" s="97"/>
      <c r="AF2209" s="97"/>
      <c r="AG2209" s="97"/>
      <c r="AH2209" s="97"/>
      <c r="AI2209" s="97"/>
      <c r="AJ2209" s="97"/>
      <c r="AK2209" s="97"/>
      <c r="AL2209" s="97"/>
      <c r="AM2209" s="97"/>
      <c r="AN2209" s="97"/>
      <c r="AO2209" s="97"/>
      <c r="AP2209" s="97"/>
      <c r="AQ2209" s="97"/>
    </row>
    <row r="2210" spans="2:43" s="101" customFormat="1" ht="15" customHeight="1">
      <c r="B2210" s="104"/>
      <c r="C2210" s="104"/>
      <c r="D2210" s="104"/>
      <c r="E2210" s="104"/>
      <c r="F2210" s="104"/>
      <c r="G2210" s="104"/>
      <c r="H2210" s="104"/>
      <c r="I2210" s="104"/>
      <c r="J2210" s="104"/>
      <c r="K2210" s="104"/>
      <c r="L2210" s="104"/>
      <c r="R2210" s="105"/>
      <c r="S2210" s="105"/>
      <c r="T2210" s="105"/>
      <c r="U2210" s="105"/>
      <c r="V2210" s="105"/>
      <c r="W2210" s="105"/>
      <c r="AD2210" s="106"/>
      <c r="AE2210" s="97"/>
      <c r="AF2210" s="97"/>
      <c r="AG2210" s="97"/>
      <c r="AH2210" s="97"/>
      <c r="AI2210" s="97"/>
      <c r="AJ2210" s="97"/>
      <c r="AK2210" s="97"/>
      <c r="AL2210" s="97"/>
      <c r="AM2210" s="97"/>
      <c r="AN2210" s="97"/>
      <c r="AO2210" s="97"/>
      <c r="AP2210" s="97"/>
      <c r="AQ2210" s="97"/>
    </row>
    <row r="2211" spans="2:43" s="101" customFormat="1" ht="15" customHeight="1">
      <c r="B2211" s="104"/>
      <c r="C2211" s="104"/>
      <c r="D2211" s="104"/>
      <c r="E2211" s="104"/>
      <c r="F2211" s="104"/>
      <c r="G2211" s="104"/>
      <c r="H2211" s="104"/>
      <c r="I2211" s="104"/>
      <c r="J2211" s="104"/>
      <c r="K2211" s="104"/>
      <c r="L2211" s="104"/>
      <c r="R2211" s="105"/>
      <c r="S2211" s="105"/>
      <c r="T2211" s="105"/>
      <c r="U2211" s="105"/>
      <c r="V2211" s="105"/>
      <c r="W2211" s="105"/>
      <c r="AD2211" s="106"/>
      <c r="AE2211" s="97"/>
      <c r="AF2211" s="97"/>
      <c r="AG2211" s="97"/>
      <c r="AH2211" s="97"/>
      <c r="AI2211" s="97"/>
      <c r="AJ2211" s="97"/>
      <c r="AK2211" s="97"/>
      <c r="AL2211" s="97"/>
      <c r="AM2211" s="97"/>
      <c r="AN2211" s="97"/>
      <c r="AO2211" s="97"/>
      <c r="AP2211" s="97"/>
      <c r="AQ2211" s="97"/>
    </row>
    <row r="2212" spans="2:43" s="101" customFormat="1" ht="15" customHeight="1">
      <c r="B2212" s="104"/>
      <c r="C2212" s="104"/>
      <c r="D2212" s="104"/>
      <c r="E2212" s="104"/>
      <c r="F2212" s="104"/>
      <c r="G2212" s="104"/>
      <c r="H2212" s="104"/>
      <c r="I2212" s="104"/>
      <c r="J2212" s="104"/>
      <c r="K2212" s="104"/>
      <c r="L2212" s="104"/>
      <c r="R2212" s="105"/>
      <c r="S2212" s="105"/>
      <c r="T2212" s="105"/>
      <c r="U2212" s="105"/>
      <c r="V2212" s="105"/>
      <c r="W2212" s="105"/>
      <c r="AD2212" s="106"/>
      <c r="AE2212" s="97"/>
      <c r="AF2212" s="97"/>
      <c r="AG2212" s="97"/>
      <c r="AH2212" s="97"/>
      <c r="AI2212" s="97"/>
      <c r="AJ2212" s="97"/>
      <c r="AK2212" s="97"/>
      <c r="AL2212" s="97"/>
      <c r="AM2212" s="97"/>
      <c r="AN2212" s="97"/>
      <c r="AO2212" s="97"/>
      <c r="AP2212" s="97"/>
      <c r="AQ2212" s="97"/>
    </row>
    <row r="2213" spans="2:43" s="101" customFormat="1" ht="15" customHeight="1">
      <c r="B2213" s="104"/>
      <c r="C2213" s="104"/>
      <c r="D2213" s="104"/>
      <c r="E2213" s="104"/>
      <c r="F2213" s="104"/>
      <c r="G2213" s="104"/>
      <c r="H2213" s="104"/>
      <c r="I2213" s="104"/>
      <c r="J2213" s="104"/>
      <c r="K2213" s="104"/>
      <c r="L2213" s="104"/>
      <c r="R2213" s="105"/>
      <c r="S2213" s="105"/>
      <c r="T2213" s="105"/>
      <c r="U2213" s="105"/>
      <c r="V2213" s="105"/>
      <c r="W2213" s="105"/>
      <c r="AD2213" s="106"/>
      <c r="AE2213" s="97"/>
      <c r="AF2213" s="97"/>
      <c r="AG2213" s="97"/>
      <c r="AH2213" s="97"/>
      <c r="AI2213" s="97"/>
      <c r="AJ2213" s="97"/>
      <c r="AK2213" s="97"/>
      <c r="AL2213" s="97"/>
      <c r="AM2213" s="97"/>
      <c r="AN2213" s="97"/>
      <c r="AO2213" s="97"/>
      <c r="AP2213" s="97"/>
      <c r="AQ2213" s="97"/>
    </row>
    <row r="2214" spans="2:43" s="101" customFormat="1" ht="15" customHeight="1">
      <c r="B2214" s="104"/>
      <c r="C2214" s="104"/>
      <c r="D2214" s="104"/>
      <c r="E2214" s="104"/>
      <c r="F2214" s="104"/>
      <c r="G2214" s="104"/>
      <c r="H2214" s="104"/>
      <c r="I2214" s="104"/>
      <c r="J2214" s="104"/>
      <c r="K2214" s="104"/>
      <c r="L2214" s="104"/>
      <c r="R2214" s="105"/>
      <c r="S2214" s="105"/>
      <c r="T2214" s="105"/>
      <c r="U2214" s="105"/>
      <c r="V2214" s="105"/>
      <c r="W2214" s="105"/>
      <c r="AD2214" s="106"/>
      <c r="AE2214" s="97"/>
      <c r="AF2214" s="97"/>
      <c r="AG2214" s="97"/>
      <c r="AH2214" s="97"/>
      <c r="AI2214" s="97"/>
      <c r="AJ2214" s="97"/>
      <c r="AK2214" s="97"/>
      <c r="AL2214" s="97"/>
      <c r="AM2214" s="97"/>
      <c r="AN2214" s="97"/>
      <c r="AO2214" s="97"/>
      <c r="AP2214" s="97"/>
      <c r="AQ2214" s="97"/>
    </row>
    <row r="2215" spans="2:43" s="101" customFormat="1" ht="15" customHeight="1">
      <c r="B2215" s="104"/>
      <c r="C2215" s="104"/>
      <c r="D2215" s="104"/>
      <c r="E2215" s="104"/>
      <c r="F2215" s="104"/>
      <c r="G2215" s="104"/>
      <c r="H2215" s="104"/>
      <c r="I2215" s="104"/>
      <c r="J2215" s="104"/>
      <c r="K2215" s="104"/>
      <c r="L2215" s="104"/>
      <c r="R2215" s="105"/>
      <c r="S2215" s="105"/>
      <c r="T2215" s="105"/>
      <c r="U2215" s="105"/>
      <c r="V2215" s="105"/>
      <c r="W2215" s="105"/>
      <c r="AD2215" s="106"/>
      <c r="AE2215" s="97"/>
      <c r="AF2215" s="97"/>
      <c r="AG2215" s="97"/>
      <c r="AH2215" s="97"/>
      <c r="AI2215" s="97"/>
      <c r="AJ2215" s="97"/>
      <c r="AK2215" s="97"/>
      <c r="AL2215" s="97"/>
      <c r="AM2215" s="97"/>
      <c r="AN2215" s="97"/>
      <c r="AO2215" s="97"/>
      <c r="AP2215" s="97"/>
      <c r="AQ2215" s="97"/>
    </row>
    <row r="2216" spans="2:43" s="101" customFormat="1" ht="15" customHeight="1">
      <c r="B2216" s="104"/>
      <c r="C2216" s="104"/>
      <c r="D2216" s="104"/>
      <c r="E2216" s="104"/>
      <c r="F2216" s="104"/>
      <c r="G2216" s="104"/>
      <c r="H2216" s="104"/>
      <c r="I2216" s="104"/>
      <c r="J2216" s="104"/>
      <c r="K2216" s="104"/>
      <c r="L2216" s="104"/>
      <c r="R2216" s="105"/>
      <c r="S2216" s="105"/>
      <c r="T2216" s="105"/>
      <c r="U2216" s="105"/>
      <c r="V2216" s="105"/>
      <c r="W2216" s="105"/>
      <c r="AD2216" s="106"/>
      <c r="AE2216" s="97"/>
      <c r="AF2216" s="97"/>
      <c r="AG2216" s="97"/>
      <c r="AH2216" s="97"/>
      <c r="AI2216" s="97"/>
      <c r="AJ2216" s="97"/>
      <c r="AK2216" s="97"/>
      <c r="AL2216" s="97"/>
      <c r="AM2216" s="97"/>
      <c r="AN2216" s="97"/>
      <c r="AO2216" s="97"/>
      <c r="AP2216" s="97"/>
      <c r="AQ2216" s="97"/>
    </row>
    <row r="2217" spans="2:43" s="101" customFormat="1" ht="15" customHeight="1">
      <c r="B2217" s="104"/>
      <c r="C2217" s="104"/>
      <c r="D2217" s="104"/>
      <c r="E2217" s="104"/>
      <c r="F2217" s="104"/>
      <c r="G2217" s="104"/>
      <c r="H2217" s="104"/>
      <c r="I2217" s="104"/>
      <c r="J2217" s="104"/>
      <c r="K2217" s="104"/>
      <c r="L2217" s="104"/>
      <c r="R2217" s="105"/>
      <c r="S2217" s="105"/>
      <c r="T2217" s="105"/>
      <c r="U2217" s="105"/>
      <c r="V2217" s="105"/>
      <c r="W2217" s="105"/>
      <c r="AD2217" s="106"/>
      <c r="AE2217" s="97"/>
      <c r="AF2217" s="97"/>
      <c r="AG2217" s="97"/>
      <c r="AH2217" s="97"/>
      <c r="AI2217" s="97"/>
      <c r="AJ2217" s="97"/>
      <c r="AK2217" s="97"/>
      <c r="AL2217" s="97"/>
      <c r="AM2217" s="97"/>
      <c r="AN2217" s="97"/>
      <c r="AO2217" s="97"/>
      <c r="AP2217" s="97"/>
      <c r="AQ2217" s="97"/>
    </row>
    <row r="2218" spans="2:43" s="101" customFormat="1" ht="15" customHeight="1">
      <c r="B2218" s="104"/>
      <c r="C2218" s="104"/>
      <c r="D2218" s="104"/>
      <c r="E2218" s="104"/>
      <c r="F2218" s="104"/>
      <c r="G2218" s="104"/>
      <c r="H2218" s="104"/>
      <c r="I2218" s="104"/>
      <c r="J2218" s="104"/>
      <c r="K2218" s="104"/>
      <c r="L2218" s="104"/>
      <c r="R2218" s="105"/>
      <c r="S2218" s="105"/>
      <c r="T2218" s="105"/>
      <c r="U2218" s="105"/>
      <c r="V2218" s="105"/>
      <c r="W2218" s="105"/>
      <c r="AD2218" s="106"/>
      <c r="AE2218" s="97"/>
      <c r="AF2218" s="97"/>
      <c r="AG2218" s="97"/>
      <c r="AH2218" s="97"/>
      <c r="AI2218" s="97"/>
      <c r="AJ2218" s="97"/>
      <c r="AK2218" s="97"/>
      <c r="AL2218" s="97"/>
      <c r="AM2218" s="97"/>
      <c r="AN2218" s="97"/>
      <c r="AO2218" s="97"/>
      <c r="AP2218" s="97"/>
      <c r="AQ2218" s="97"/>
    </row>
    <row r="2219" spans="2:43" s="101" customFormat="1" ht="15" customHeight="1">
      <c r="B2219" s="104"/>
      <c r="C2219" s="104"/>
      <c r="D2219" s="104"/>
      <c r="E2219" s="104"/>
      <c r="F2219" s="104"/>
      <c r="G2219" s="104"/>
      <c r="H2219" s="104"/>
      <c r="I2219" s="104"/>
      <c r="J2219" s="104"/>
      <c r="K2219" s="104"/>
      <c r="L2219" s="104"/>
      <c r="R2219" s="105"/>
      <c r="S2219" s="105"/>
      <c r="T2219" s="105"/>
      <c r="U2219" s="105"/>
      <c r="V2219" s="105"/>
      <c r="W2219" s="105"/>
      <c r="AD2219" s="106"/>
      <c r="AE2219" s="97"/>
      <c r="AF2219" s="97"/>
      <c r="AG2219" s="97"/>
      <c r="AH2219" s="97"/>
      <c r="AI2219" s="97"/>
      <c r="AJ2219" s="97"/>
      <c r="AK2219" s="97"/>
      <c r="AL2219" s="97"/>
      <c r="AM2219" s="97"/>
      <c r="AN2219" s="97"/>
      <c r="AO2219" s="97"/>
      <c r="AP2219" s="97"/>
      <c r="AQ2219" s="97"/>
    </row>
    <row r="2220" spans="2:43" s="101" customFormat="1" ht="15" customHeight="1">
      <c r="B2220" s="104"/>
      <c r="C2220" s="104"/>
      <c r="D2220" s="104"/>
      <c r="E2220" s="104"/>
      <c r="F2220" s="104"/>
      <c r="G2220" s="104"/>
      <c r="H2220" s="104"/>
      <c r="I2220" s="104"/>
      <c r="J2220" s="104"/>
      <c r="K2220" s="104"/>
      <c r="L2220" s="104"/>
      <c r="R2220" s="105"/>
      <c r="S2220" s="105"/>
      <c r="T2220" s="105"/>
      <c r="U2220" s="105"/>
      <c r="V2220" s="105"/>
      <c r="W2220" s="105"/>
      <c r="AD2220" s="106"/>
      <c r="AE2220" s="97"/>
      <c r="AF2220" s="97"/>
      <c r="AG2220" s="97"/>
      <c r="AH2220" s="97"/>
      <c r="AI2220" s="97"/>
      <c r="AJ2220" s="97"/>
      <c r="AK2220" s="97"/>
      <c r="AL2220" s="97"/>
      <c r="AM2220" s="97"/>
      <c r="AN2220" s="97"/>
      <c r="AO2220" s="97"/>
      <c r="AP2220" s="97"/>
      <c r="AQ2220" s="97"/>
    </row>
    <row r="2221" spans="2:43" s="101" customFormat="1" ht="15" customHeight="1">
      <c r="B2221" s="104"/>
      <c r="C2221" s="104"/>
      <c r="D2221" s="104"/>
      <c r="E2221" s="104"/>
      <c r="F2221" s="104"/>
      <c r="G2221" s="104"/>
      <c r="H2221" s="104"/>
      <c r="I2221" s="104"/>
      <c r="J2221" s="104"/>
      <c r="K2221" s="104"/>
      <c r="L2221" s="104"/>
      <c r="R2221" s="105"/>
      <c r="S2221" s="105"/>
      <c r="T2221" s="105"/>
      <c r="U2221" s="105"/>
      <c r="V2221" s="105"/>
      <c r="W2221" s="105"/>
      <c r="AD2221" s="106"/>
      <c r="AE2221" s="97"/>
      <c r="AF2221" s="97"/>
      <c r="AG2221" s="97"/>
      <c r="AH2221" s="97"/>
      <c r="AI2221" s="97"/>
      <c r="AJ2221" s="97"/>
      <c r="AK2221" s="97"/>
      <c r="AL2221" s="97"/>
      <c r="AM2221" s="97"/>
      <c r="AN2221" s="97"/>
      <c r="AO2221" s="97"/>
      <c r="AP2221" s="97"/>
      <c r="AQ2221" s="97"/>
    </row>
    <row r="2222" spans="2:43" s="101" customFormat="1" ht="15" customHeight="1">
      <c r="B2222" s="104"/>
      <c r="C2222" s="104"/>
      <c r="D2222" s="104"/>
      <c r="E2222" s="104"/>
      <c r="F2222" s="104"/>
      <c r="G2222" s="104"/>
      <c r="H2222" s="104"/>
      <c r="I2222" s="104"/>
      <c r="J2222" s="104"/>
      <c r="K2222" s="104"/>
      <c r="L2222" s="104"/>
      <c r="R2222" s="105"/>
      <c r="S2222" s="105"/>
      <c r="T2222" s="105"/>
      <c r="U2222" s="105"/>
      <c r="V2222" s="105"/>
      <c r="W2222" s="105"/>
      <c r="AD2222" s="106"/>
      <c r="AE2222" s="97"/>
      <c r="AF2222" s="97"/>
      <c r="AG2222" s="97"/>
      <c r="AH2222" s="97"/>
      <c r="AI2222" s="97"/>
      <c r="AJ2222" s="97"/>
      <c r="AK2222" s="97"/>
      <c r="AL2222" s="97"/>
      <c r="AM2222" s="97"/>
      <c r="AN2222" s="97"/>
      <c r="AO2222" s="97"/>
      <c r="AP2222" s="97"/>
      <c r="AQ2222" s="97"/>
    </row>
    <row r="2223" spans="2:43" s="101" customFormat="1" ht="15" customHeight="1">
      <c r="B2223" s="104"/>
      <c r="C2223" s="104"/>
      <c r="D2223" s="104"/>
      <c r="E2223" s="104"/>
      <c r="F2223" s="104"/>
      <c r="G2223" s="104"/>
      <c r="H2223" s="104"/>
      <c r="I2223" s="104"/>
      <c r="J2223" s="104"/>
      <c r="K2223" s="104"/>
      <c r="L2223" s="104"/>
      <c r="R2223" s="105"/>
      <c r="S2223" s="105"/>
      <c r="T2223" s="105"/>
      <c r="U2223" s="105"/>
      <c r="V2223" s="105"/>
      <c r="W2223" s="105"/>
      <c r="AD2223" s="106"/>
      <c r="AE2223" s="97"/>
      <c r="AF2223" s="97"/>
      <c r="AG2223" s="97"/>
      <c r="AH2223" s="97"/>
      <c r="AI2223" s="97"/>
      <c r="AJ2223" s="97"/>
      <c r="AK2223" s="97"/>
      <c r="AL2223" s="97"/>
      <c r="AM2223" s="97"/>
      <c r="AN2223" s="97"/>
      <c r="AO2223" s="97"/>
      <c r="AP2223" s="97"/>
      <c r="AQ2223" s="97"/>
    </row>
    <row r="2224" spans="2:43" s="101" customFormat="1" ht="15" customHeight="1">
      <c r="B2224" s="104"/>
      <c r="C2224" s="104"/>
      <c r="D2224" s="104"/>
      <c r="E2224" s="104"/>
      <c r="F2224" s="104"/>
      <c r="G2224" s="104"/>
      <c r="H2224" s="104"/>
      <c r="I2224" s="104"/>
      <c r="J2224" s="104"/>
      <c r="K2224" s="104"/>
      <c r="L2224" s="104"/>
      <c r="R2224" s="105"/>
      <c r="S2224" s="105"/>
      <c r="T2224" s="105"/>
      <c r="U2224" s="105"/>
      <c r="V2224" s="105"/>
      <c r="W2224" s="105"/>
      <c r="AD2224" s="106"/>
      <c r="AE2224" s="97"/>
      <c r="AF2224" s="97"/>
      <c r="AG2224" s="97"/>
      <c r="AH2224" s="97"/>
      <c r="AI2224" s="97"/>
      <c r="AJ2224" s="97"/>
      <c r="AK2224" s="97"/>
      <c r="AL2224" s="97"/>
      <c r="AM2224" s="97"/>
      <c r="AN2224" s="97"/>
      <c r="AO2224" s="97"/>
      <c r="AP2224" s="97"/>
      <c r="AQ2224" s="97"/>
    </row>
    <row r="2225" spans="2:43" s="101" customFormat="1" ht="15" customHeight="1">
      <c r="B2225" s="104"/>
      <c r="C2225" s="104"/>
      <c r="D2225" s="104"/>
      <c r="E2225" s="104"/>
      <c r="F2225" s="104"/>
      <c r="G2225" s="104"/>
      <c r="H2225" s="104"/>
      <c r="I2225" s="104"/>
      <c r="J2225" s="104"/>
      <c r="K2225" s="104"/>
      <c r="L2225" s="104"/>
      <c r="R2225" s="105"/>
      <c r="S2225" s="105"/>
      <c r="T2225" s="105"/>
      <c r="U2225" s="105"/>
      <c r="V2225" s="105"/>
      <c r="W2225" s="105"/>
      <c r="AD2225" s="106"/>
      <c r="AE2225" s="97"/>
      <c r="AF2225" s="97"/>
      <c r="AG2225" s="97"/>
      <c r="AH2225" s="97"/>
      <c r="AI2225" s="97"/>
      <c r="AJ2225" s="97"/>
      <c r="AK2225" s="97"/>
      <c r="AL2225" s="97"/>
      <c r="AM2225" s="97"/>
      <c r="AN2225" s="97"/>
      <c r="AO2225" s="97"/>
      <c r="AP2225" s="97"/>
      <c r="AQ2225" s="97"/>
    </row>
    <row r="2226" spans="2:43" s="101" customFormat="1" ht="15" customHeight="1">
      <c r="B2226" s="104"/>
      <c r="C2226" s="104"/>
      <c r="D2226" s="104"/>
      <c r="E2226" s="104"/>
      <c r="F2226" s="104"/>
      <c r="G2226" s="104"/>
      <c r="H2226" s="104"/>
      <c r="I2226" s="104"/>
      <c r="J2226" s="104"/>
      <c r="K2226" s="104"/>
      <c r="L2226" s="104"/>
      <c r="R2226" s="105"/>
      <c r="S2226" s="105"/>
      <c r="T2226" s="105"/>
      <c r="U2226" s="105"/>
      <c r="V2226" s="105"/>
      <c r="W2226" s="105"/>
      <c r="AD2226" s="106"/>
      <c r="AE2226" s="97"/>
      <c r="AF2226" s="97"/>
      <c r="AG2226" s="97"/>
      <c r="AH2226" s="97"/>
      <c r="AI2226" s="97"/>
      <c r="AJ2226" s="97"/>
      <c r="AK2226" s="97"/>
      <c r="AL2226" s="97"/>
      <c r="AM2226" s="97"/>
      <c r="AN2226" s="97"/>
      <c r="AO2226" s="97"/>
      <c r="AP2226" s="97"/>
      <c r="AQ2226" s="97"/>
    </row>
    <row r="2227" spans="2:43" s="101" customFormat="1" ht="15" customHeight="1">
      <c r="B2227" s="104"/>
      <c r="C2227" s="104"/>
      <c r="D2227" s="104"/>
      <c r="E2227" s="104"/>
      <c r="F2227" s="104"/>
      <c r="G2227" s="104"/>
      <c r="H2227" s="104"/>
      <c r="I2227" s="104"/>
      <c r="J2227" s="104"/>
      <c r="K2227" s="104"/>
      <c r="L2227" s="104"/>
      <c r="R2227" s="105"/>
      <c r="S2227" s="105"/>
      <c r="T2227" s="105"/>
      <c r="U2227" s="105"/>
      <c r="V2227" s="105"/>
      <c r="W2227" s="105"/>
      <c r="AD2227" s="106"/>
      <c r="AE2227" s="97"/>
      <c r="AF2227" s="97"/>
      <c r="AG2227" s="97"/>
      <c r="AH2227" s="97"/>
      <c r="AI2227" s="97"/>
      <c r="AJ2227" s="97"/>
      <c r="AK2227" s="97"/>
      <c r="AL2227" s="97"/>
      <c r="AM2227" s="97"/>
      <c r="AN2227" s="97"/>
      <c r="AO2227" s="97"/>
      <c r="AP2227" s="97"/>
      <c r="AQ2227" s="97"/>
    </row>
    <row r="2228" spans="2:43" s="101" customFormat="1" ht="15" customHeight="1">
      <c r="B2228" s="104"/>
      <c r="C2228" s="104"/>
      <c r="D2228" s="104"/>
      <c r="E2228" s="104"/>
      <c r="F2228" s="104"/>
      <c r="G2228" s="104"/>
      <c r="H2228" s="104"/>
      <c r="I2228" s="104"/>
      <c r="J2228" s="104"/>
      <c r="K2228" s="104"/>
      <c r="L2228" s="104"/>
      <c r="R2228" s="105"/>
      <c r="S2228" s="105"/>
      <c r="T2228" s="105"/>
      <c r="U2228" s="105"/>
      <c r="V2228" s="105"/>
      <c r="W2228" s="105"/>
      <c r="AD2228" s="106"/>
      <c r="AE2228" s="97"/>
      <c r="AF2228" s="97"/>
      <c r="AG2228" s="97"/>
      <c r="AH2228" s="97"/>
      <c r="AI2228" s="97"/>
      <c r="AJ2228" s="97"/>
      <c r="AK2228" s="97"/>
      <c r="AL2228" s="97"/>
      <c r="AM2228" s="97"/>
      <c r="AN2228" s="97"/>
      <c r="AO2228" s="97"/>
      <c r="AP2228" s="97"/>
      <c r="AQ2228" s="97"/>
    </row>
    <row r="2229" spans="2:43" s="101" customFormat="1" ht="15" customHeight="1">
      <c r="B2229" s="104"/>
      <c r="C2229" s="104"/>
      <c r="D2229" s="104"/>
      <c r="E2229" s="104"/>
      <c r="F2229" s="104"/>
      <c r="G2229" s="104"/>
      <c r="H2229" s="104"/>
      <c r="I2229" s="104"/>
      <c r="J2229" s="104"/>
      <c r="K2229" s="104"/>
      <c r="L2229" s="104"/>
      <c r="R2229" s="105"/>
      <c r="S2229" s="105"/>
      <c r="T2229" s="105"/>
      <c r="U2229" s="105"/>
      <c r="V2229" s="105"/>
      <c r="W2229" s="105"/>
      <c r="AD2229" s="106"/>
      <c r="AE2229" s="97"/>
      <c r="AF2229" s="97"/>
      <c r="AG2229" s="97"/>
      <c r="AH2229" s="97"/>
      <c r="AI2229" s="97"/>
      <c r="AJ2229" s="97"/>
      <c r="AK2229" s="97"/>
      <c r="AL2229" s="97"/>
      <c r="AM2229" s="97"/>
      <c r="AN2229" s="97"/>
      <c r="AO2229" s="97"/>
      <c r="AP2229" s="97"/>
      <c r="AQ2229" s="97"/>
    </row>
    <row r="2230" spans="2:43" s="101" customFormat="1" ht="15" customHeight="1">
      <c r="B2230" s="104"/>
      <c r="C2230" s="104"/>
      <c r="D2230" s="104"/>
      <c r="E2230" s="104"/>
      <c r="F2230" s="104"/>
      <c r="G2230" s="104"/>
      <c r="H2230" s="104"/>
      <c r="I2230" s="104"/>
      <c r="J2230" s="104"/>
      <c r="K2230" s="104"/>
      <c r="L2230" s="104"/>
      <c r="R2230" s="105"/>
      <c r="S2230" s="105"/>
      <c r="T2230" s="105"/>
      <c r="U2230" s="105"/>
      <c r="V2230" s="105"/>
      <c r="W2230" s="105"/>
      <c r="AD2230" s="106"/>
      <c r="AE2230" s="97"/>
      <c r="AF2230" s="97"/>
      <c r="AG2230" s="97"/>
      <c r="AH2230" s="97"/>
      <c r="AI2230" s="97"/>
      <c r="AJ2230" s="97"/>
      <c r="AK2230" s="97"/>
      <c r="AL2230" s="97"/>
      <c r="AM2230" s="97"/>
      <c r="AN2230" s="97"/>
      <c r="AO2230" s="97"/>
      <c r="AP2230" s="97"/>
      <c r="AQ2230" s="97"/>
    </row>
    <row r="2231" spans="2:43" s="101" customFormat="1" ht="15" customHeight="1">
      <c r="B2231" s="104"/>
      <c r="C2231" s="104"/>
      <c r="D2231" s="104"/>
      <c r="E2231" s="104"/>
      <c r="F2231" s="104"/>
      <c r="G2231" s="104"/>
      <c r="H2231" s="104"/>
      <c r="I2231" s="104"/>
      <c r="J2231" s="104"/>
      <c r="K2231" s="104"/>
      <c r="L2231" s="104"/>
      <c r="R2231" s="105"/>
      <c r="S2231" s="105"/>
      <c r="T2231" s="105"/>
      <c r="U2231" s="105"/>
      <c r="V2231" s="105"/>
      <c r="W2231" s="105"/>
      <c r="AD2231" s="106"/>
      <c r="AE2231" s="97"/>
      <c r="AF2231" s="97"/>
      <c r="AG2231" s="97"/>
      <c r="AH2231" s="97"/>
      <c r="AI2231" s="97"/>
      <c r="AJ2231" s="97"/>
      <c r="AK2231" s="97"/>
      <c r="AL2231" s="97"/>
      <c r="AM2231" s="97"/>
      <c r="AN2231" s="97"/>
      <c r="AO2231" s="97"/>
      <c r="AP2231" s="97"/>
      <c r="AQ2231" s="97"/>
    </row>
    <row r="2232" spans="2:43" s="101" customFormat="1" ht="15" customHeight="1">
      <c r="B2232" s="104"/>
      <c r="C2232" s="104"/>
      <c r="D2232" s="104"/>
      <c r="E2232" s="104"/>
      <c r="F2232" s="104"/>
      <c r="G2232" s="104"/>
      <c r="H2232" s="104"/>
      <c r="I2232" s="104"/>
      <c r="J2232" s="104"/>
      <c r="K2232" s="104"/>
      <c r="L2232" s="104"/>
      <c r="R2232" s="105"/>
      <c r="S2232" s="105"/>
      <c r="T2232" s="105"/>
      <c r="U2232" s="105"/>
      <c r="V2232" s="105"/>
      <c r="W2232" s="105"/>
      <c r="AD2232" s="106"/>
      <c r="AE2232" s="97"/>
      <c r="AF2232" s="97"/>
      <c r="AG2232" s="97"/>
      <c r="AH2232" s="97"/>
      <c r="AI2232" s="97"/>
      <c r="AJ2232" s="97"/>
      <c r="AK2232" s="97"/>
      <c r="AL2232" s="97"/>
      <c r="AM2232" s="97"/>
      <c r="AN2232" s="97"/>
      <c r="AO2232" s="97"/>
      <c r="AP2232" s="97"/>
      <c r="AQ2232" s="97"/>
    </row>
    <row r="2233" spans="2:43" s="101" customFormat="1" ht="15" customHeight="1">
      <c r="B2233" s="104"/>
      <c r="C2233" s="104"/>
      <c r="D2233" s="104"/>
      <c r="E2233" s="104"/>
      <c r="F2233" s="104"/>
      <c r="G2233" s="104"/>
      <c r="H2233" s="104"/>
      <c r="I2233" s="104"/>
      <c r="J2233" s="104"/>
      <c r="K2233" s="104"/>
      <c r="L2233" s="104"/>
      <c r="R2233" s="105"/>
      <c r="S2233" s="105"/>
      <c r="T2233" s="105"/>
      <c r="U2233" s="105"/>
      <c r="V2233" s="105"/>
      <c r="W2233" s="105"/>
      <c r="AD2233" s="106"/>
      <c r="AE2233" s="97"/>
      <c r="AF2233" s="97"/>
      <c r="AG2233" s="97"/>
      <c r="AH2233" s="97"/>
      <c r="AI2233" s="97"/>
      <c r="AJ2233" s="97"/>
      <c r="AK2233" s="97"/>
      <c r="AL2233" s="97"/>
      <c r="AM2233" s="97"/>
      <c r="AN2233" s="97"/>
      <c r="AO2233" s="97"/>
      <c r="AP2233" s="97"/>
      <c r="AQ2233" s="97"/>
    </row>
    <row r="2234" spans="2:43" s="101" customFormat="1" ht="15" customHeight="1">
      <c r="B2234" s="104"/>
      <c r="C2234" s="104"/>
      <c r="D2234" s="104"/>
      <c r="E2234" s="104"/>
      <c r="F2234" s="104"/>
      <c r="G2234" s="104"/>
      <c r="H2234" s="104"/>
      <c r="I2234" s="104"/>
      <c r="J2234" s="104"/>
      <c r="K2234" s="104"/>
      <c r="L2234" s="104"/>
      <c r="R2234" s="105"/>
      <c r="S2234" s="105"/>
      <c r="T2234" s="105"/>
      <c r="U2234" s="105"/>
      <c r="V2234" s="105"/>
      <c r="W2234" s="105"/>
      <c r="AD2234" s="106"/>
      <c r="AE2234" s="97"/>
      <c r="AF2234" s="97"/>
      <c r="AG2234" s="97"/>
      <c r="AH2234" s="97"/>
      <c r="AI2234" s="97"/>
      <c r="AJ2234" s="97"/>
      <c r="AK2234" s="97"/>
      <c r="AL2234" s="97"/>
      <c r="AM2234" s="97"/>
      <c r="AN2234" s="97"/>
      <c r="AO2234" s="97"/>
      <c r="AP2234" s="97"/>
      <c r="AQ2234" s="97"/>
    </row>
    <row r="2235" spans="2:43" s="101" customFormat="1" ht="15" customHeight="1">
      <c r="B2235" s="104"/>
      <c r="C2235" s="104"/>
      <c r="D2235" s="104"/>
      <c r="E2235" s="104"/>
      <c r="F2235" s="104"/>
      <c r="G2235" s="104"/>
      <c r="H2235" s="104"/>
      <c r="I2235" s="104"/>
      <c r="J2235" s="104"/>
      <c r="K2235" s="104"/>
      <c r="L2235" s="104"/>
      <c r="R2235" s="105"/>
      <c r="S2235" s="105"/>
      <c r="T2235" s="105"/>
      <c r="U2235" s="105"/>
      <c r="V2235" s="105"/>
      <c r="W2235" s="105"/>
      <c r="AD2235" s="106"/>
      <c r="AE2235" s="97"/>
      <c r="AF2235" s="97"/>
      <c r="AG2235" s="97"/>
      <c r="AH2235" s="97"/>
      <c r="AI2235" s="97"/>
      <c r="AJ2235" s="97"/>
      <c r="AK2235" s="97"/>
      <c r="AL2235" s="97"/>
      <c r="AM2235" s="97"/>
      <c r="AN2235" s="97"/>
      <c r="AO2235" s="97"/>
      <c r="AP2235" s="97"/>
      <c r="AQ2235" s="97"/>
    </row>
    <row r="2236" spans="2:43" s="101" customFormat="1" ht="15" customHeight="1">
      <c r="B2236" s="104"/>
      <c r="C2236" s="104"/>
      <c r="D2236" s="104"/>
      <c r="E2236" s="104"/>
      <c r="F2236" s="104"/>
      <c r="G2236" s="104"/>
      <c r="H2236" s="104"/>
      <c r="I2236" s="104"/>
      <c r="J2236" s="104"/>
      <c r="K2236" s="104"/>
      <c r="L2236" s="104"/>
      <c r="R2236" s="105"/>
      <c r="S2236" s="105"/>
      <c r="T2236" s="105"/>
      <c r="U2236" s="105"/>
      <c r="V2236" s="105"/>
      <c r="W2236" s="105"/>
      <c r="AD2236" s="106"/>
      <c r="AE2236" s="97"/>
      <c r="AF2236" s="97"/>
      <c r="AG2236" s="97"/>
      <c r="AH2236" s="97"/>
      <c r="AI2236" s="97"/>
      <c r="AJ2236" s="97"/>
      <c r="AK2236" s="97"/>
      <c r="AL2236" s="97"/>
      <c r="AM2236" s="97"/>
      <c r="AN2236" s="97"/>
      <c r="AO2236" s="97"/>
      <c r="AP2236" s="97"/>
      <c r="AQ2236" s="97"/>
    </row>
    <row r="2237" spans="2:43" s="101" customFormat="1" ht="15" customHeight="1">
      <c r="B2237" s="104"/>
      <c r="C2237" s="104"/>
      <c r="D2237" s="104"/>
      <c r="E2237" s="104"/>
      <c r="F2237" s="104"/>
      <c r="G2237" s="104"/>
      <c r="H2237" s="104"/>
      <c r="I2237" s="104"/>
      <c r="J2237" s="104"/>
      <c r="K2237" s="104"/>
      <c r="L2237" s="104"/>
      <c r="R2237" s="105"/>
      <c r="S2237" s="105"/>
      <c r="T2237" s="105"/>
      <c r="U2237" s="105"/>
      <c r="V2237" s="105"/>
      <c r="W2237" s="105"/>
      <c r="AD2237" s="106"/>
      <c r="AE2237" s="97"/>
      <c r="AF2237" s="97"/>
      <c r="AG2237" s="97"/>
      <c r="AH2237" s="97"/>
      <c r="AI2237" s="97"/>
      <c r="AJ2237" s="97"/>
      <c r="AK2237" s="97"/>
      <c r="AL2237" s="97"/>
      <c r="AM2237" s="97"/>
      <c r="AN2237" s="97"/>
      <c r="AO2237" s="97"/>
      <c r="AP2237" s="97"/>
      <c r="AQ2237" s="97"/>
    </row>
    <row r="2238" spans="2:43" s="101" customFormat="1" ht="15" customHeight="1">
      <c r="B2238" s="104"/>
      <c r="C2238" s="104"/>
      <c r="D2238" s="104"/>
      <c r="E2238" s="104"/>
      <c r="F2238" s="104"/>
      <c r="G2238" s="104"/>
      <c r="H2238" s="104"/>
      <c r="I2238" s="104"/>
      <c r="J2238" s="104"/>
      <c r="K2238" s="104"/>
      <c r="L2238" s="104"/>
      <c r="R2238" s="105"/>
      <c r="S2238" s="105"/>
      <c r="T2238" s="105"/>
      <c r="U2238" s="105"/>
      <c r="V2238" s="105"/>
      <c r="W2238" s="105"/>
      <c r="AD2238" s="106"/>
      <c r="AE2238" s="97"/>
      <c r="AF2238" s="97"/>
      <c r="AG2238" s="97"/>
      <c r="AH2238" s="97"/>
      <c r="AI2238" s="97"/>
      <c r="AJ2238" s="97"/>
      <c r="AK2238" s="97"/>
      <c r="AL2238" s="97"/>
      <c r="AM2238" s="97"/>
      <c r="AN2238" s="97"/>
      <c r="AO2238" s="97"/>
      <c r="AP2238" s="97"/>
      <c r="AQ2238" s="97"/>
    </row>
    <row r="2239" spans="2:43" s="101" customFormat="1" ht="15" customHeight="1">
      <c r="B2239" s="104"/>
      <c r="C2239" s="104"/>
      <c r="D2239" s="104"/>
      <c r="E2239" s="104"/>
      <c r="F2239" s="104"/>
      <c r="G2239" s="104"/>
      <c r="H2239" s="104"/>
      <c r="I2239" s="104"/>
      <c r="J2239" s="104"/>
      <c r="K2239" s="104"/>
      <c r="L2239" s="104"/>
      <c r="R2239" s="105"/>
      <c r="S2239" s="105"/>
      <c r="T2239" s="105"/>
      <c r="U2239" s="105"/>
      <c r="V2239" s="105"/>
      <c r="W2239" s="105"/>
      <c r="AD2239" s="106"/>
      <c r="AE2239" s="97"/>
      <c r="AF2239" s="97"/>
      <c r="AG2239" s="97"/>
      <c r="AH2239" s="97"/>
      <c r="AI2239" s="97"/>
      <c r="AJ2239" s="97"/>
      <c r="AK2239" s="97"/>
      <c r="AL2239" s="97"/>
      <c r="AM2239" s="97"/>
      <c r="AN2239" s="97"/>
      <c r="AO2239" s="97"/>
      <c r="AP2239" s="97"/>
      <c r="AQ2239" s="97"/>
    </row>
    <row r="2240" spans="2:43" s="101" customFormat="1" ht="15" customHeight="1">
      <c r="B2240" s="104"/>
      <c r="C2240" s="104"/>
      <c r="D2240" s="104"/>
      <c r="E2240" s="104"/>
      <c r="F2240" s="104"/>
      <c r="G2240" s="104"/>
      <c r="H2240" s="104"/>
      <c r="I2240" s="104"/>
      <c r="J2240" s="104"/>
      <c r="K2240" s="104"/>
      <c r="L2240" s="104"/>
      <c r="R2240" s="105"/>
      <c r="S2240" s="105"/>
      <c r="T2240" s="105"/>
      <c r="U2240" s="105"/>
      <c r="V2240" s="105"/>
      <c r="W2240" s="105"/>
      <c r="AD2240" s="106"/>
      <c r="AE2240" s="97"/>
      <c r="AF2240" s="97"/>
      <c r="AG2240" s="97"/>
      <c r="AH2240" s="97"/>
      <c r="AI2240" s="97"/>
      <c r="AJ2240" s="97"/>
      <c r="AK2240" s="97"/>
      <c r="AL2240" s="97"/>
      <c r="AM2240" s="97"/>
      <c r="AN2240" s="97"/>
      <c r="AO2240" s="97"/>
      <c r="AP2240" s="97"/>
      <c r="AQ2240" s="97"/>
    </row>
    <row r="2241" spans="2:43" s="101" customFormat="1" ht="15" customHeight="1">
      <c r="B2241" s="104"/>
      <c r="C2241" s="104"/>
      <c r="D2241" s="104"/>
      <c r="E2241" s="104"/>
      <c r="F2241" s="104"/>
      <c r="G2241" s="104"/>
      <c r="H2241" s="104"/>
      <c r="I2241" s="104"/>
      <c r="J2241" s="104"/>
      <c r="K2241" s="104"/>
      <c r="L2241" s="104"/>
      <c r="R2241" s="105"/>
      <c r="S2241" s="105"/>
      <c r="T2241" s="105"/>
      <c r="U2241" s="105"/>
      <c r="V2241" s="105"/>
      <c r="W2241" s="105"/>
      <c r="AD2241" s="106"/>
      <c r="AE2241" s="97"/>
      <c r="AF2241" s="97"/>
      <c r="AG2241" s="97"/>
      <c r="AH2241" s="97"/>
      <c r="AI2241" s="97"/>
      <c r="AJ2241" s="97"/>
      <c r="AK2241" s="97"/>
      <c r="AL2241" s="97"/>
      <c r="AM2241" s="97"/>
      <c r="AN2241" s="97"/>
      <c r="AO2241" s="97"/>
      <c r="AP2241" s="97"/>
      <c r="AQ2241" s="97"/>
    </row>
    <row r="2242" spans="2:43" s="101" customFormat="1" ht="15" customHeight="1">
      <c r="B2242" s="104"/>
      <c r="C2242" s="104"/>
      <c r="D2242" s="104"/>
      <c r="E2242" s="104"/>
      <c r="F2242" s="104"/>
      <c r="G2242" s="104"/>
      <c r="H2242" s="104"/>
      <c r="I2242" s="104"/>
      <c r="J2242" s="104"/>
      <c r="K2242" s="104"/>
      <c r="L2242" s="104"/>
      <c r="R2242" s="105"/>
      <c r="S2242" s="105"/>
      <c r="T2242" s="105"/>
      <c r="U2242" s="105"/>
      <c r="V2242" s="105"/>
      <c r="W2242" s="105"/>
      <c r="AD2242" s="106"/>
      <c r="AE2242" s="97"/>
      <c r="AF2242" s="97"/>
      <c r="AG2242" s="97"/>
      <c r="AH2242" s="97"/>
      <c r="AI2242" s="97"/>
      <c r="AJ2242" s="97"/>
      <c r="AK2242" s="97"/>
      <c r="AL2242" s="97"/>
      <c r="AM2242" s="97"/>
      <c r="AN2242" s="97"/>
      <c r="AO2242" s="97"/>
      <c r="AP2242" s="97"/>
      <c r="AQ2242" s="97"/>
    </row>
    <row r="2243" spans="2:43" s="101" customFormat="1" ht="15" customHeight="1">
      <c r="B2243" s="104"/>
      <c r="C2243" s="104"/>
      <c r="D2243" s="104"/>
      <c r="E2243" s="104"/>
      <c r="F2243" s="104"/>
      <c r="G2243" s="104"/>
      <c r="H2243" s="104"/>
      <c r="I2243" s="104"/>
      <c r="J2243" s="104"/>
      <c r="K2243" s="104"/>
      <c r="L2243" s="104"/>
      <c r="R2243" s="105"/>
      <c r="S2243" s="105"/>
      <c r="T2243" s="105"/>
      <c r="U2243" s="105"/>
      <c r="V2243" s="105"/>
      <c r="W2243" s="105"/>
      <c r="AD2243" s="106"/>
      <c r="AE2243" s="97"/>
      <c r="AF2243" s="97"/>
      <c r="AG2243" s="97"/>
      <c r="AH2243" s="97"/>
      <c r="AI2243" s="97"/>
      <c r="AJ2243" s="97"/>
      <c r="AK2243" s="97"/>
      <c r="AL2243" s="97"/>
      <c r="AM2243" s="97"/>
      <c r="AN2243" s="97"/>
      <c r="AO2243" s="97"/>
      <c r="AP2243" s="97"/>
      <c r="AQ2243" s="97"/>
    </row>
    <row r="2244" spans="2:43" s="101" customFormat="1" ht="15" customHeight="1">
      <c r="B2244" s="104"/>
      <c r="C2244" s="104"/>
      <c r="D2244" s="104"/>
      <c r="E2244" s="104"/>
      <c r="F2244" s="104"/>
      <c r="G2244" s="104"/>
      <c r="H2244" s="104"/>
      <c r="I2244" s="104"/>
      <c r="J2244" s="104"/>
      <c r="K2244" s="104"/>
      <c r="L2244" s="104"/>
      <c r="R2244" s="105"/>
      <c r="S2244" s="105"/>
      <c r="T2244" s="105"/>
      <c r="U2244" s="105"/>
      <c r="V2244" s="105"/>
      <c r="W2244" s="105"/>
      <c r="AD2244" s="106"/>
      <c r="AE2244" s="97"/>
      <c r="AF2244" s="97"/>
      <c r="AG2244" s="97"/>
      <c r="AH2244" s="97"/>
      <c r="AI2244" s="97"/>
      <c r="AJ2244" s="97"/>
      <c r="AK2244" s="97"/>
      <c r="AL2244" s="97"/>
      <c r="AM2244" s="97"/>
      <c r="AN2244" s="97"/>
      <c r="AO2244" s="97"/>
      <c r="AP2244" s="97"/>
      <c r="AQ2244" s="97"/>
    </row>
    <row r="2245" spans="2:43" s="101" customFormat="1" ht="15" customHeight="1">
      <c r="B2245" s="104"/>
      <c r="C2245" s="104"/>
      <c r="D2245" s="104"/>
      <c r="E2245" s="104"/>
      <c r="F2245" s="104"/>
      <c r="G2245" s="104"/>
      <c r="H2245" s="104"/>
      <c r="I2245" s="104"/>
      <c r="J2245" s="104"/>
      <c r="K2245" s="104"/>
      <c r="L2245" s="104"/>
      <c r="R2245" s="105"/>
      <c r="S2245" s="105"/>
      <c r="T2245" s="105"/>
      <c r="U2245" s="105"/>
      <c r="V2245" s="105"/>
      <c r="W2245" s="105"/>
      <c r="AD2245" s="106"/>
      <c r="AE2245" s="97"/>
      <c r="AF2245" s="97"/>
      <c r="AG2245" s="97"/>
      <c r="AH2245" s="97"/>
      <c r="AI2245" s="97"/>
      <c r="AJ2245" s="97"/>
      <c r="AK2245" s="97"/>
      <c r="AL2245" s="97"/>
      <c r="AM2245" s="97"/>
      <c r="AN2245" s="97"/>
      <c r="AO2245" s="97"/>
      <c r="AP2245" s="97"/>
      <c r="AQ2245" s="97"/>
    </row>
    <row r="2246" spans="2:43" s="101" customFormat="1" ht="15" customHeight="1">
      <c r="B2246" s="104"/>
      <c r="C2246" s="104"/>
      <c r="D2246" s="104"/>
      <c r="E2246" s="104"/>
      <c r="F2246" s="104"/>
      <c r="G2246" s="104"/>
      <c r="H2246" s="104"/>
      <c r="I2246" s="104"/>
      <c r="J2246" s="104"/>
      <c r="K2246" s="104"/>
      <c r="L2246" s="104"/>
      <c r="R2246" s="105"/>
      <c r="S2246" s="105"/>
      <c r="T2246" s="105"/>
      <c r="U2246" s="105"/>
      <c r="V2246" s="105"/>
      <c r="W2246" s="105"/>
      <c r="AD2246" s="106"/>
      <c r="AE2246" s="97"/>
      <c r="AF2246" s="97"/>
      <c r="AG2246" s="97"/>
      <c r="AH2246" s="97"/>
      <c r="AI2246" s="97"/>
      <c r="AJ2246" s="97"/>
      <c r="AK2246" s="97"/>
      <c r="AL2246" s="97"/>
      <c r="AM2246" s="97"/>
      <c r="AN2246" s="97"/>
      <c r="AO2246" s="97"/>
      <c r="AP2246" s="97"/>
      <c r="AQ2246" s="97"/>
    </row>
    <row r="2247" spans="2:43" s="101" customFormat="1" ht="15" customHeight="1">
      <c r="B2247" s="104"/>
      <c r="C2247" s="104"/>
      <c r="D2247" s="104"/>
      <c r="E2247" s="104"/>
      <c r="F2247" s="104"/>
      <c r="G2247" s="104"/>
      <c r="H2247" s="104"/>
      <c r="I2247" s="104"/>
      <c r="J2247" s="104"/>
      <c r="K2247" s="104"/>
      <c r="L2247" s="104"/>
      <c r="R2247" s="105"/>
      <c r="S2247" s="105"/>
      <c r="T2247" s="105"/>
      <c r="U2247" s="105"/>
      <c r="V2247" s="105"/>
      <c r="W2247" s="105"/>
      <c r="AD2247" s="106"/>
      <c r="AE2247" s="97"/>
      <c r="AF2247" s="97"/>
      <c r="AG2247" s="97"/>
      <c r="AH2247" s="97"/>
      <c r="AI2247" s="97"/>
      <c r="AJ2247" s="97"/>
      <c r="AK2247" s="97"/>
      <c r="AL2247" s="97"/>
      <c r="AM2247" s="97"/>
      <c r="AN2247" s="97"/>
      <c r="AO2247" s="97"/>
      <c r="AP2247" s="97"/>
      <c r="AQ2247" s="97"/>
    </row>
    <row r="2248" spans="2:43" s="101" customFormat="1" ht="15" customHeight="1">
      <c r="B2248" s="104"/>
      <c r="C2248" s="104"/>
      <c r="D2248" s="104"/>
      <c r="E2248" s="104"/>
      <c r="F2248" s="104"/>
      <c r="G2248" s="104"/>
      <c r="H2248" s="104"/>
      <c r="I2248" s="104"/>
      <c r="J2248" s="104"/>
      <c r="K2248" s="104"/>
      <c r="L2248" s="104"/>
      <c r="R2248" s="105"/>
      <c r="S2248" s="105"/>
      <c r="T2248" s="105"/>
      <c r="U2248" s="105"/>
      <c r="V2248" s="105"/>
      <c r="W2248" s="105"/>
      <c r="AD2248" s="106"/>
      <c r="AE2248" s="97"/>
      <c r="AF2248" s="97"/>
      <c r="AG2248" s="97"/>
      <c r="AH2248" s="97"/>
      <c r="AI2248" s="97"/>
      <c r="AJ2248" s="97"/>
      <c r="AK2248" s="97"/>
      <c r="AL2248" s="97"/>
      <c r="AM2248" s="97"/>
      <c r="AN2248" s="97"/>
      <c r="AO2248" s="97"/>
      <c r="AP2248" s="97"/>
      <c r="AQ2248" s="97"/>
    </row>
    <row r="2249" spans="2:43" s="101" customFormat="1" ht="15" customHeight="1">
      <c r="B2249" s="104"/>
      <c r="C2249" s="104"/>
      <c r="D2249" s="104"/>
      <c r="E2249" s="104"/>
      <c r="F2249" s="104"/>
      <c r="G2249" s="104"/>
      <c r="H2249" s="104"/>
      <c r="I2249" s="104"/>
      <c r="J2249" s="104"/>
      <c r="K2249" s="104"/>
      <c r="L2249" s="104"/>
      <c r="R2249" s="105"/>
      <c r="S2249" s="105"/>
      <c r="T2249" s="105"/>
      <c r="U2249" s="105"/>
      <c r="V2249" s="105"/>
      <c r="W2249" s="105"/>
      <c r="AD2249" s="106"/>
      <c r="AE2249" s="97"/>
      <c r="AF2249" s="97"/>
      <c r="AG2249" s="97"/>
      <c r="AH2249" s="97"/>
      <c r="AI2249" s="97"/>
      <c r="AJ2249" s="97"/>
      <c r="AK2249" s="97"/>
      <c r="AL2249" s="97"/>
      <c r="AM2249" s="97"/>
      <c r="AN2249" s="97"/>
      <c r="AO2249" s="97"/>
      <c r="AP2249" s="97"/>
      <c r="AQ2249" s="97"/>
    </row>
    <row r="2250" spans="2:43" s="101" customFormat="1" ht="15" customHeight="1">
      <c r="B2250" s="104"/>
      <c r="C2250" s="104"/>
      <c r="D2250" s="104"/>
      <c r="E2250" s="104"/>
      <c r="F2250" s="104"/>
      <c r="G2250" s="104"/>
      <c r="H2250" s="104"/>
      <c r="I2250" s="104"/>
      <c r="J2250" s="104"/>
      <c r="K2250" s="104"/>
      <c r="L2250" s="104"/>
      <c r="R2250" s="105"/>
      <c r="S2250" s="105"/>
      <c r="T2250" s="105"/>
      <c r="U2250" s="105"/>
      <c r="V2250" s="105"/>
      <c r="W2250" s="105"/>
      <c r="AD2250" s="106"/>
      <c r="AE2250" s="97"/>
      <c r="AF2250" s="97"/>
      <c r="AG2250" s="97"/>
      <c r="AH2250" s="97"/>
      <c r="AI2250" s="97"/>
      <c r="AJ2250" s="97"/>
      <c r="AK2250" s="97"/>
      <c r="AL2250" s="97"/>
      <c r="AM2250" s="97"/>
      <c r="AN2250" s="97"/>
      <c r="AO2250" s="97"/>
      <c r="AP2250" s="97"/>
      <c r="AQ2250" s="97"/>
    </row>
    <row r="2251" spans="2:43" s="101" customFormat="1" ht="15" customHeight="1">
      <c r="B2251" s="104"/>
      <c r="C2251" s="104"/>
      <c r="D2251" s="104"/>
      <c r="E2251" s="104"/>
      <c r="F2251" s="104"/>
      <c r="G2251" s="104"/>
      <c r="H2251" s="104"/>
      <c r="I2251" s="104"/>
      <c r="J2251" s="104"/>
      <c r="K2251" s="104"/>
      <c r="L2251" s="104"/>
      <c r="R2251" s="105"/>
      <c r="S2251" s="105"/>
      <c r="T2251" s="105"/>
      <c r="U2251" s="105"/>
      <c r="V2251" s="105"/>
      <c r="W2251" s="105"/>
      <c r="AD2251" s="106"/>
      <c r="AE2251" s="97"/>
      <c r="AF2251" s="97"/>
      <c r="AG2251" s="97"/>
      <c r="AH2251" s="97"/>
      <c r="AI2251" s="97"/>
      <c r="AJ2251" s="97"/>
      <c r="AK2251" s="97"/>
      <c r="AL2251" s="97"/>
      <c r="AM2251" s="97"/>
      <c r="AN2251" s="97"/>
      <c r="AO2251" s="97"/>
      <c r="AP2251" s="97"/>
      <c r="AQ2251" s="97"/>
    </row>
    <row r="2252" spans="2:43" s="101" customFormat="1" ht="15" customHeight="1">
      <c r="B2252" s="104"/>
      <c r="C2252" s="104"/>
      <c r="D2252" s="104"/>
      <c r="E2252" s="104"/>
      <c r="F2252" s="104"/>
      <c r="G2252" s="104"/>
      <c r="H2252" s="104"/>
      <c r="I2252" s="104"/>
      <c r="J2252" s="104"/>
      <c r="K2252" s="104"/>
      <c r="L2252" s="104"/>
      <c r="R2252" s="105"/>
      <c r="S2252" s="105"/>
      <c r="T2252" s="105"/>
      <c r="U2252" s="105"/>
      <c r="V2252" s="105"/>
      <c r="W2252" s="105"/>
      <c r="AD2252" s="106"/>
      <c r="AE2252" s="97"/>
      <c r="AF2252" s="97"/>
      <c r="AG2252" s="97"/>
      <c r="AH2252" s="97"/>
      <c r="AI2252" s="97"/>
      <c r="AJ2252" s="97"/>
      <c r="AK2252" s="97"/>
      <c r="AL2252" s="97"/>
      <c r="AM2252" s="97"/>
      <c r="AN2252" s="97"/>
      <c r="AO2252" s="97"/>
      <c r="AP2252" s="97"/>
      <c r="AQ2252" s="97"/>
    </row>
    <row r="2253" spans="2:43" s="101" customFormat="1" ht="15" customHeight="1">
      <c r="B2253" s="104"/>
      <c r="C2253" s="104"/>
      <c r="D2253" s="104"/>
      <c r="E2253" s="104"/>
      <c r="F2253" s="104"/>
      <c r="G2253" s="104"/>
      <c r="H2253" s="104"/>
      <c r="I2253" s="104"/>
      <c r="J2253" s="104"/>
      <c r="K2253" s="104"/>
      <c r="L2253" s="104"/>
      <c r="R2253" s="105"/>
      <c r="S2253" s="105"/>
      <c r="T2253" s="105"/>
      <c r="U2253" s="105"/>
      <c r="V2253" s="105"/>
      <c r="W2253" s="105"/>
      <c r="AD2253" s="106"/>
      <c r="AE2253" s="97"/>
      <c r="AF2253" s="97"/>
      <c r="AG2253" s="97"/>
      <c r="AH2253" s="97"/>
      <c r="AI2253" s="97"/>
      <c r="AJ2253" s="97"/>
      <c r="AK2253" s="97"/>
      <c r="AL2253" s="97"/>
      <c r="AM2253" s="97"/>
      <c r="AN2253" s="97"/>
      <c r="AO2253" s="97"/>
      <c r="AP2253" s="97"/>
      <c r="AQ2253" s="97"/>
    </row>
    <row r="2254" spans="2:43" s="101" customFormat="1" ht="15" customHeight="1">
      <c r="B2254" s="104"/>
      <c r="C2254" s="104"/>
      <c r="D2254" s="104"/>
      <c r="E2254" s="104"/>
      <c r="F2254" s="104"/>
      <c r="G2254" s="104"/>
      <c r="H2254" s="104"/>
      <c r="I2254" s="104"/>
      <c r="J2254" s="104"/>
      <c r="K2254" s="104"/>
      <c r="L2254" s="104"/>
      <c r="R2254" s="105"/>
      <c r="S2254" s="105"/>
      <c r="T2254" s="105"/>
      <c r="U2254" s="105"/>
      <c r="V2254" s="105"/>
      <c r="W2254" s="105"/>
      <c r="AD2254" s="106"/>
      <c r="AE2254" s="97"/>
      <c r="AF2254" s="97"/>
      <c r="AG2254" s="97"/>
      <c r="AH2254" s="97"/>
      <c r="AI2254" s="97"/>
      <c r="AJ2254" s="97"/>
      <c r="AK2254" s="97"/>
      <c r="AL2254" s="97"/>
      <c r="AM2254" s="97"/>
      <c r="AN2254" s="97"/>
      <c r="AO2254" s="97"/>
      <c r="AP2254" s="97"/>
      <c r="AQ2254" s="97"/>
    </row>
    <row r="2255" spans="2:43" s="101" customFormat="1" ht="15" customHeight="1">
      <c r="B2255" s="104"/>
      <c r="C2255" s="104"/>
      <c r="D2255" s="104"/>
      <c r="E2255" s="104"/>
      <c r="F2255" s="104"/>
      <c r="G2255" s="104"/>
      <c r="H2255" s="104"/>
      <c r="I2255" s="104"/>
      <c r="J2255" s="104"/>
      <c r="K2255" s="104"/>
      <c r="L2255" s="104"/>
      <c r="R2255" s="105"/>
      <c r="S2255" s="105"/>
      <c r="T2255" s="105"/>
      <c r="U2255" s="105"/>
      <c r="V2255" s="105"/>
      <c r="W2255" s="105"/>
      <c r="AD2255" s="106"/>
      <c r="AE2255" s="97"/>
      <c r="AF2255" s="97"/>
      <c r="AG2255" s="97"/>
      <c r="AH2255" s="97"/>
      <c r="AI2255" s="97"/>
      <c r="AJ2255" s="97"/>
      <c r="AK2255" s="97"/>
      <c r="AL2255" s="97"/>
      <c r="AM2255" s="97"/>
      <c r="AN2255" s="97"/>
      <c r="AO2255" s="97"/>
      <c r="AP2255" s="97"/>
      <c r="AQ2255" s="97"/>
    </row>
    <row r="2256" spans="2:43" s="101" customFormat="1" ht="15" customHeight="1">
      <c r="B2256" s="104"/>
      <c r="C2256" s="104"/>
      <c r="D2256" s="104"/>
      <c r="E2256" s="104"/>
      <c r="F2256" s="104"/>
      <c r="G2256" s="104"/>
      <c r="H2256" s="104"/>
      <c r="I2256" s="104"/>
      <c r="J2256" s="104"/>
      <c r="K2256" s="104"/>
      <c r="L2256" s="104"/>
      <c r="R2256" s="105"/>
      <c r="S2256" s="105"/>
      <c r="T2256" s="105"/>
      <c r="U2256" s="105"/>
      <c r="V2256" s="105"/>
      <c r="W2256" s="105"/>
      <c r="AD2256" s="106"/>
      <c r="AE2256" s="97"/>
      <c r="AF2256" s="97"/>
      <c r="AG2256" s="97"/>
      <c r="AH2256" s="97"/>
      <c r="AI2256" s="97"/>
      <c r="AJ2256" s="97"/>
      <c r="AK2256" s="97"/>
      <c r="AL2256" s="97"/>
      <c r="AM2256" s="97"/>
      <c r="AN2256" s="97"/>
      <c r="AO2256" s="97"/>
      <c r="AP2256" s="97"/>
      <c r="AQ2256" s="97"/>
    </row>
    <row r="2257" spans="2:43" s="101" customFormat="1" ht="15" customHeight="1">
      <c r="B2257" s="104"/>
      <c r="C2257" s="104"/>
      <c r="D2257" s="104"/>
      <c r="E2257" s="104"/>
      <c r="F2257" s="104"/>
      <c r="G2257" s="104"/>
      <c r="H2257" s="104"/>
      <c r="I2257" s="104"/>
      <c r="J2257" s="104"/>
      <c r="K2257" s="104"/>
      <c r="L2257" s="104"/>
      <c r="R2257" s="105"/>
      <c r="S2257" s="105"/>
      <c r="T2257" s="105"/>
      <c r="U2257" s="105"/>
      <c r="V2257" s="105"/>
      <c r="W2257" s="105"/>
      <c r="AD2257" s="106"/>
      <c r="AE2257" s="97"/>
      <c r="AF2257" s="97"/>
      <c r="AG2257" s="97"/>
      <c r="AH2257" s="97"/>
      <c r="AI2257" s="97"/>
      <c r="AJ2257" s="97"/>
      <c r="AK2257" s="97"/>
      <c r="AL2257" s="97"/>
      <c r="AM2257" s="97"/>
      <c r="AN2257" s="97"/>
      <c r="AO2257" s="97"/>
      <c r="AP2257" s="97"/>
      <c r="AQ2257" s="97"/>
    </row>
    <row r="2258" spans="2:43" s="101" customFormat="1" ht="15" customHeight="1">
      <c r="B2258" s="104"/>
      <c r="C2258" s="104"/>
      <c r="D2258" s="104"/>
      <c r="E2258" s="104"/>
      <c r="F2258" s="104"/>
      <c r="G2258" s="104"/>
      <c r="H2258" s="104"/>
      <c r="I2258" s="104"/>
      <c r="J2258" s="104"/>
      <c r="K2258" s="104"/>
      <c r="L2258" s="104"/>
      <c r="R2258" s="105"/>
      <c r="S2258" s="105"/>
      <c r="T2258" s="105"/>
      <c r="U2258" s="105"/>
      <c r="V2258" s="105"/>
      <c r="W2258" s="105"/>
      <c r="AD2258" s="106"/>
      <c r="AE2258" s="97"/>
      <c r="AF2258" s="97"/>
      <c r="AG2258" s="97"/>
      <c r="AH2258" s="97"/>
      <c r="AI2258" s="97"/>
      <c r="AJ2258" s="97"/>
      <c r="AK2258" s="97"/>
      <c r="AL2258" s="97"/>
      <c r="AM2258" s="97"/>
      <c r="AN2258" s="97"/>
      <c r="AO2258" s="97"/>
      <c r="AP2258" s="97"/>
      <c r="AQ2258" s="97"/>
    </row>
    <row r="2259" spans="2:43" s="101" customFormat="1" ht="15" customHeight="1">
      <c r="B2259" s="104"/>
      <c r="C2259" s="104"/>
      <c r="D2259" s="104"/>
      <c r="E2259" s="104"/>
      <c r="F2259" s="104"/>
      <c r="G2259" s="104"/>
      <c r="H2259" s="104"/>
      <c r="I2259" s="104"/>
      <c r="J2259" s="104"/>
      <c r="K2259" s="104"/>
      <c r="L2259" s="104"/>
      <c r="R2259" s="105"/>
      <c r="S2259" s="105"/>
      <c r="T2259" s="105"/>
      <c r="U2259" s="105"/>
      <c r="V2259" s="105"/>
      <c r="W2259" s="105"/>
      <c r="AD2259" s="106"/>
      <c r="AE2259" s="97"/>
      <c r="AF2259" s="97"/>
      <c r="AG2259" s="97"/>
      <c r="AH2259" s="97"/>
      <c r="AI2259" s="97"/>
      <c r="AJ2259" s="97"/>
      <c r="AK2259" s="97"/>
      <c r="AL2259" s="97"/>
      <c r="AM2259" s="97"/>
      <c r="AN2259" s="97"/>
      <c r="AO2259" s="97"/>
      <c r="AP2259" s="97"/>
      <c r="AQ2259" s="97"/>
    </row>
    <row r="2260" spans="2:43" s="101" customFormat="1" ht="15" customHeight="1">
      <c r="B2260" s="104"/>
      <c r="C2260" s="104"/>
      <c r="D2260" s="104"/>
      <c r="E2260" s="104"/>
      <c r="F2260" s="104"/>
      <c r="G2260" s="104"/>
      <c r="H2260" s="104"/>
      <c r="I2260" s="104"/>
      <c r="J2260" s="104"/>
      <c r="K2260" s="104"/>
      <c r="L2260" s="104"/>
      <c r="R2260" s="105"/>
      <c r="S2260" s="105"/>
      <c r="T2260" s="105"/>
      <c r="U2260" s="105"/>
      <c r="V2260" s="105"/>
      <c r="W2260" s="105"/>
      <c r="AD2260" s="106"/>
      <c r="AE2260" s="97"/>
      <c r="AF2260" s="97"/>
      <c r="AG2260" s="97"/>
      <c r="AH2260" s="97"/>
      <c r="AI2260" s="97"/>
      <c r="AJ2260" s="97"/>
      <c r="AK2260" s="97"/>
      <c r="AL2260" s="97"/>
      <c r="AM2260" s="97"/>
      <c r="AN2260" s="97"/>
      <c r="AO2260" s="97"/>
      <c r="AP2260" s="97"/>
      <c r="AQ2260" s="97"/>
    </row>
    <row r="2261" spans="2:43" s="101" customFormat="1" ht="15" customHeight="1">
      <c r="B2261" s="104"/>
      <c r="C2261" s="104"/>
      <c r="D2261" s="104"/>
      <c r="E2261" s="104"/>
      <c r="F2261" s="104"/>
      <c r="G2261" s="104"/>
      <c r="H2261" s="104"/>
      <c r="I2261" s="104"/>
      <c r="J2261" s="104"/>
      <c r="K2261" s="104"/>
      <c r="L2261" s="104"/>
      <c r="R2261" s="105"/>
      <c r="S2261" s="105"/>
      <c r="T2261" s="105"/>
      <c r="U2261" s="105"/>
      <c r="V2261" s="105"/>
      <c r="W2261" s="105"/>
      <c r="AD2261" s="106"/>
      <c r="AE2261" s="97"/>
      <c r="AF2261" s="97"/>
      <c r="AG2261" s="97"/>
      <c r="AH2261" s="97"/>
      <c r="AI2261" s="97"/>
      <c r="AJ2261" s="97"/>
      <c r="AK2261" s="97"/>
      <c r="AL2261" s="97"/>
      <c r="AM2261" s="97"/>
      <c r="AN2261" s="97"/>
      <c r="AO2261" s="97"/>
      <c r="AP2261" s="97"/>
      <c r="AQ2261" s="97"/>
    </row>
    <row r="2262" spans="2:43" s="101" customFormat="1" ht="15" customHeight="1">
      <c r="B2262" s="104"/>
      <c r="C2262" s="104"/>
      <c r="D2262" s="104"/>
      <c r="E2262" s="104"/>
      <c r="F2262" s="104"/>
      <c r="G2262" s="104"/>
      <c r="H2262" s="104"/>
      <c r="I2262" s="104"/>
      <c r="J2262" s="104"/>
      <c r="K2262" s="104"/>
      <c r="L2262" s="104"/>
      <c r="R2262" s="105"/>
      <c r="S2262" s="105"/>
      <c r="T2262" s="105"/>
      <c r="U2262" s="105"/>
      <c r="V2262" s="105"/>
      <c r="W2262" s="105"/>
      <c r="AD2262" s="106"/>
      <c r="AE2262" s="97"/>
      <c r="AF2262" s="97"/>
      <c r="AG2262" s="97"/>
      <c r="AH2262" s="97"/>
      <c r="AI2262" s="97"/>
      <c r="AJ2262" s="97"/>
      <c r="AK2262" s="97"/>
      <c r="AL2262" s="97"/>
      <c r="AM2262" s="97"/>
      <c r="AN2262" s="97"/>
      <c r="AO2262" s="97"/>
      <c r="AP2262" s="97"/>
      <c r="AQ2262" s="97"/>
    </row>
    <row r="2263" spans="2:43" s="101" customFormat="1" ht="15" customHeight="1">
      <c r="B2263" s="104"/>
      <c r="C2263" s="104"/>
      <c r="D2263" s="104"/>
      <c r="E2263" s="104"/>
      <c r="F2263" s="104"/>
      <c r="G2263" s="104"/>
      <c r="H2263" s="104"/>
      <c r="I2263" s="104"/>
      <c r="J2263" s="104"/>
      <c r="K2263" s="104"/>
      <c r="L2263" s="104"/>
      <c r="R2263" s="105"/>
      <c r="S2263" s="105"/>
      <c r="T2263" s="105"/>
      <c r="U2263" s="105"/>
      <c r="V2263" s="105"/>
      <c r="W2263" s="105"/>
      <c r="AD2263" s="106"/>
      <c r="AE2263" s="97"/>
      <c r="AF2263" s="97"/>
      <c r="AG2263" s="97"/>
      <c r="AH2263" s="97"/>
      <c r="AI2263" s="97"/>
      <c r="AJ2263" s="97"/>
      <c r="AK2263" s="97"/>
      <c r="AL2263" s="97"/>
      <c r="AM2263" s="97"/>
      <c r="AN2263" s="97"/>
      <c r="AO2263" s="97"/>
      <c r="AP2263" s="97"/>
      <c r="AQ2263" s="97"/>
    </row>
    <row r="2264" spans="2:43" s="101" customFormat="1" ht="15" customHeight="1">
      <c r="B2264" s="104"/>
      <c r="C2264" s="104"/>
      <c r="D2264" s="104"/>
      <c r="E2264" s="104"/>
      <c r="F2264" s="104"/>
      <c r="G2264" s="104"/>
      <c r="H2264" s="104"/>
      <c r="I2264" s="104"/>
      <c r="J2264" s="104"/>
      <c r="K2264" s="104"/>
      <c r="L2264" s="104"/>
      <c r="R2264" s="105"/>
      <c r="S2264" s="105"/>
      <c r="T2264" s="105"/>
      <c r="U2264" s="105"/>
      <c r="V2264" s="105"/>
      <c r="W2264" s="105"/>
      <c r="AD2264" s="106"/>
      <c r="AE2264" s="97"/>
      <c r="AF2264" s="97"/>
      <c r="AG2264" s="97"/>
      <c r="AH2264" s="97"/>
      <c r="AI2264" s="97"/>
      <c r="AJ2264" s="97"/>
      <c r="AK2264" s="97"/>
      <c r="AL2264" s="97"/>
      <c r="AM2264" s="97"/>
      <c r="AN2264" s="97"/>
      <c r="AO2264" s="97"/>
      <c r="AP2264" s="97"/>
      <c r="AQ2264" s="97"/>
    </row>
    <row r="2265" spans="2:43" s="101" customFormat="1" ht="15" customHeight="1">
      <c r="B2265" s="104"/>
      <c r="C2265" s="104"/>
      <c r="D2265" s="104"/>
      <c r="E2265" s="104"/>
      <c r="F2265" s="104"/>
      <c r="G2265" s="104"/>
      <c r="H2265" s="104"/>
      <c r="I2265" s="104"/>
      <c r="J2265" s="104"/>
      <c r="K2265" s="104"/>
      <c r="L2265" s="104"/>
      <c r="R2265" s="105"/>
      <c r="S2265" s="105"/>
      <c r="T2265" s="105"/>
      <c r="U2265" s="105"/>
      <c r="V2265" s="105"/>
      <c r="W2265" s="105"/>
      <c r="AD2265" s="106"/>
      <c r="AE2265" s="97"/>
      <c r="AF2265" s="97"/>
      <c r="AG2265" s="97"/>
      <c r="AH2265" s="97"/>
      <c r="AI2265" s="97"/>
      <c r="AJ2265" s="97"/>
      <c r="AK2265" s="97"/>
      <c r="AL2265" s="97"/>
      <c r="AM2265" s="97"/>
      <c r="AN2265" s="97"/>
      <c r="AO2265" s="97"/>
      <c r="AP2265" s="97"/>
      <c r="AQ2265" s="97"/>
    </row>
    <row r="2266" spans="2:43" s="101" customFormat="1" ht="15" customHeight="1">
      <c r="B2266" s="104"/>
      <c r="C2266" s="104"/>
      <c r="D2266" s="104"/>
      <c r="E2266" s="104"/>
      <c r="F2266" s="104"/>
      <c r="G2266" s="104"/>
      <c r="H2266" s="104"/>
      <c r="I2266" s="104"/>
      <c r="J2266" s="104"/>
      <c r="K2266" s="104"/>
      <c r="L2266" s="104"/>
      <c r="R2266" s="105"/>
      <c r="S2266" s="105"/>
      <c r="T2266" s="105"/>
      <c r="U2266" s="105"/>
      <c r="V2266" s="105"/>
      <c r="W2266" s="105"/>
      <c r="AD2266" s="106"/>
      <c r="AE2266" s="97"/>
      <c r="AF2266" s="97"/>
      <c r="AG2266" s="97"/>
      <c r="AH2266" s="97"/>
      <c r="AI2266" s="97"/>
      <c r="AJ2266" s="97"/>
      <c r="AK2266" s="97"/>
      <c r="AL2266" s="97"/>
      <c r="AM2266" s="97"/>
      <c r="AN2266" s="97"/>
      <c r="AO2266" s="97"/>
      <c r="AP2266" s="97"/>
      <c r="AQ2266" s="97"/>
    </row>
    <row r="2267" spans="2:43" s="101" customFormat="1" ht="15" customHeight="1">
      <c r="B2267" s="104"/>
      <c r="C2267" s="104"/>
      <c r="D2267" s="104"/>
      <c r="E2267" s="104"/>
      <c r="F2267" s="104"/>
      <c r="G2267" s="104"/>
      <c r="H2267" s="104"/>
      <c r="I2267" s="104"/>
      <c r="J2267" s="104"/>
      <c r="K2267" s="104"/>
      <c r="L2267" s="104"/>
      <c r="R2267" s="105"/>
      <c r="S2267" s="105"/>
      <c r="T2267" s="105"/>
      <c r="U2267" s="105"/>
      <c r="V2267" s="105"/>
      <c r="W2267" s="105"/>
      <c r="AD2267" s="106"/>
      <c r="AE2267" s="97"/>
      <c r="AF2267" s="97"/>
      <c r="AG2267" s="97"/>
      <c r="AH2267" s="97"/>
      <c r="AI2267" s="97"/>
      <c r="AJ2267" s="97"/>
      <c r="AK2267" s="97"/>
      <c r="AL2267" s="97"/>
      <c r="AM2267" s="97"/>
      <c r="AN2267" s="97"/>
      <c r="AO2267" s="97"/>
      <c r="AP2267" s="97"/>
      <c r="AQ2267" s="97"/>
    </row>
    <row r="2268" spans="2:43" s="101" customFormat="1" ht="15" customHeight="1">
      <c r="B2268" s="104"/>
      <c r="C2268" s="104"/>
      <c r="D2268" s="104"/>
      <c r="E2268" s="104"/>
      <c r="F2268" s="104"/>
      <c r="G2268" s="104"/>
      <c r="H2268" s="104"/>
      <c r="I2268" s="104"/>
      <c r="J2268" s="104"/>
      <c r="K2268" s="104"/>
      <c r="L2268" s="104"/>
      <c r="R2268" s="105"/>
      <c r="S2268" s="105"/>
      <c r="T2268" s="105"/>
      <c r="U2268" s="105"/>
      <c r="V2268" s="105"/>
      <c r="W2268" s="105"/>
      <c r="AD2268" s="106"/>
      <c r="AE2268" s="97"/>
      <c r="AF2268" s="97"/>
      <c r="AG2268" s="97"/>
      <c r="AH2268" s="97"/>
      <c r="AI2268" s="97"/>
      <c r="AJ2268" s="97"/>
      <c r="AK2268" s="97"/>
      <c r="AL2268" s="97"/>
      <c r="AM2268" s="97"/>
      <c r="AN2268" s="97"/>
      <c r="AO2268" s="97"/>
      <c r="AP2268" s="97"/>
      <c r="AQ2268" s="97"/>
    </row>
    <row r="2269" spans="2:43" s="101" customFormat="1" ht="15" customHeight="1">
      <c r="B2269" s="104"/>
      <c r="C2269" s="104"/>
      <c r="D2269" s="104"/>
      <c r="E2269" s="104"/>
      <c r="F2269" s="104"/>
      <c r="G2269" s="104"/>
      <c r="H2269" s="104"/>
      <c r="I2269" s="104"/>
      <c r="J2269" s="104"/>
      <c r="K2269" s="104"/>
      <c r="L2269" s="104"/>
      <c r="R2269" s="105"/>
      <c r="S2269" s="105"/>
      <c r="T2269" s="105"/>
      <c r="U2269" s="105"/>
      <c r="V2269" s="105"/>
      <c r="W2269" s="105"/>
      <c r="AD2269" s="106"/>
      <c r="AE2269" s="97"/>
      <c r="AF2269" s="97"/>
      <c r="AG2269" s="97"/>
      <c r="AH2269" s="97"/>
      <c r="AI2269" s="97"/>
      <c r="AJ2269" s="97"/>
      <c r="AK2269" s="97"/>
      <c r="AL2269" s="97"/>
      <c r="AM2269" s="97"/>
      <c r="AN2269" s="97"/>
      <c r="AO2269" s="97"/>
      <c r="AP2269" s="97"/>
      <c r="AQ2269" s="97"/>
    </row>
    <row r="2270" spans="2:43" s="101" customFormat="1" ht="15" customHeight="1">
      <c r="B2270" s="104"/>
      <c r="C2270" s="104"/>
      <c r="D2270" s="104"/>
      <c r="E2270" s="104"/>
      <c r="F2270" s="104"/>
      <c r="G2270" s="104"/>
      <c r="H2270" s="104"/>
      <c r="I2270" s="104"/>
      <c r="J2270" s="104"/>
      <c r="K2270" s="104"/>
      <c r="L2270" s="104"/>
      <c r="R2270" s="105"/>
      <c r="S2270" s="105"/>
      <c r="T2270" s="105"/>
      <c r="U2270" s="105"/>
      <c r="V2270" s="105"/>
      <c r="W2270" s="105"/>
      <c r="AD2270" s="106"/>
      <c r="AE2270" s="97"/>
      <c r="AF2270" s="97"/>
      <c r="AG2270" s="97"/>
      <c r="AH2270" s="97"/>
      <c r="AI2270" s="97"/>
      <c r="AJ2270" s="97"/>
      <c r="AK2270" s="97"/>
      <c r="AL2270" s="97"/>
      <c r="AM2270" s="97"/>
      <c r="AN2270" s="97"/>
      <c r="AO2270" s="97"/>
      <c r="AP2270" s="97"/>
      <c r="AQ2270" s="97"/>
    </row>
    <row r="2271" spans="2:43" s="101" customFormat="1" ht="15" customHeight="1">
      <c r="B2271" s="104"/>
      <c r="C2271" s="104"/>
      <c r="D2271" s="104"/>
      <c r="E2271" s="104"/>
      <c r="F2271" s="104"/>
      <c r="G2271" s="104"/>
      <c r="H2271" s="104"/>
      <c r="I2271" s="104"/>
      <c r="J2271" s="104"/>
      <c r="K2271" s="104"/>
      <c r="L2271" s="104"/>
      <c r="R2271" s="105"/>
      <c r="S2271" s="105"/>
      <c r="T2271" s="105"/>
      <c r="U2271" s="105"/>
      <c r="V2271" s="105"/>
      <c r="W2271" s="105"/>
      <c r="AD2271" s="106"/>
      <c r="AE2271" s="97"/>
      <c r="AF2271" s="97"/>
      <c r="AG2271" s="97"/>
      <c r="AH2271" s="97"/>
      <c r="AI2271" s="97"/>
      <c r="AJ2271" s="97"/>
      <c r="AK2271" s="97"/>
      <c r="AL2271" s="97"/>
      <c r="AM2271" s="97"/>
      <c r="AN2271" s="97"/>
      <c r="AO2271" s="97"/>
      <c r="AP2271" s="97"/>
      <c r="AQ2271" s="97"/>
    </row>
    <row r="2272" spans="2:43" s="101" customFormat="1" ht="15" customHeight="1">
      <c r="B2272" s="104"/>
      <c r="C2272" s="104"/>
      <c r="D2272" s="104"/>
      <c r="E2272" s="104"/>
      <c r="F2272" s="104"/>
      <c r="G2272" s="104"/>
      <c r="H2272" s="104"/>
      <c r="I2272" s="104"/>
      <c r="J2272" s="104"/>
      <c r="K2272" s="104"/>
      <c r="L2272" s="104"/>
      <c r="R2272" s="105"/>
      <c r="S2272" s="105"/>
      <c r="T2272" s="105"/>
      <c r="U2272" s="105"/>
      <c r="V2272" s="105"/>
      <c r="W2272" s="105"/>
      <c r="AD2272" s="106"/>
      <c r="AE2272" s="97"/>
      <c r="AF2272" s="97"/>
      <c r="AG2272" s="97"/>
      <c r="AH2272" s="97"/>
      <c r="AI2272" s="97"/>
      <c r="AJ2272" s="97"/>
      <c r="AK2272" s="97"/>
      <c r="AL2272" s="97"/>
      <c r="AM2272" s="97"/>
      <c r="AN2272" s="97"/>
      <c r="AO2272" s="97"/>
      <c r="AP2272" s="97"/>
      <c r="AQ2272" s="97"/>
    </row>
    <row r="2273" spans="2:43" s="101" customFormat="1" ht="15" customHeight="1">
      <c r="B2273" s="104"/>
      <c r="C2273" s="104"/>
      <c r="D2273" s="104"/>
      <c r="E2273" s="104"/>
      <c r="F2273" s="104"/>
      <c r="G2273" s="104"/>
      <c r="H2273" s="104"/>
      <c r="I2273" s="104"/>
      <c r="J2273" s="104"/>
      <c r="K2273" s="104"/>
      <c r="L2273" s="104"/>
      <c r="R2273" s="105"/>
      <c r="S2273" s="105"/>
      <c r="T2273" s="105"/>
      <c r="U2273" s="105"/>
      <c r="V2273" s="105"/>
      <c r="W2273" s="105"/>
      <c r="AD2273" s="106"/>
      <c r="AE2273" s="97"/>
      <c r="AF2273" s="97"/>
      <c r="AG2273" s="97"/>
      <c r="AH2273" s="97"/>
      <c r="AI2273" s="97"/>
      <c r="AJ2273" s="97"/>
      <c r="AK2273" s="97"/>
      <c r="AL2273" s="97"/>
      <c r="AM2273" s="97"/>
      <c r="AN2273" s="97"/>
      <c r="AO2273" s="97"/>
      <c r="AP2273" s="97"/>
      <c r="AQ2273" s="97"/>
    </row>
    <row r="2274" spans="2:43" s="101" customFormat="1" ht="15" customHeight="1">
      <c r="B2274" s="104"/>
      <c r="C2274" s="104"/>
      <c r="D2274" s="104"/>
      <c r="E2274" s="104"/>
      <c r="F2274" s="104"/>
      <c r="G2274" s="104"/>
      <c r="H2274" s="104"/>
      <c r="I2274" s="104"/>
      <c r="J2274" s="104"/>
      <c r="K2274" s="104"/>
      <c r="L2274" s="104"/>
      <c r="R2274" s="105"/>
      <c r="S2274" s="105"/>
      <c r="T2274" s="105"/>
      <c r="U2274" s="105"/>
      <c r="V2274" s="105"/>
      <c r="W2274" s="105"/>
      <c r="AD2274" s="106"/>
      <c r="AE2274" s="97"/>
      <c r="AF2274" s="97"/>
      <c r="AG2274" s="97"/>
      <c r="AH2274" s="97"/>
      <c r="AI2274" s="97"/>
      <c r="AJ2274" s="97"/>
      <c r="AK2274" s="97"/>
      <c r="AL2274" s="97"/>
      <c r="AM2274" s="97"/>
      <c r="AN2274" s="97"/>
      <c r="AO2274" s="97"/>
      <c r="AP2274" s="97"/>
      <c r="AQ2274" s="97"/>
    </row>
    <row r="2275" spans="2:43" s="101" customFormat="1" ht="15" customHeight="1">
      <c r="B2275" s="104"/>
      <c r="C2275" s="104"/>
      <c r="D2275" s="104"/>
      <c r="E2275" s="104"/>
      <c r="F2275" s="104"/>
      <c r="G2275" s="104"/>
      <c r="H2275" s="104"/>
      <c r="I2275" s="104"/>
      <c r="J2275" s="104"/>
      <c r="K2275" s="104"/>
      <c r="L2275" s="104"/>
      <c r="R2275" s="105"/>
      <c r="S2275" s="105"/>
      <c r="T2275" s="105"/>
      <c r="U2275" s="105"/>
      <c r="V2275" s="105"/>
      <c r="W2275" s="105"/>
      <c r="AD2275" s="106"/>
      <c r="AE2275" s="97"/>
      <c r="AF2275" s="97"/>
      <c r="AG2275" s="97"/>
      <c r="AH2275" s="97"/>
      <c r="AI2275" s="97"/>
      <c r="AJ2275" s="97"/>
      <c r="AK2275" s="97"/>
      <c r="AL2275" s="97"/>
      <c r="AM2275" s="97"/>
      <c r="AN2275" s="97"/>
      <c r="AO2275" s="97"/>
      <c r="AP2275" s="97"/>
      <c r="AQ2275" s="97"/>
    </row>
    <row r="2276" spans="2:43" s="101" customFormat="1" ht="15" customHeight="1">
      <c r="B2276" s="104"/>
      <c r="C2276" s="104"/>
      <c r="D2276" s="104"/>
      <c r="E2276" s="104"/>
      <c r="F2276" s="104"/>
      <c r="G2276" s="104"/>
      <c r="H2276" s="104"/>
      <c r="I2276" s="104"/>
      <c r="J2276" s="104"/>
      <c r="K2276" s="104"/>
      <c r="L2276" s="104"/>
      <c r="R2276" s="105"/>
      <c r="S2276" s="105"/>
      <c r="T2276" s="105"/>
      <c r="U2276" s="105"/>
      <c r="V2276" s="105"/>
      <c r="W2276" s="105"/>
      <c r="AD2276" s="106"/>
      <c r="AE2276" s="97"/>
      <c r="AF2276" s="97"/>
      <c r="AG2276" s="97"/>
      <c r="AH2276" s="97"/>
      <c r="AI2276" s="97"/>
      <c r="AJ2276" s="97"/>
      <c r="AK2276" s="97"/>
      <c r="AL2276" s="97"/>
      <c r="AM2276" s="97"/>
      <c r="AN2276" s="97"/>
      <c r="AO2276" s="97"/>
      <c r="AP2276" s="97"/>
      <c r="AQ2276" s="97"/>
    </row>
    <row r="2277" spans="2:43" s="101" customFormat="1" ht="15" customHeight="1">
      <c r="B2277" s="104"/>
      <c r="C2277" s="104"/>
      <c r="D2277" s="104"/>
      <c r="E2277" s="104"/>
      <c r="F2277" s="104"/>
      <c r="G2277" s="104"/>
      <c r="H2277" s="104"/>
      <c r="I2277" s="104"/>
      <c r="J2277" s="104"/>
      <c r="K2277" s="104"/>
      <c r="L2277" s="104"/>
      <c r="R2277" s="105"/>
      <c r="S2277" s="105"/>
      <c r="T2277" s="105"/>
      <c r="U2277" s="105"/>
      <c r="V2277" s="105"/>
      <c r="W2277" s="105"/>
      <c r="AD2277" s="106"/>
      <c r="AE2277" s="97"/>
      <c r="AF2277" s="97"/>
      <c r="AG2277" s="97"/>
      <c r="AH2277" s="97"/>
      <c r="AI2277" s="97"/>
      <c r="AJ2277" s="97"/>
      <c r="AK2277" s="97"/>
      <c r="AL2277" s="97"/>
      <c r="AM2277" s="97"/>
      <c r="AN2277" s="97"/>
      <c r="AO2277" s="97"/>
      <c r="AP2277" s="97"/>
      <c r="AQ2277" s="97"/>
    </row>
    <row r="2278" spans="2:43" s="101" customFormat="1" ht="15" customHeight="1">
      <c r="B2278" s="104"/>
      <c r="C2278" s="104"/>
      <c r="D2278" s="104"/>
      <c r="E2278" s="104"/>
      <c r="F2278" s="104"/>
      <c r="G2278" s="104"/>
      <c r="H2278" s="104"/>
      <c r="I2278" s="104"/>
      <c r="J2278" s="104"/>
      <c r="K2278" s="104"/>
      <c r="L2278" s="104"/>
      <c r="R2278" s="105"/>
      <c r="S2278" s="105"/>
      <c r="T2278" s="105"/>
      <c r="U2278" s="105"/>
      <c r="V2278" s="105"/>
      <c r="W2278" s="105"/>
      <c r="AD2278" s="106"/>
      <c r="AE2278" s="97"/>
      <c r="AF2278" s="97"/>
      <c r="AG2278" s="97"/>
      <c r="AH2278" s="97"/>
      <c r="AI2278" s="97"/>
      <c r="AJ2278" s="97"/>
      <c r="AK2278" s="97"/>
      <c r="AL2278" s="97"/>
      <c r="AM2278" s="97"/>
      <c r="AN2278" s="97"/>
      <c r="AO2278" s="97"/>
      <c r="AP2278" s="97"/>
      <c r="AQ2278" s="97"/>
    </row>
    <row r="2279" spans="2:43" s="101" customFormat="1" ht="15" customHeight="1">
      <c r="B2279" s="104"/>
      <c r="C2279" s="104"/>
      <c r="D2279" s="104"/>
      <c r="E2279" s="104"/>
      <c r="F2279" s="104"/>
      <c r="G2279" s="104"/>
      <c r="H2279" s="104"/>
      <c r="I2279" s="104"/>
      <c r="J2279" s="104"/>
      <c r="K2279" s="104"/>
      <c r="L2279" s="104"/>
      <c r="R2279" s="105"/>
      <c r="S2279" s="105"/>
      <c r="T2279" s="105"/>
      <c r="U2279" s="105"/>
      <c r="V2279" s="105"/>
      <c r="W2279" s="105"/>
      <c r="AD2279" s="106"/>
      <c r="AE2279" s="97"/>
      <c r="AF2279" s="97"/>
      <c r="AG2279" s="97"/>
      <c r="AH2279" s="97"/>
      <c r="AI2279" s="97"/>
      <c r="AJ2279" s="97"/>
      <c r="AK2279" s="97"/>
      <c r="AL2279" s="97"/>
      <c r="AM2279" s="97"/>
      <c r="AN2279" s="97"/>
      <c r="AO2279" s="97"/>
      <c r="AP2279" s="97"/>
      <c r="AQ2279" s="97"/>
    </row>
    <row r="2280" spans="2:43" s="101" customFormat="1" ht="15" customHeight="1">
      <c r="B2280" s="104"/>
      <c r="C2280" s="104"/>
      <c r="D2280" s="104"/>
      <c r="E2280" s="104"/>
      <c r="F2280" s="104"/>
      <c r="G2280" s="104"/>
      <c r="H2280" s="104"/>
      <c r="I2280" s="104"/>
      <c r="J2280" s="104"/>
      <c r="K2280" s="104"/>
      <c r="L2280" s="104"/>
      <c r="R2280" s="105"/>
      <c r="S2280" s="105"/>
      <c r="T2280" s="105"/>
      <c r="U2280" s="105"/>
      <c r="V2280" s="105"/>
      <c r="W2280" s="105"/>
      <c r="AD2280" s="106"/>
      <c r="AE2280" s="97"/>
      <c r="AF2280" s="97"/>
      <c r="AG2280" s="97"/>
      <c r="AH2280" s="97"/>
      <c r="AI2280" s="97"/>
      <c r="AJ2280" s="97"/>
      <c r="AK2280" s="97"/>
      <c r="AL2280" s="97"/>
      <c r="AM2280" s="97"/>
      <c r="AN2280" s="97"/>
      <c r="AO2280" s="97"/>
      <c r="AP2280" s="97"/>
      <c r="AQ2280" s="97"/>
    </row>
    <row r="2281" spans="2:43" s="101" customFormat="1" ht="15" customHeight="1">
      <c r="B2281" s="104"/>
      <c r="C2281" s="104"/>
      <c r="D2281" s="104"/>
      <c r="E2281" s="104"/>
      <c r="F2281" s="104"/>
      <c r="G2281" s="104"/>
      <c r="H2281" s="104"/>
      <c r="I2281" s="104"/>
      <c r="J2281" s="104"/>
      <c r="K2281" s="104"/>
      <c r="L2281" s="104"/>
      <c r="R2281" s="105"/>
      <c r="S2281" s="105"/>
      <c r="T2281" s="105"/>
      <c r="U2281" s="105"/>
      <c r="V2281" s="105"/>
      <c r="W2281" s="105"/>
      <c r="AD2281" s="106"/>
      <c r="AE2281" s="97"/>
      <c r="AF2281" s="97"/>
      <c r="AG2281" s="97"/>
      <c r="AH2281" s="97"/>
      <c r="AI2281" s="97"/>
      <c r="AJ2281" s="97"/>
      <c r="AK2281" s="97"/>
      <c r="AL2281" s="97"/>
      <c r="AM2281" s="97"/>
      <c r="AN2281" s="97"/>
      <c r="AO2281" s="97"/>
      <c r="AP2281" s="97"/>
      <c r="AQ2281" s="97"/>
    </row>
    <row r="2282" spans="2:43" s="101" customFormat="1" ht="15" customHeight="1">
      <c r="B2282" s="104"/>
      <c r="C2282" s="104"/>
      <c r="D2282" s="104"/>
      <c r="E2282" s="104"/>
      <c r="F2282" s="104"/>
      <c r="G2282" s="104"/>
      <c r="H2282" s="104"/>
      <c r="I2282" s="104"/>
      <c r="J2282" s="104"/>
      <c r="K2282" s="104"/>
      <c r="L2282" s="104"/>
      <c r="R2282" s="105"/>
      <c r="S2282" s="105"/>
      <c r="T2282" s="105"/>
      <c r="U2282" s="105"/>
      <c r="V2282" s="105"/>
      <c r="W2282" s="105"/>
      <c r="AD2282" s="106"/>
      <c r="AE2282" s="97"/>
      <c r="AF2282" s="97"/>
      <c r="AG2282" s="97"/>
      <c r="AH2282" s="97"/>
      <c r="AI2282" s="97"/>
      <c r="AJ2282" s="97"/>
      <c r="AK2282" s="97"/>
      <c r="AL2282" s="97"/>
      <c r="AM2282" s="97"/>
      <c r="AN2282" s="97"/>
      <c r="AO2282" s="97"/>
      <c r="AP2282" s="97"/>
      <c r="AQ2282" s="97"/>
    </row>
    <row r="2283" spans="2:43" s="101" customFormat="1" ht="15" customHeight="1">
      <c r="B2283" s="104"/>
      <c r="C2283" s="104"/>
      <c r="D2283" s="104"/>
      <c r="E2283" s="104"/>
      <c r="F2283" s="104"/>
      <c r="G2283" s="104"/>
      <c r="H2283" s="104"/>
      <c r="I2283" s="104"/>
      <c r="J2283" s="104"/>
      <c r="K2283" s="104"/>
      <c r="L2283" s="104"/>
      <c r="R2283" s="105"/>
      <c r="S2283" s="105"/>
      <c r="T2283" s="105"/>
      <c r="U2283" s="105"/>
      <c r="V2283" s="105"/>
      <c r="W2283" s="105"/>
      <c r="AD2283" s="106"/>
      <c r="AE2283" s="97"/>
      <c r="AF2283" s="97"/>
      <c r="AG2283" s="97"/>
      <c r="AH2283" s="97"/>
      <c r="AI2283" s="97"/>
      <c r="AJ2283" s="97"/>
      <c r="AK2283" s="97"/>
      <c r="AL2283" s="97"/>
      <c r="AM2283" s="97"/>
      <c r="AN2283" s="97"/>
      <c r="AO2283" s="97"/>
      <c r="AP2283" s="97"/>
      <c r="AQ2283" s="97"/>
    </row>
    <row r="2284" spans="2:43" s="101" customFormat="1" ht="15" customHeight="1">
      <c r="B2284" s="104"/>
      <c r="C2284" s="104"/>
      <c r="D2284" s="104"/>
      <c r="E2284" s="104"/>
      <c r="F2284" s="104"/>
      <c r="G2284" s="104"/>
      <c r="H2284" s="104"/>
      <c r="I2284" s="104"/>
      <c r="J2284" s="104"/>
      <c r="K2284" s="104"/>
      <c r="L2284" s="104"/>
      <c r="R2284" s="105"/>
      <c r="S2284" s="105"/>
      <c r="T2284" s="105"/>
      <c r="U2284" s="105"/>
      <c r="V2284" s="105"/>
      <c r="W2284" s="105"/>
      <c r="AD2284" s="106"/>
      <c r="AE2284" s="97"/>
      <c r="AF2284" s="97"/>
      <c r="AG2284" s="97"/>
      <c r="AH2284" s="97"/>
      <c r="AI2284" s="97"/>
      <c r="AJ2284" s="97"/>
      <c r="AK2284" s="97"/>
      <c r="AL2284" s="97"/>
      <c r="AM2284" s="97"/>
      <c r="AN2284" s="97"/>
      <c r="AO2284" s="97"/>
      <c r="AP2284" s="97"/>
      <c r="AQ2284" s="97"/>
    </row>
    <row r="2285" spans="2:43" s="101" customFormat="1" ht="15" customHeight="1">
      <c r="B2285" s="104"/>
      <c r="C2285" s="104"/>
      <c r="D2285" s="104"/>
      <c r="E2285" s="104"/>
      <c r="F2285" s="104"/>
      <c r="G2285" s="104"/>
      <c r="H2285" s="104"/>
      <c r="I2285" s="104"/>
      <c r="J2285" s="104"/>
      <c r="K2285" s="104"/>
      <c r="L2285" s="104"/>
      <c r="R2285" s="105"/>
      <c r="S2285" s="105"/>
      <c r="T2285" s="105"/>
      <c r="U2285" s="105"/>
      <c r="V2285" s="105"/>
      <c r="W2285" s="105"/>
      <c r="AD2285" s="106"/>
      <c r="AE2285" s="97"/>
      <c r="AF2285" s="97"/>
      <c r="AG2285" s="97"/>
      <c r="AH2285" s="97"/>
      <c r="AI2285" s="97"/>
      <c r="AJ2285" s="97"/>
      <c r="AK2285" s="97"/>
      <c r="AL2285" s="97"/>
      <c r="AM2285" s="97"/>
      <c r="AN2285" s="97"/>
      <c r="AO2285" s="97"/>
      <c r="AP2285" s="97"/>
      <c r="AQ2285" s="97"/>
    </row>
    <row r="2286" spans="2:43" s="101" customFormat="1" ht="15" customHeight="1">
      <c r="B2286" s="104"/>
      <c r="C2286" s="104"/>
      <c r="D2286" s="104"/>
      <c r="E2286" s="104"/>
      <c r="F2286" s="104"/>
      <c r="G2286" s="104"/>
      <c r="H2286" s="104"/>
      <c r="I2286" s="104"/>
      <c r="J2286" s="104"/>
      <c r="K2286" s="104"/>
      <c r="L2286" s="104"/>
      <c r="R2286" s="105"/>
      <c r="S2286" s="105"/>
      <c r="T2286" s="105"/>
      <c r="U2286" s="105"/>
      <c r="V2286" s="105"/>
      <c r="W2286" s="105"/>
      <c r="AD2286" s="106"/>
      <c r="AE2286" s="97"/>
      <c r="AF2286" s="97"/>
      <c r="AG2286" s="97"/>
      <c r="AH2286" s="97"/>
      <c r="AI2286" s="97"/>
      <c r="AJ2286" s="97"/>
      <c r="AK2286" s="97"/>
      <c r="AL2286" s="97"/>
      <c r="AM2286" s="97"/>
      <c r="AN2286" s="97"/>
      <c r="AO2286" s="97"/>
      <c r="AP2286" s="97"/>
      <c r="AQ2286" s="97"/>
    </row>
    <row r="2287" spans="2:43" s="101" customFormat="1" ht="15" customHeight="1">
      <c r="B2287" s="104"/>
      <c r="C2287" s="104"/>
      <c r="D2287" s="104"/>
      <c r="E2287" s="104"/>
      <c r="F2287" s="104"/>
      <c r="G2287" s="104"/>
      <c r="H2287" s="104"/>
      <c r="I2287" s="104"/>
      <c r="J2287" s="104"/>
      <c r="K2287" s="104"/>
      <c r="L2287" s="104"/>
      <c r="R2287" s="105"/>
      <c r="S2287" s="105"/>
      <c r="T2287" s="105"/>
      <c r="U2287" s="105"/>
      <c r="V2287" s="105"/>
      <c r="W2287" s="105"/>
      <c r="AD2287" s="106"/>
      <c r="AE2287" s="97"/>
      <c r="AF2287" s="97"/>
      <c r="AG2287" s="97"/>
      <c r="AH2287" s="97"/>
      <c r="AI2287" s="97"/>
      <c r="AJ2287" s="97"/>
      <c r="AK2287" s="97"/>
      <c r="AL2287" s="97"/>
      <c r="AM2287" s="97"/>
      <c r="AN2287" s="97"/>
      <c r="AO2287" s="97"/>
      <c r="AP2287" s="97"/>
      <c r="AQ2287" s="97"/>
    </row>
    <row r="2288" spans="2:43" s="101" customFormat="1" ht="15" customHeight="1">
      <c r="B2288" s="104"/>
      <c r="C2288" s="104"/>
      <c r="D2288" s="104"/>
      <c r="E2288" s="104"/>
      <c r="F2288" s="104"/>
      <c r="G2288" s="104"/>
      <c r="H2288" s="104"/>
      <c r="I2288" s="104"/>
      <c r="J2288" s="104"/>
      <c r="K2288" s="104"/>
      <c r="L2288" s="104"/>
      <c r="R2288" s="105"/>
      <c r="S2288" s="105"/>
      <c r="T2288" s="105"/>
      <c r="U2288" s="105"/>
      <c r="V2288" s="105"/>
      <c r="W2288" s="105"/>
      <c r="AD2288" s="106"/>
      <c r="AE2288" s="97"/>
      <c r="AF2288" s="97"/>
      <c r="AG2288" s="97"/>
      <c r="AH2288" s="97"/>
      <c r="AI2288" s="97"/>
      <c r="AJ2288" s="97"/>
      <c r="AK2288" s="97"/>
      <c r="AL2288" s="97"/>
      <c r="AM2288" s="97"/>
      <c r="AN2288" s="97"/>
      <c r="AO2288" s="97"/>
      <c r="AP2288" s="97"/>
      <c r="AQ2288" s="97"/>
    </row>
    <row r="2289" spans="2:43" s="101" customFormat="1" ht="15" customHeight="1">
      <c r="B2289" s="104"/>
      <c r="C2289" s="104"/>
      <c r="D2289" s="104"/>
      <c r="E2289" s="104"/>
      <c r="F2289" s="104"/>
      <c r="G2289" s="104"/>
      <c r="H2289" s="104"/>
      <c r="I2289" s="104"/>
      <c r="J2289" s="104"/>
      <c r="K2289" s="104"/>
      <c r="L2289" s="104"/>
      <c r="R2289" s="105"/>
      <c r="S2289" s="105"/>
      <c r="T2289" s="105"/>
      <c r="U2289" s="105"/>
      <c r="V2289" s="105"/>
      <c r="W2289" s="105"/>
      <c r="AD2289" s="106"/>
      <c r="AE2289" s="97"/>
      <c r="AF2289" s="97"/>
      <c r="AG2289" s="97"/>
      <c r="AH2289" s="97"/>
      <c r="AI2289" s="97"/>
      <c r="AJ2289" s="97"/>
      <c r="AK2289" s="97"/>
      <c r="AL2289" s="97"/>
      <c r="AM2289" s="97"/>
      <c r="AN2289" s="97"/>
      <c r="AO2289" s="97"/>
      <c r="AP2289" s="97"/>
      <c r="AQ2289" s="97"/>
    </row>
    <row r="2290" spans="2:43" s="101" customFormat="1" ht="15" customHeight="1">
      <c r="B2290" s="104"/>
      <c r="C2290" s="104"/>
      <c r="D2290" s="104"/>
      <c r="E2290" s="104"/>
      <c r="F2290" s="104"/>
      <c r="G2290" s="104"/>
      <c r="H2290" s="104"/>
      <c r="I2290" s="104"/>
      <c r="J2290" s="104"/>
      <c r="K2290" s="104"/>
      <c r="L2290" s="104"/>
      <c r="R2290" s="105"/>
      <c r="S2290" s="105"/>
      <c r="T2290" s="105"/>
      <c r="U2290" s="105"/>
      <c r="V2290" s="105"/>
      <c r="W2290" s="105"/>
      <c r="AD2290" s="106"/>
      <c r="AE2290" s="97"/>
      <c r="AF2290" s="97"/>
      <c r="AG2290" s="97"/>
      <c r="AH2290" s="97"/>
      <c r="AI2290" s="97"/>
      <c r="AJ2290" s="97"/>
      <c r="AK2290" s="97"/>
      <c r="AL2290" s="97"/>
      <c r="AM2290" s="97"/>
      <c r="AN2290" s="97"/>
      <c r="AO2290" s="97"/>
      <c r="AP2290" s="97"/>
      <c r="AQ2290" s="97"/>
    </row>
    <row r="2291" spans="2:43" s="101" customFormat="1" ht="15" customHeight="1">
      <c r="B2291" s="104"/>
      <c r="C2291" s="104"/>
      <c r="D2291" s="104"/>
      <c r="E2291" s="104"/>
      <c r="F2291" s="104"/>
      <c r="G2291" s="104"/>
      <c r="H2291" s="104"/>
      <c r="I2291" s="104"/>
      <c r="J2291" s="104"/>
      <c r="K2291" s="104"/>
      <c r="L2291" s="104"/>
      <c r="R2291" s="105"/>
      <c r="S2291" s="105"/>
      <c r="T2291" s="105"/>
      <c r="U2291" s="105"/>
      <c r="V2291" s="105"/>
      <c r="W2291" s="105"/>
      <c r="AD2291" s="106"/>
      <c r="AE2291" s="97"/>
      <c r="AF2291" s="97"/>
      <c r="AG2291" s="97"/>
      <c r="AH2291" s="97"/>
      <c r="AI2291" s="97"/>
      <c r="AJ2291" s="97"/>
      <c r="AK2291" s="97"/>
      <c r="AL2291" s="97"/>
      <c r="AM2291" s="97"/>
      <c r="AN2291" s="97"/>
      <c r="AO2291" s="97"/>
      <c r="AP2291" s="97"/>
      <c r="AQ2291" s="97"/>
    </row>
    <row r="2292" spans="2:43" s="101" customFormat="1" ht="15" customHeight="1">
      <c r="B2292" s="104"/>
      <c r="C2292" s="104"/>
      <c r="D2292" s="104"/>
      <c r="E2292" s="104"/>
      <c r="F2292" s="104"/>
      <c r="G2292" s="104"/>
      <c r="H2292" s="104"/>
      <c r="I2292" s="104"/>
      <c r="J2292" s="104"/>
      <c r="K2292" s="104"/>
      <c r="L2292" s="104"/>
      <c r="R2292" s="105"/>
      <c r="S2292" s="105"/>
      <c r="T2292" s="105"/>
      <c r="U2292" s="105"/>
      <c r="V2292" s="105"/>
      <c r="W2292" s="105"/>
      <c r="AD2292" s="106"/>
      <c r="AE2292" s="97"/>
      <c r="AF2292" s="97"/>
      <c r="AG2292" s="97"/>
      <c r="AH2292" s="97"/>
      <c r="AI2292" s="97"/>
      <c r="AJ2292" s="97"/>
      <c r="AK2292" s="97"/>
      <c r="AL2292" s="97"/>
      <c r="AM2292" s="97"/>
      <c r="AN2292" s="97"/>
      <c r="AO2292" s="97"/>
      <c r="AP2292" s="97"/>
      <c r="AQ2292" s="97"/>
    </row>
    <row r="2293" spans="2:43" s="101" customFormat="1" ht="15" customHeight="1">
      <c r="B2293" s="104"/>
      <c r="C2293" s="104"/>
      <c r="D2293" s="104"/>
      <c r="E2293" s="104"/>
      <c r="F2293" s="104"/>
      <c r="G2293" s="104"/>
      <c r="H2293" s="104"/>
      <c r="I2293" s="104"/>
      <c r="J2293" s="104"/>
      <c r="K2293" s="104"/>
      <c r="L2293" s="104"/>
      <c r="R2293" s="105"/>
      <c r="S2293" s="105"/>
      <c r="T2293" s="105"/>
      <c r="U2293" s="105"/>
      <c r="V2293" s="105"/>
      <c r="W2293" s="105"/>
      <c r="AD2293" s="106"/>
      <c r="AE2293" s="97"/>
      <c r="AF2293" s="97"/>
      <c r="AG2293" s="97"/>
      <c r="AH2293" s="97"/>
      <c r="AI2293" s="97"/>
      <c r="AJ2293" s="97"/>
      <c r="AK2293" s="97"/>
      <c r="AL2293" s="97"/>
      <c r="AM2293" s="97"/>
      <c r="AN2293" s="97"/>
      <c r="AO2293" s="97"/>
      <c r="AP2293" s="97"/>
      <c r="AQ2293" s="97"/>
    </row>
    <row r="2294" spans="2:43" s="101" customFormat="1" ht="15" customHeight="1">
      <c r="B2294" s="104"/>
      <c r="C2294" s="104"/>
      <c r="D2294" s="104"/>
      <c r="E2294" s="104"/>
      <c r="F2294" s="104"/>
      <c r="G2294" s="104"/>
      <c r="H2294" s="104"/>
      <c r="I2294" s="104"/>
      <c r="J2294" s="104"/>
      <c r="K2294" s="104"/>
      <c r="L2294" s="104"/>
      <c r="R2294" s="105"/>
      <c r="S2294" s="105"/>
      <c r="T2294" s="105"/>
      <c r="U2294" s="105"/>
      <c r="V2294" s="105"/>
      <c r="W2294" s="105"/>
      <c r="AD2294" s="106"/>
      <c r="AE2294" s="97"/>
      <c r="AF2294" s="97"/>
      <c r="AG2294" s="97"/>
      <c r="AH2294" s="97"/>
      <c r="AI2294" s="97"/>
      <c r="AJ2294" s="97"/>
      <c r="AK2294" s="97"/>
      <c r="AL2294" s="97"/>
      <c r="AM2294" s="97"/>
      <c r="AN2294" s="97"/>
      <c r="AO2294" s="97"/>
      <c r="AP2294" s="97"/>
      <c r="AQ2294" s="97"/>
    </row>
    <row r="2295" spans="2:43" s="101" customFormat="1" ht="15" customHeight="1">
      <c r="B2295" s="104"/>
      <c r="C2295" s="104"/>
      <c r="D2295" s="104"/>
      <c r="E2295" s="104"/>
      <c r="F2295" s="104"/>
      <c r="G2295" s="104"/>
      <c r="H2295" s="104"/>
      <c r="I2295" s="104"/>
      <c r="J2295" s="104"/>
      <c r="K2295" s="104"/>
      <c r="L2295" s="104"/>
      <c r="R2295" s="105"/>
      <c r="S2295" s="105"/>
      <c r="T2295" s="105"/>
      <c r="U2295" s="105"/>
      <c r="V2295" s="105"/>
      <c r="W2295" s="105"/>
      <c r="AD2295" s="106"/>
      <c r="AE2295" s="97"/>
      <c r="AF2295" s="97"/>
      <c r="AG2295" s="97"/>
      <c r="AH2295" s="97"/>
      <c r="AI2295" s="97"/>
      <c r="AJ2295" s="97"/>
      <c r="AK2295" s="97"/>
      <c r="AL2295" s="97"/>
      <c r="AM2295" s="97"/>
      <c r="AN2295" s="97"/>
      <c r="AO2295" s="97"/>
      <c r="AP2295" s="97"/>
      <c r="AQ2295" s="97"/>
    </row>
    <row r="2296" spans="2:43" s="101" customFormat="1" ht="15" customHeight="1">
      <c r="B2296" s="104"/>
      <c r="C2296" s="104"/>
      <c r="D2296" s="104"/>
      <c r="E2296" s="104"/>
      <c r="F2296" s="104"/>
      <c r="G2296" s="104"/>
      <c r="H2296" s="104"/>
      <c r="I2296" s="104"/>
      <c r="J2296" s="104"/>
      <c r="K2296" s="104"/>
      <c r="L2296" s="104"/>
      <c r="R2296" s="105"/>
      <c r="S2296" s="105"/>
      <c r="T2296" s="105"/>
      <c r="U2296" s="105"/>
      <c r="V2296" s="105"/>
      <c r="W2296" s="105"/>
      <c r="AD2296" s="106"/>
      <c r="AE2296" s="97"/>
      <c r="AF2296" s="97"/>
      <c r="AG2296" s="97"/>
      <c r="AH2296" s="97"/>
      <c r="AI2296" s="97"/>
      <c r="AJ2296" s="97"/>
      <c r="AK2296" s="97"/>
      <c r="AL2296" s="97"/>
      <c r="AM2296" s="97"/>
      <c r="AN2296" s="97"/>
      <c r="AO2296" s="97"/>
      <c r="AP2296" s="97"/>
      <c r="AQ2296" s="97"/>
    </row>
    <row r="2297" spans="2:43" s="101" customFormat="1" ht="15" customHeight="1">
      <c r="B2297" s="104"/>
      <c r="C2297" s="104"/>
      <c r="D2297" s="104"/>
      <c r="E2297" s="104"/>
      <c r="F2297" s="104"/>
      <c r="G2297" s="104"/>
      <c r="H2297" s="104"/>
      <c r="I2297" s="104"/>
      <c r="J2297" s="104"/>
      <c r="K2297" s="104"/>
      <c r="L2297" s="104"/>
      <c r="R2297" s="105"/>
      <c r="S2297" s="105"/>
      <c r="T2297" s="105"/>
      <c r="U2297" s="105"/>
      <c r="V2297" s="105"/>
      <c r="W2297" s="105"/>
      <c r="AD2297" s="106"/>
      <c r="AE2297" s="97"/>
      <c r="AF2297" s="97"/>
      <c r="AG2297" s="97"/>
      <c r="AH2297" s="97"/>
      <c r="AI2297" s="97"/>
      <c r="AJ2297" s="97"/>
      <c r="AK2297" s="97"/>
      <c r="AL2297" s="97"/>
      <c r="AM2297" s="97"/>
      <c r="AN2297" s="97"/>
      <c r="AO2297" s="97"/>
      <c r="AP2297" s="97"/>
      <c r="AQ2297" s="97"/>
    </row>
    <row r="2298" spans="2:43" s="101" customFormat="1" ht="15" customHeight="1">
      <c r="B2298" s="104"/>
      <c r="C2298" s="104"/>
      <c r="D2298" s="104"/>
      <c r="E2298" s="104"/>
      <c r="F2298" s="104"/>
      <c r="G2298" s="104"/>
      <c r="H2298" s="104"/>
      <c r="I2298" s="104"/>
      <c r="J2298" s="104"/>
      <c r="K2298" s="104"/>
      <c r="L2298" s="104"/>
      <c r="R2298" s="105"/>
      <c r="S2298" s="105"/>
      <c r="T2298" s="105"/>
      <c r="U2298" s="105"/>
      <c r="V2298" s="105"/>
      <c r="W2298" s="105"/>
      <c r="AD2298" s="106"/>
      <c r="AE2298" s="97"/>
      <c r="AF2298" s="97"/>
      <c r="AG2298" s="97"/>
      <c r="AH2298" s="97"/>
      <c r="AI2298" s="97"/>
      <c r="AJ2298" s="97"/>
      <c r="AK2298" s="97"/>
      <c r="AL2298" s="97"/>
      <c r="AM2298" s="97"/>
      <c r="AN2298" s="97"/>
      <c r="AO2298" s="97"/>
      <c r="AP2298" s="97"/>
      <c r="AQ2298" s="97"/>
    </row>
    <row r="2299" spans="2:43" s="101" customFormat="1" ht="15" customHeight="1">
      <c r="B2299" s="104"/>
      <c r="C2299" s="104"/>
      <c r="D2299" s="104"/>
      <c r="E2299" s="104"/>
      <c r="F2299" s="104"/>
      <c r="G2299" s="104"/>
      <c r="H2299" s="104"/>
      <c r="I2299" s="104"/>
      <c r="J2299" s="104"/>
      <c r="K2299" s="104"/>
      <c r="L2299" s="104"/>
      <c r="R2299" s="105"/>
      <c r="S2299" s="105"/>
      <c r="T2299" s="105"/>
      <c r="U2299" s="105"/>
      <c r="V2299" s="105"/>
      <c r="W2299" s="105"/>
      <c r="AD2299" s="106"/>
      <c r="AE2299" s="97"/>
      <c r="AF2299" s="97"/>
      <c r="AG2299" s="97"/>
      <c r="AH2299" s="97"/>
      <c r="AI2299" s="97"/>
      <c r="AJ2299" s="97"/>
      <c r="AK2299" s="97"/>
      <c r="AL2299" s="97"/>
      <c r="AM2299" s="97"/>
      <c r="AN2299" s="97"/>
      <c r="AO2299" s="97"/>
      <c r="AP2299" s="97"/>
      <c r="AQ2299" s="97"/>
    </row>
    <row r="2300" spans="2:43" s="101" customFormat="1" ht="15" customHeight="1">
      <c r="B2300" s="104"/>
      <c r="C2300" s="104"/>
      <c r="D2300" s="104"/>
      <c r="E2300" s="104"/>
      <c r="F2300" s="104"/>
      <c r="G2300" s="104"/>
      <c r="H2300" s="104"/>
      <c r="I2300" s="104"/>
      <c r="J2300" s="104"/>
      <c r="K2300" s="104"/>
      <c r="L2300" s="104"/>
      <c r="R2300" s="105"/>
      <c r="S2300" s="105"/>
      <c r="T2300" s="105"/>
      <c r="U2300" s="105"/>
      <c r="V2300" s="105"/>
      <c r="W2300" s="105"/>
      <c r="AD2300" s="106"/>
      <c r="AE2300" s="97"/>
      <c r="AF2300" s="97"/>
      <c r="AG2300" s="97"/>
      <c r="AH2300" s="97"/>
      <c r="AI2300" s="97"/>
      <c r="AJ2300" s="97"/>
      <c r="AK2300" s="97"/>
      <c r="AL2300" s="97"/>
      <c r="AM2300" s="97"/>
      <c r="AN2300" s="97"/>
      <c r="AO2300" s="97"/>
      <c r="AP2300" s="97"/>
      <c r="AQ2300" s="97"/>
    </row>
    <row r="2301" spans="2:43" s="101" customFormat="1" ht="15" customHeight="1">
      <c r="B2301" s="104"/>
      <c r="C2301" s="104"/>
      <c r="D2301" s="104"/>
      <c r="E2301" s="104"/>
      <c r="F2301" s="104"/>
      <c r="G2301" s="104"/>
      <c r="H2301" s="104"/>
      <c r="I2301" s="104"/>
      <c r="J2301" s="104"/>
      <c r="K2301" s="104"/>
      <c r="L2301" s="104"/>
      <c r="R2301" s="105"/>
      <c r="S2301" s="105"/>
      <c r="T2301" s="105"/>
      <c r="U2301" s="105"/>
      <c r="V2301" s="105"/>
      <c r="W2301" s="105"/>
      <c r="AD2301" s="106"/>
      <c r="AE2301" s="97"/>
      <c r="AF2301" s="97"/>
      <c r="AG2301" s="97"/>
      <c r="AH2301" s="97"/>
      <c r="AI2301" s="97"/>
      <c r="AJ2301" s="97"/>
      <c r="AK2301" s="97"/>
      <c r="AL2301" s="97"/>
      <c r="AM2301" s="97"/>
      <c r="AN2301" s="97"/>
      <c r="AO2301" s="97"/>
      <c r="AP2301" s="97"/>
      <c r="AQ2301" s="97"/>
    </row>
    <row r="2302" spans="2:43" s="101" customFormat="1" ht="15" customHeight="1">
      <c r="B2302" s="104"/>
      <c r="C2302" s="104"/>
      <c r="D2302" s="104"/>
      <c r="E2302" s="104"/>
      <c r="F2302" s="104"/>
      <c r="G2302" s="104"/>
      <c r="H2302" s="104"/>
      <c r="I2302" s="104"/>
      <c r="J2302" s="104"/>
      <c r="K2302" s="104"/>
      <c r="L2302" s="104"/>
      <c r="R2302" s="105"/>
      <c r="S2302" s="105"/>
      <c r="T2302" s="105"/>
      <c r="U2302" s="105"/>
      <c r="V2302" s="105"/>
      <c r="W2302" s="105"/>
      <c r="AD2302" s="106"/>
      <c r="AE2302" s="97"/>
      <c r="AF2302" s="97"/>
      <c r="AG2302" s="97"/>
      <c r="AH2302" s="97"/>
      <c r="AI2302" s="97"/>
      <c r="AJ2302" s="97"/>
      <c r="AK2302" s="97"/>
      <c r="AL2302" s="97"/>
      <c r="AM2302" s="97"/>
      <c r="AN2302" s="97"/>
      <c r="AO2302" s="97"/>
      <c r="AP2302" s="97"/>
      <c r="AQ2302" s="97"/>
    </row>
    <row r="2303" spans="2:43" s="101" customFormat="1" ht="15" customHeight="1">
      <c r="B2303" s="104"/>
      <c r="C2303" s="104"/>
      <c r="D2303" s="104"/>
      <c r="E2303" s="104"/>
      <c r="F2303" s="104"/>
      <c r="G2303" s="104"/>
      <c r="H2303" s="104"/>
      <c r="I2303" s="104"/>
      <c r="J2303" s="104"/>
      <c r="K2303" s="104"/>
      <c r="L2303" s="104"/>
      <c r="R2303" s="105"/>
      <c r="S2303" s="105"/>
      <c r="T2303" s="105"/>
      <c r="U2303" s="105"/>
      <c r="V2303" s="105"/>
      <c r="W2303" s="105"/>
      <c r="AD2303" s="106"/>
      <c r="AE2303" s="97"/>
      <c r="AF2303" s="97"/>
      <c r="AG2303" s="97"/>
      <c r="AH2303" s="97"/>
      <c r="AI2303" s="97"/>
      <c r="AJ2303" s="97"/>
      <c r="AK2303" s="97"/>
      <c r="AL2303" s="97"/>
      <c r="AM2303" s="97"/>
      <c r="AN2303" s="97"/>
      <c r="AO2303" s="97"/>
      <c r="AP2303" s="97"/>
      <c r="AQ2303" s="97"/>
    </row>
    <row r="2304" spans="2:43" s="101" customFormat="1" ht="15" customHeight="1">
      <c r="B2304" s="104"/>
      <c r="C2304" s="104"/>
      <c r="D2304" s="104"/>
      <c r="E2304" s="104"/>
      <c r="F2304" s="104"/>
      <c r="G2304" s="104"/>
      <c r="H2304" s="104"/>
      <c r="I2304" s="104"/>
      <c r="J2304" s="104"/>
      <c r="K2304" s="104"/>
      <c r="L2304" s="104"/>
      <c r="R2304" s="105"/>
      <c r="S2304" s="105"/>
      <c r="T2304" s="105"/>
      <c r="U2304" s="105"/>
      <c r="V2304" s="105"/>
      <c r="W2304" s="105"/>
      <c r="AD2304" s="106"/>
      <c r="AE2304" s="97"/>
      <c r="AF2304" s="97"/>
      <c r="AG2304" s="97"/>
      <c r="AH2304" s="97"/>
      <c r="AI2304" s="97"/>
      <c r="AJ2304" s="97"/>
      <c r="AK2304" s="97"/>
      <c r="AL2304" s="97"/>
      <c r="AM2304" s="97"/>
      <c r="AN2304" s="97"/>
      <c r="AO2304" s="97"/>
      <c r="AP2304" s="97"/>
      <c r="AQ2304" s="97"/>
    </row>
    <row r="2305" spans="2:43" s="101" customFormat="1" ht="15" customHeight="1">
      <c r="B2305" s="104"/>
      <c r="C2305" s="104"/>
      <c r="D2305" s="104"/>
      <c r="E2305" s="104"/>
      <c r="F2305" s="104"/>
      <c r="G2305" s="104"/>
      <c r="H2305" s="104"/>
      <c r="I2305" s="104"/>
      <c r="J2305" s="104"/>
      <c r="K2305" s="104"/>
      <c r="L2305" s="104"/>
      <c r="R2305" s="105"/>
      <c r="S2305" s="105"/>
      <c r="T2305" s="105"/>
      <c r="U2305" s="105"/>
      <c r="V2305" s="105"/>
      <c r="W2305" s="105"/>
      <c r="AD2305" s="106"/>
      <c r="AE2305" s="97"/>
      <c r="AF2305" s="97"/>
      <c r="AG2305" s="97"/>
      <c r="AH2305" s="97"/>
      <c r="AI2305" s="97"/>
      <c r="AJ2305" s="97"/>
      <c r="AK2305" s="97"/>
      <c r="AL2305" s="97"/>
      <c r="AM2305" s="97"/>
      <c r="AN2305" s="97"/>
      <c r="AO2305" s="97"/>
      <c r="AP2305" s="97"/>
      <c r="AQ2305" s="97"/>
    </row>
    <row r="2306" spans="2:43" s="101" customFormat="1" ht="15" customHeight="1">
      <c r="B2306" s="104"/>
      <c r="C2306" s="104"/>
      <c r="D2306" s="104"/>
      <c r="E2306" s="104"/>
      <c r="F2306" s="104"/>
      <c r="G2306" s="104"/>
      <c r="H2306" s="104"/>
      <c r="I2306" s="104"/>
      <c r="J2306" s="104"/>
      <c r="K2306" s="104"/>
      <c r="L2306" s="104"/>
      <c r="R2306" s="105"/>
      <c r="S2306" s="105"/>
      <c r="T2306" s="105"/>
      <c r="U2306" s="105"/>
      <c r="V2306" s="105"/>
      <c r="W2306" s="105"/>
      <c r="AD2306" s="106"/>
      <c r="AE2306" s="97"/>
      <c r="AF2306" s="97"/>
      <c r="AG2306" s="97"/>
      <c r="AH2306" s="97"/>
      <c r="AI2306" s="97"/>
      <c r="AJ2306" s="97"/>
      <c r="AK2306" s="97"/>
      <c r="AL2306" s="97"/>
      <c r="AM2306" s="97"/>
      <c r="AN2306" s="97"/>
      <c r="AO2306" s="97"/>
      <c r="AP2306" s="97"/>
      <c r="AQ2306" s="97"/>
    </row>
    <row r="2307" spans="2:43" s="101" customFormat="1" ht="15" customHeight="1">
      <c r="B2307" s="104"/>
      <c r="C2307" s="104"/>
      <c r="D2307" s="104"/>
      <c r="E2307" s="104"/>
      <c r="F2307" s="104"/>
      <c r="G2307" s="104"/>
      <c r="H2307" s="104"/>
      <c r="I2307" s="104"/>
      <c r="J2307" s="104"/>
      <c r="K2307" s="104"/>
      <c r="L2307" s="104"/>
      <c r="R2307" s="105"/>
      <c r="S2307" s="105"/>
      <c r="T2307" s="105"/>
      <c r="U2307" s="105"/>
      <c r="V2307" s="105"/>
      <c r="W2307" s="105"/>
      <c r="AD2307" s="106"/>
      <c r="AE2307" s="97"/>
      <c r="AF2307" s="97"/>
      <c r="AG2307" s="97"/>
      <c r="AH2307" s="97"/>
      <c r="AI2307" s="97"/>
      <c r="AJ2307" s="97"/>
      <c r="AK2307" s="97"/>
      <c r="AL2307" s="97"/>
      <c r="AM2307" s="97"/>
      <c r="AN2307" s="97"/>
      <c r="AO2307" s="97"/>
      <c r="AP2307" s="97"/>
      <c r="AQ2307" s="97"/>
    </row>
    <row r="2308" spans="2:43" s="101" customFormat="1" ht="15" customHeight="1">
      <c r="B2308" s="104"/>
      <c r="C2308" s="104"/>
      <c r="D2308" s="104"/>
      <c r="E2308" s="104"/>
      <c r="F2308" s="104"/>
      <c r="G2308" s="104"/>
      <c r="H2308" s="104"/>
      <c r="I2308" s="104"/>
      <c r="J2308" s="104"/>
      <c r="K2308" s="104"/>
      <c r="L2308" s="104"/>
      <c r="R2308" s="105"/>
      <c r="S2308" s="105"/>
      <c r="T2308" s="105"/>
      <c r="U2308" s="105"/>
      <c r="V2308" s="105"/>
      <c r="W2308" s="105"/>
      <c r="AD2308" s="106"/>
      <c r="AE2308" s="97"/>
      <c r="AF2308" s="97"/>
      <c r="AG2308" s="97"/>
      <c r="AH2308" s="97"/>
      <c r="AI2308" s="97"/>
      <c r="AJ2308" s="97"/>
      <c r="AK2308" s="97"/>
      <c r="AL2308" s="97"/>
      <c r="AM2308" s="97"/>
      <c r="AN2308" s="97"/>
      <c r="AO2308" s="97"/>
      <c r="AP2308" s="97"/>
      <c r="AQ2308" s="97"/>
    </row>
    <row r="2309" spans="2:43" s="101" customFormat="1" ht="15" customHeight="1">
      <c r="B2309" s="104"/>
      <c r="C2309" s="104"/>
      <c r="D2309" s="104"/>
      <c r="E2309" s="104"/>
      <c r="F2309" s="104"/>
      <c r="G2309" s="104"/>
      <c r="H2309" s="104"/>
      <c r="I2309" s="104"/>
      <c r="J2309" s="104"/>
      <c r="K2309" s="104"/>
      <c r="L2309" s="104"/>
      <c r="R2309" s="105"/>
      <c r="S2309" s="105"/>
      <c r="T2309" s="105"/>
      <c r="U2309" s="105"/>
      <c r="V2309" s="105"/>
      <c r="W2309" s="105"/>
      <c r="AD2309" s="106"/>
      <c r="AE2309" s="97"/>
      <c r="AF2309" s="97"/>
      <c r="AG2309" s="97"/>
      <c r="AH2309" s="97"/>
      <c r="AI2309" s="97"/>
      <c r="AJ2309" s="97"/>
      <c r="AK2309" s="97"/>
      <c r="AL2309" s="97"/>
      <c r="AM2309" s="97"/>
      <c r="AN2309" s="97"/>
      <c r="AO2309" s="97"/>
      <c r="AP2309" s="97"/>
      <c r="AQ2309" s="97"/>
    </row>
    <row r="2310" spans="2:43" s="101" customFormat="1" ht="15" customHeight="1">
      <c r="B2310" s="104"/>
      <c r="C2310" s="104"/>
      <c r="D2310" s="104"/>
      <c r="E2310" s="104"/>
      <c r="F2310" s="104"/>
      <c r="G2310" s="104"/>
      <c r="H2310" s="104"/>
      <c r="I2310" s="104"/>
      <c r="J2310" s="104"/>
      <c r="K2310" s="104"/>
      <c r="L2310" s="104"/>
      <c r="R2310" s="105"/>
      <c r="S2310" s="105"/>
      <c r="T2310" s="105"/>
      <c r="U2310" s="105"/>
      <c r="V2310" s="105"/>
      <c r="W2310" s="105"/>
      <c r="AD2310" s="106"/>
      <c r="AE2310" s="97"/>
      <c r="AF2310" s="97"/>
      <c r="AG2310" s="97"/>
      <c r="AH2310" s="97"/>
      <c r="AI2310" s="97"/>
      <c r="AJ2310" s="97"/>
      <c r="AK2310" s="97"/>
      <c r="AL2310" s="97"/>
      <c r="AM2310" s="97"/>
      <c r="AN2310" s="97"/>
      <c r="AO2310" s="97"/>
      <c r="AP2310" s="97"/>
      <c r="AQ2310" s="97"/>
    </row>
    <row r="2311" spans="2:43" s="101" customFormat="1" ht="15" customHeight="1">
      <c r="B2311" s="104"/>
      <c r="C2311" s="104"/>
      <c r="D2311" s="104"/>
      <c r="E2311" s="104"/>
      <c r="F2311" s="104"/>
      <c r="G2311" s="104"/>
      <c r="H2311" s="104"/>
      <c r="I2311" s="104"/>
      <c r="J2311" s="104"/>
      <c r="K2311" s="104"/>
      <c r="L2311" s="104"/>
      <c r="R2311" s="105"/>
      <c r="S2311" s="105"/>
      <c r="T2311" s="105"/>
      <c r="U2311" s="105"/>
      <c r="V2311" s="105"/>
      <c r="W2311" s="105"/>
      <c r="AD2311" s="106"/>
      <c r="AE2311" s="97"/>
      <c r="AF2311" s="97"/>
      <c r="AG2311" s="97"/>
      <c r="AH2311" s="97"/>
      <c r="AI2311" s="97"/>
      <c r="AJ2311" s="97"/>
      <c r="AK2311" s="97"/>
      <c r="AL2311" s="97"/>
      <c r="AM2311" s="97"/>
      <c r="AN2311" s="97"/>
      <c r="AO2311" s="97"/>
      <c r="AP2311" s="97"/>
      <c r="AQ2311" s="97"/>
    </row>
    <row r="2312" spans="2:43" s="101" customFormat="1" ht="15" customHeight="1">
      <c r="B2312" s="104"/>
      <c r="C2312" s="104"/>
      <c r="D2312" s="104"/>
      <c r="E2312" s="104"/>
      <c r="F2312" s="104"/>
      <c r="G2312" s="104"/>
      <c r="H2312" s="104"/>
      <c r="I2312" s="104"/>
      <c r="J2312" s="104"/>
      <c r="K2312" s="104"/>
      <c r="L2312" s="104"/>
      <c r="R2312" s="105"/>
      <c r="S2312" s="105"/>
      <c r="T2312" s="105"/>
      <c r="U2312" s="105"/>
      <c r="V2312" s="105"/>
      <c r="W2312" s="105"/>
      <c r="AD2312" s="106"/>
      <c r="AE2312" s="97"/>
      <c r="AF2312" s="97"/>
      <c r="AG2312" s="97"/>
      <c r="AH2312" s="97"/>
      <c r="AI2312" s="97"/>
      <c r="AJ2312" s="97"/>
      <c r="AK2312" s="97"/>
      <c r="AL2312" s="97"/>
      <c r="AM2312" s="97"/>
      <c r="AN2312" s="97"/>
      <c r="AO2312" s="97"/>
      <c r="AP2312" s="97"/>
      <c r="AQ2312" s="97"/>
    </row>
    <row r="2313" spans="2:43" s="101" customFormat="1" ht="15" customHeight="1">
      <c r="B2313" s="104"/>
      <c r="C2313" s="104"/>
      <c r="D2313" s="104"/>
      <c r="E2313" s="104"/>
      <c r="F2313" s="104"/>
      <c r="G2313" s="104"/>
      <c r="H2313" s="104"/>
      <c r="I2313" s="104"/>
      <c r="J2313" s="104"/>
      <c r="K2313" s="104"/>
      <c r="L2313" s="104"/>
      <c r="R2313" s="105"/>
      <c r="S2313" s="105"/>
      <c r="T2313" s="105"/>
      <c r="U2313" s="105"/>
      <c r="V2313" s="105"/>
      <c r="W2313" s="105"/>
      <c r="AD2313" s="106"/>
      <c r="AE2313" s="97"/>
      <c r="AF2313" s="97"/>
      <c r="AG2313" s="97"/>
      <c r="AH2313" s="97"/>
      <c r="AI2313" s="97"/>
      <c r="AJ2313" s="97"/>
      <c r="AK2313" s="97"/>
      <c r="AL2313" s="97"/>
      <c r="AM2313" s="97"/>
      <c r="AN2313" s="97"/>
      <c r="AO2313" s="97"/>
      <c r="AP2313" s="97"/>
      <c r="AQ2313" s="97"/>
    </row>
    <row r="2314" spans="2:43" s="101" customFormat="1" ht="15" customHeight="1">
      <c r="B2314" s="104"/>
      <c r="C2314" s="104"/>
      <c r="D2314" s="104"/>
      <c r="E2314" s="104"/>
      <c r="F2314" s="104"/>
      <c r="G2314" s="104"/>
      <c r="H2314" s="104"/>
      <c r="I2314" s="104"/>
      <c r="J2314" s="104"/>
      <c r="K2314" s="104"/>
      <c r="L2314" s="104"/>
      <c r="R2314" s="105"/>
      <c r="S2314" s="105"/>
      <c r="T2314" s="105"/>
      <c r="U2314" s="105"/>
      <c r="V2314" s="105"/>
      <c r="W2314" s="105"/>
      <c r="AD2314" s="106"/>
      <c r="AE2314" s="97"/>
      <c r="AF2314" s="97"/>
      <c r="AG2314" s="97"/>
      <c r="AH2314" s="97"/>
      <c r="AI2314" s="97"/>
      <c r="AJ2314" s="97"/>
      <c r="AK2314" s="97"/>
      <c r="AL2314" s="97"/>
      <c r="AM2314" s="97"/>
      <c r="AN2314" s="97"/>
      <c r="AO2314" s="97"/>
      <c r="AP2314" s="97"/>
      <c r="AQ2314" s="97"/>
    </row>
    <row r="2315" spans="2:43" s="101" customFormat="1" ht="15" customHeight="1">
      <c r="B2315" s="104"/>
      <c r="C2315" s="104"/>
      <c r="D2315" s="104"/>
      <c r="E2315" s="104"/>
      <c r="F2315" s="104"/>
      <c r="G2315" s="104"/>
      <c r="H2315" s="104"/>
      <c r="I2315" s="104"/>
      <c r="J2315" s="104"/>
      <c r="K2315" s="104"/>
      <c r="L2315" s="104"/>
      <c r="R2315" s="105"/>
      <c r="S2315" s="105"/>
      <c r="T2315" s="105"/>
      <c r="U2315" s="105"/>
      <c r="V2315" s="105"/>
      <c r="W2315" s="105"/>
      <c r="AD2315" s="106"/>
      <c r="AE2315" s="97"/>
      <c r="AF2315" s="97"/>
      <c r="AG2315" s="97"/>
      <c r="AH2315" s="97"/>
      <c r="AI2315" s="97"/>
      <c r="AJ2315" s="97"/>
      <c r="AK2315" s="97"/>
      <c r="AL2315" s="97"/>
      <c r="AM2315" s="97"/>
      <c r="AN2315" s="97"/>
      <c r="AO2315" s="97"/>
      <c r="AP2315" s="97"/>
      <c r="AQ2315" s="97"/>
    </row>
    <row r="2316" spans="2:43" s="101" customFormat="1" ht="15" customHeight="1">
      <c r="B2316" s="104"/>
      <c r="C2316" s="104"/>
      <c r="D2316" s="104"/>
      <c r="E2316" s="104"/>
      <c r="F2316" s="104"/>
      <c r="G2316" s="104"/>
      <c r="H2316" s="104"/>
      <c r="I2316" s="104"/>
      <c r="J2316" s="104"/>
      <c r="K2316" s="104"/>
      <c r="L2316" s="104"/>
      <c r="R2316" s="105"/>
      <c r="S2316" s="105"/>
      <c r="T2316" s="105"/>
      <c r="U2316" s="105"/>
      <c r="V2316" s="105"/>
      <c r="W2316" s="105"/>
      <c r="AD2316" s="106"/>
      <c r="AE2316" s="97"/>
      <c r="AF2316" s="97"/>
      <c r="AG2316" s="97"/>
      <c r="AH2316" s="97"/>
      <c r="AI2316" s="97"/>
      <c r="AJ2316" s="97"/>
      <c r="AK2316" s="97"/>
      <c r="AL2316" s="97"/>
      <c r="AM2316" s="97"/>
      <c r="AN2316" s="97"/>
      <c r="AO2316" s="97"/>
      <c r="AP2316" s="97"/>
      <c r="AQ2316" s="97"/>
    </row>
    <row r="2317" spans="2:43" s="101" customFormat="1" ht="15" customHeight="1">
      <c r="B2317" s="104"/>
      <c r="C2317" s="104"/>
      <c r="D2317" s="104"/>
      <c r="E2317" s="104"/>
      <c r="F2317" s="104"/>
      <c r="G2317" s="104"/>
      <c r="H2317" s="104"/>
      <c r="I2317" s="104"/>
      <c r="J2317" s="104"/>
      <c r="K2317" s="104"/>
      <c r="L2317" s="104"/>
      <c r="R2317" s="105"/>
      <c r="S2317" s="105"/>
      <c r="T2317" s="105"/>
      <c r="U2317" s="105"/>
      <c r="V2317" s="105"/>
      <c r="W2317" s="105"/>
      <c r="AD2317" s="106"/>
      <c r="AE2317" s="97"/>
      <c r="AF2317" s="97"/>
      <c r="AG2317" s="97"/>
      <c r="AH2317" s="97"/>
      <c r="AI2317" s="97"/>
      <c r="AJ2317" s="97"/>
      <c r="AK2317" s="97"/>
      <c r="AL2317" s="97"/>
      <c r="AM2317" s="97"/>
      <c r="AN2317" s="97"/>
      <c r="AO2317" s="97"/>
      <c r="AP2317" s="97"/>
      <c r="AQ2317" s="97"/>
    </row>
    <row r="2318" spans="2:43" s="101" customFormat="1" ht="15" customHeight="1">
      <c r="B2318" s="104"/>
      <c r="C2318" s="104"/>
      <c r="D2318" s="104"/>
      <c r="E2318" s="104"/>
      <c r="F2318" s="104"/>
      <c r="G2318" s="104"/>
      <c r="H2318" s="104"/>
      <c r="I2318" s="104"/>
      <c r="J2318" s="104"/>
      <c r="K2318" s="104"/>
      <c r="L2318" s="104"/>
      <c r="R2318" s="105"/>
      <c r="S2318" s="105"/>
      <c r="T2318" s="105"/>
      <c r="U2318" s="105"/>
      <c r="V2318" s="105"/>
      <c r="W2318" s="105"/>
      <c r="AD2318" s="106"/>
      <c r="AE2318" s="97"/>
      <c r="AF2318" s="97"/>
      <c r="AG2318" s="97"/>
      <c r="AH2318" s="97"/>
      <c r="AI2318" s="97"/>
      <c r="AJ2318" s="97"/>
      <c r="AK2318" s="97"/>
      <c r="AL2318" s="97"/>
      <c r="AM2318" s="97"/>
      <c r="AN2318" s="97"/>
      <c r="AO2318" s="97"/>
      <c r="AP2318" s="97"/>
      <c r="AQ2318" s="97"/>
    </row>
    <row r="2319" spans="2:43" s="101" customFormat="1" ht="15" customHeight="1">
      <c r="B2319" s="104"/>
      <c r="C2319" s="104"/>
      <c r="D2319" s="104"/>
      <c r="E2319" s="104"/>
      <c r="F2319" s="104"/>
      <c r="G2319" s="104"/>
      <c r="H2319" s="104"/>
      <c r="I2319" s="104"/>
      <c r="J2319" s="104"/>
      <c r="K2319" s="104"/>
      <c r="L2319" s="104"/>
      <c r="R2319" s="105"/>
      <c r="S2319" s="105"/>
      <c r="T2319" s="105"/>
      <c r="U2319" s="105"/>
      <c r="V2319" s="105"/>
      <c r="W2319" s="105"/>
      <c r="AD2319" s="106"/>
      <c r="AE2319" s="97"/>
      <c r="AF2319" s="97"/>
      <c r="AG2319" s="97"/>
      <c r="AH2319" s="97"/>
      <c r="AI2319" s="97"/>
      <c r="AJ2319" s="97"/>
      <c r="AK2319" s="97"/>
      <c r="AL2319" s="97"/>
      <c r="AM2319" s="97"/>
      <c r="AN2319" s="97"/>
      <c r="AO2319" s="97"/>
      <c r="AP2319" s="97"/>
      <c r="AQ2319" s="97"/>
    </row>
    <row r="2320" spans="2:43" s="101" customFormat="1" ht="15" customHeight="1">
      <c r="B2320" s="104"/>
      <c r="C2320" s="104"/>
      <c r="D2320" s="104"/>
      <c r="E2320" s="104"/>
      <c r="F2320" s="104"/>
      <c r="G2320" s="104"/>
      <c r="H2320" s="104"/>
      <c r="I2320" s="104"/>
      <c r="J2320" s="104"/>
      <c r="K2320" s="104"/>
      <c r="L2320" s="104"/>
      <c r="R2320" s="105"/>
      <c r="S2320" s="105"/>
      <c r="T2320" s="105"/>
      <c r="U2320" s="105"/>
      <c r="V2320" s="105"/>
      <c r="W2320" s="105"/>
      <c r="AD2320" s="106"/>
      <c r="AE2320" s="97"/>
      <c r="AF2320" s="97"/>
      <c r="AG2320" s="97"/>
      <c r="AH2320" s="97"/>
      <c r="AI2320" s="97"/>
      <c r="AJ2320" s="97"/>
      <c r="AK2320" s="97"/>
      <c r="AL2320" s="97"/>
      <c r="AM2320" s="97"/>
      <c r="AN2320" s="97"/>
      <c r="AO2320" s="97"/>
      <c r="AP2320" s="97"/>
      <c r="AQ2320" s="97"/>
    </row>
    <row r="2321" spans="2:43" s="101" customFormat="1" ht="15" customHeight="1">
      <c r="B2321" s="104"/>
      <c r="C2321" s="104"/>
      <c r="D2321" s="104"/>
      <c r="E2321" s="104"/>
      <c r="F2321" s="104"/>
      <c r="G2321" s="104"/>
      <c r="H2321" s="104"/>
      <c r="I2321" s="104"/>
      <c r="J2321" s="104"/>
      <c r="K2321" s="104"/>
      <c r="L2321" s="104"/>
      <c r="R2321" s="105"/>
      <c r="S2321" s="105"/>
      <c r="T2321" s="105"/>
      <c r="U2321" s="105"/>
      <c r="V2321" s="105"/>
      <c r="W2321" s="105"/>
      <c r="AD2321" s="106"/>
      <c r="AE2321" s="97"/>
      <c r="AF2321" s="97"/>
      <c r="AG2321" s="97"/>
      <c r="AH2321" s="97"/>
      <c r="AI2321" s="97"/>
      <c r="AJ2321" s="97"/>
      <c r="AK2321" s="97"/>
      <c r="AL2321" s="97"/>
      <c r="AM2321" s="97"/>
      <c r="AN2321" s="97"/>
      <c r="AO2321" s="97"/>
      <c r="AP2321" s="97"/>
      <c r="AQ2321" s="97"/>
    </row>
    <row r="2322" spans="2:43" s="101" customFormat="1" ht="15" customHeight="1">
      <c r="B2322" s="104"/>
      <c r="C2322" s="104"/>
      <c r="D2322" s="104"/>
      <c r="E2322" s="104"/>
      <c r="F2322" s="104"/>
      <c r="G2322" s="104"/>
      <c r="H2322" s="104"/>
      <c r="I2322" s="104"/>
      <c r="J2322" s="104"/>
      <c r="K2322" s="104"/>
      <c r="L2322" s="104"/>
      <c r="R2322" s="105"/>
      <c r="S2322" s="105"/>
      <c r="T2322" s="105"/>
      <c r="U2322" s="105"/>
      <c r="V2322" s="105"/>
      <c r="W2322" s="105"/>
      <c r="AD2322" s="106"/>
      <c r="AE2322" s="97"/>
      <c r="AF2322" s="97"/>
      <c r="AG2322" s="97"/>
      <c r="AH2322" s="97"/>
      <c r="AI2322" s="97"/>
      <c r="AJ2322" s="97"/>
      <c r="AK2322" s="97"/>
      <c r="AL2322" s="97"/>
      <c r="AM2322" s="97"/>
      <c r="AN2322" s="97"/>
      <c r="AO2322" s="97"/>
      <c r="AP2322" s="97"/>
      <c r="AQ2322" s="97"/>
    </row>
    <row r="2323" spans="2:43" s="101" customFormat="1" ht="15" customHeight="1">
      <c r="B2323" s="104"/>
      <c r="C2323" s="104"/>
      <c r="D2323" s="104"/>
      <c r="E2323" s="104"/>
      <c r="F2323" s="104"/>
      <c r="G2323" s="104"/>
      <c r="H2323" s="104"/>
      <c r="I2323" s="104"/>
      <c r="J2323" s="104"/>
      <c r="K2323" s="104"/>
      <c r="L2323" s="104"/>
      <c r="R2323" s="105"/>
      <c r="S2323" s="105"/>
      <c r="T2323" s="105"/>
      <c r="U2323" s="105"/>
      <c r="V2323" s="105"/>
      <c r="W2323" s="105"/>
      <c r="AD2323" s="106"/>
      <c r="AE2323" s="97"/>
      <c r="AF2323" s="97"/>
      <c r="AG2323" s="97"/>
      <c r="AH2323" s="97"/>
      <c r="AI2323" s="97"/>
      <c r="AJ2323" s="97"/>
      <c r="AK2323" s="97"/>
      <c r="AL2323" s="97"/>
      <c r="AM2323" s="97"/>
      <c r="AN2323" s="97"/>
      <c r="AO2323" s="97"/>
      <c r="AP2323" s="97"/>
      <c r="AQ2323" s="97"/>
    </row>
    <row r="2324" spans="2:43" s="101" customFormat="1" ht="15" customHeight="1">
      <c r="B2324" s="104"/>
      <c r="C2324" s="104"/>
      <c r="D2324" s="104"/>
      <c r="E2324" s="104"/>
      <c r="F2324" s="104"/>
      <c r="G2324" s="104"/>
      <c r="H2324" s="104"/>
      <c r="I2324" s="104"/>
      <c r="J2324" s="104"/>
      <c r="K2324" s="104"/>
      <c r="L2324" s="104"/>
      <c r="R2324" s="105"/>
      <c r="S2324" s="105"/>
      <c r="T2324" s="105"/>
      <c r="U2324" s="105"/>
      <c r="V2324" s="105"/>
      <c r="W2324" s="105"/>
      <c r="AD2324" s="106"/>
      <c r="AE2324" s="97"/>
      <c r="AF2324" s="97"/>
      <c r="AG2324" s="97"/>
      <c r="AH2324" s="97"/>
      <c r="AI2324" s="97"/>
      <c r="AJ2324" s="97"/>
      <c r="AK2324" s="97"/>
      <c r="AL2324" s="97"/>
      <c r="AM2324" s="97"/>
      <c r="AN2324" s="97"/>
      <c r="AO2324" s="97"/>
      <c r="AP2324" s="97"/>
      <c r="AQ2324" s="97"/>
    </row>
    <row r="2325" spans="2:43" s="101" customFormat="1" ht="15" customHeight="1">
      <c r="B2325" s="104"/>
      <c r="C2325" s="104"/>
      <c r="D2325" s="104"/>
      <c r="E2325" s="104"/>
      <c r="F2325" s="104"/>
      <c r="G2325" s="104"/>
      <c r="H2325" s="104"/>
      <c r="I2325" s="104"/>
      <c r="J2325" s="104"/>
      <c r="K2325" s="104"/>
      <c r="L2325" s="104"/>
      <c r="R2325" s="105"/>
      <c r="S2325" s="105"/>
      <c r="T2325" s="105"/>
      <c r="U2325" s="105"/>
      <c r="V2325" s="105"/>
      <c r="W2325" s="105"/>
      <c r="AD2325" s="106"/>
      <c r="AE2325" s="97"/>
      <c r="AF2325" s="97"/>
      <c r="AG2325" s="97"/>
      <c r="AH2325" s="97"/>
      <c r="AI2325" s="97"/>
      <c r="AJ2325" s="97"/>
      <c r="AK2325" s="97"/>
      <c r="AL2325" s="97"/>
      <c r="AM2325" s="97"/>
      <c r="AN2325" s="97"/>
      <c r="AO2325" s="97"/>
      <c r="AP2325" s="97"/>
      <c r="AQ2325" s="97"/>
    </row>
    <row r="2326" spans="2:43" s="101" customFormat="1" ht="15" customHeight="1">
      <c r="B2326" s="104"/>
      <c r="C2326" s="104"/>
      <c r="D2326" s="104"/>
      <c r="E2326" s="104"/>
      <c r="F2326" s="104"/>
      <c r="G2326" s="104"/>
      <c r="H2326" s="104"/>
      <c r="I2326" s="104"/>
      <c r="J2326" s="104"/>
      <c r="K2326" s="104"/>
      <c r="L2326" s="104"/>
      <c r="R2326" s="105"/>
      <c r="S2326" s="105"/>
      <c r="T2326" s="105"/>
      <c r="U2326" s="105"/>
      <c r="V2326" s="105"/>
      <c r="W2326" s="105"/>
      <c r="AD2326" s="106"/>
      <c r="AE2326" s="97"/>
      <c r="AF2326" s="97"/>
      <c r="AG2326" s="97"/>
      <c r="AH2326" s="97"/>
      <c r="AI2326" s="97"/>
      <c r="AJ2326" s="97"/>
      <c r="AK2326" s="97"/>
      <c r="AL2326" s="97"/>
      <c r="AM2326" s="97"/>
      <c r="AN2326" s="97"/>
      <c r="AO2326" s="97"/>
      <c r="AP2326" s="97"/>
      <c r="AQ2326" s="97"/>
    </row>
    <row r="2327" spans="2:43" s="101" customFormat="1" ht="15" customHeight="1">
      <c r="B2327" s="104"/>
      <c r="C2327" s="104"/>
      <c r="D2327" s="104"/>
      <c r="E2327" s="104"/>
      <c r="F2327" s="104"/>
      <c r="G2327" s="104"/>
      <c r="H2327" s="104"/>
      <c r="I2327" s="104"/>
      <c r="J2327" s="104"/>
      <c r="K2327" s="104"/>
      <c r="L2327" s="104"/>
      <c r="R2327" s="105"/>
      <c r="S2327" s="105"/>
      <c r="T2327" s="105"/>
      <c r="U2327" s="105"/>
      <c r="V2327" s="105"/>
      <c r="W2327" s="105"/>
      <c r="AD2327" s="106"/>
      <c r="AE2327" s="97"/>
      <c r="AF2327" s="97"/>
      <c r="AG2327" s="97"/>
      <c r="AH2327" s="97"/>
      <c r="AI2327" s="97"/>
      <c r="AJ2327" s="97"/>
      <c r="AK2327" s="97"/>
      <c r="AL2327" s="97"/>
      <c r="AM2327" s="97"/>
      <c r="AN2327" s="97"/>
      <c r="AO2327" s="97"/>
      <c r="AP2327" s="97"/>
      <c r="AQ2327" s="97"/>
    </row>
    <row r="2328" spans="2:43" s="101" customFormat="1" ht="15" customHeight="1">
      <c r="B2328" s="104"/>
      <c r="C2328" s="104"/>
      <c r="D2328" s="104"/>
      <c r="E2328" s="104"/>
      <c r="F2328" s="104"/>
      <c r="G2328" s="104"/>
      <c r="H2328" s="104"/>
      <c r="I2328" s="104"/>
      <c r="J2328" s="104"/>
      <c r="K2328" s="104"/>
      <c r="L2328" s="104"/>
      <c r="R2328" s="105"/>
      <c r="S2328" s="105"/>
      <c r="T2328" s="105"/>
      <c r="U2328" s="105"/>
      <c r="V2328" s="105"/>
      <c r="W2328" s="105"/>
      <c r="AD2328" s="106"/>
      <c r="AE2328" s="97"/>
      <c r="AF2328" s="97"/>
      <c r="AG2328" s="97"/>
      <c r="AH2328" s="97"/>
      <c r="AI2328" s="97"/>
      <c r="AJ2328" s="97"/>
      <c r="AK2328" s="97"/>
      <c r="AL2328" s="97"/>
      <c r="AM2328" s="97"/>
      <c r="AN2328" s="97"/>
      <c r="AO2328" s="97"/>
      <c r="AP2328" s="97"/>
      <c r="AQ2328" s="97"/>
    </row>
    <row r="2329" spans="2:43" s="101" customFormat="1" ht="15" customHeight="1">
      <c r="B2329" s="104"/>
      <c r="C2329" s="104"/>
      <c r="D2329" s="104"/>
      <c r="E2329" s="104"/>
      <c r="F2329" s="104"/>
      <c r="G2329" s="104"/>
      <c r="H2329" s="104"/>
      <c r="I2329" s="104"/>
      <c r="J2329" s="104"/>
      <c r="K2329" s="104"/>
      <c r="L2329" s="104"/>
      <c r="R2329" s="105"/>
      <c r="S2329" s="105"/>
      <c r="T2329" s="105"/>
      <c r="U2329" s="105"/>
      <c r="V2329" s="105"/>
      <c r="W2329" s="105"/>
      <c r="AD2329" s="106"/>
      <c r="AE2329" s="97"/>
      <c r="AF2329" s="97"/>
      <c r="AG2329" s="97"/>
      <c r="AH2329" s="97"/>
      <c r="AI2329" s="97"/>
      <c r="AJ2329" s="97"/>
      <c r="AK2329" s="97"/>
      <c r="AL2329" s="97"/>
      <c r="AM2329" s="97"/>
      <c r="AN2329" s="97"/>
      <c r="AO2329" s="97"/>
      <c r="AP2329" s="97"/>
      <c r="AQ2329" s="97"/>
    </row>
    <row r="2330" spans="2:43" s="101" customFormat="1" ht="15" customHeight="1">
      <c r="B2330" s="104"/>
      <c r="C2330" s="104"/>
      <c r="D2330" s="104"/>
      <c r="E2330" s="104"/>
      <c r="F2330" s="104"/>
      <c r="G2330" s="104"/>
      <c r="H2330" s="104"/>
      <c r="I2330" s="104"/>
      <c r="J2330" s="104"/>
      <c r="K2330" s="104"/>
      <c r="L2330" s="104"/>
      <c r="R2330" s="105"/>
      <c r="S2330" s="105"/>
      <c r="T2330" s="105"/>
      <c r="U2330" s="105"/>
      <c r="V2330" s="105"/>
      <c r="W2330" s="105"/>
      <c r="AD2330" s="106"/>
      <c r="AE2330" s="97"/>
      <c r="AF2330" s="97"/>
      <c r="AG2330" s="97"/>
      <c r="AH2330" s="97"/>
      <c r="AI2330" s="97"/>
      <c r="AJ2330" s="97"/>
      <c r="AK2330" s="97"/>
      <c r="AL2330" s="97"/>
      <c r="AM2330" s="97"/>
      <c r="AN2330" s="97"/>
      <c r="AO2330" s="97"/>
      <c r="AP2330" s="97"/>
      <c r="AQ2330" s="97"/>
    </row>
    <row r="2331" spans="2:43" s="101" customFormat="1" ht="15" customHeight="1">
      <c r="B2331" s="104"/>
      <c r="C2331" s="104"/>
      <c r="D2331" s="104"/>
      <c r="E2331" s="104"/>
      <c r="F2331" s="104"/>
      <c r="G2331" s="104"/>
      <c r="H2331" s="104"/>
      <c r="I2331" s="104"/>
      <c r="J2331" s="104"/>
      <c r="K2331" s="104"/>
      <c r="L2331" s="104"/>
      <c r="R2331" s="105"/>
      <c r="S2331" s="105"/>
      <c r="T2331" s="105"/>
      <c r="U2331" s="105"/>
      <c r="V2331" s="105"/>
      <c r="W2331" s="105"/>
      <c r="AD2331" s="106"/>
      <c r="AE2331" s="97"/>
      <c r="AF2331" s="97"/>
      <c r="AG2331" s="97"/>
      <c r="AH2331" s="97"/>
      <c r="AI2331" s="97"/>
      <c r="AJ2331" s="97"/>
      <c r="AK2331" s="97"/>
      <c r="AL2331" s="97"/>
      <c r="AM2331" s="97"/>
      <c r="AN2331" s="97"/>
      <c r="AO2331" s="97"/>
      <c r="AP2331" s="97"/>
      <c r="AQ2331" s="97"/>
    </row>
    <row r="2332" spans="2:43" s="101" customFormat="1" ht="15" customHeight="1">
      <c r="B2332" s="104"/>
      <c r="C2332" s="104"/>
      <c r="D2332" s="104"/>
      <c r="E2332" s="104"/>
      <c r="F2332" s="104"/>
      <c r="G2332" s="104"/>
      <c r="H2332" s="104"/>
      <c r="I2332" s="104"/>
      <c r="J2332" s="104"/>
      <c r="K2332" s="104"/>
      <c r="L2332" s="104"/>
      <c r="R2332" s="105"/>
      <c r="S2332" s="105"/>
      <c r="T2332" s="105"/>
      <c r="U2332" s="105"/>
      <c r="V2332" s="105"/>
      <c r="W2332" s="105"/>
      <c r="AD2332" s="106"/>
      <c r="AE2332" s="97"/>
      <c r="AF2332" s="97"/>
      <c r="AG2332" s="97"/>
      <c r="AH2332" s="97"/>
      <c r="AI2332" s="97"/>
      <c r="AJ2332" s="97"/>
      <c r="AK2332" s="97"/>
      <c r="AL2332" s="97"/>
      <c r="AM2332" s="97"/>
      <c r="AN2332" s="97"/>
      <c r="AO2332" s="97"/>
      <c r="AP2332" s="97"/>
      <c r="AQ2332" s="97"/>
    </row>
    <row r="2333" spans="2:43" s="101" customFormat="1" ht="15" customHeight="1">
      <c r="B2333" s="104"/>
      <c r="C2333" s="104"/>
      <c r="D2333" s="104"/>
      <c r="E2333" s="104"/>
      <c r="F2333" s="104"/>
      <c r="G2333" s="104"/>
      <c r="H2333" s="104"/>
      <c r="I2333" s="104"/>
      <c r="J2333" s="104"/>
      <c r="K2333" s="104"/>
      <c r="L2333" s="104"/>
      <c r="R2333" s="105"/>
      <c r="S2333" s="105"/>
      <c r="T2333" s="105"/>
      <c r="U2333" s="105"/>
      <c r="V2333" s="105"/>
      <c r="W2333" s="105"/>
      <c r="AD2333" s="106"/>
      <c r="AE2333" s="97"/>
      <c r="AF2333" s="97"/>
      <c r="AG2333" s="97"/>
      <c r="AH2333" s="97"/>
      <c r="AI2333" s="97"/>
      <c r="AJ2333" s="97"/>
      <c r="AK2333" s="97"/>
      <c r="AL2333" s="97"/>
      <c r="AM2333" s="97"/>
      <c r="AN2333" s="97"/>
      <c r="AO2333" s="97"/>
      <c r="AP2333" s="97"/>
      <c r="AQ2333" s="97"/>
    </row>
    <row r="2334" spans="2:43" s="101" customFormat="1" ht="15" customHeight="1">
      <c r="B2334" s="104"/>
      <c r="C2334" s="104"/>
      <c r="D2334" s="104"/>
      <c r="E2334" s="104"/>
      <c r="F2334" s="104"/>
      <c r="G2334" s="104"/>
      <c r="H2334" s="104"/>
      <c r="I2334" s="104"/>
      <c r="J2334" s="104"/>
      <c r="K2334" s="104"/>
      <c r="L2334" s="104"/>
      <c r="R2334" s="105"/>
      <c r="S2334" s="105"/>
      <c r="T2334" s="105"/>
      <c r="U2334" s="105"/>
      <c r="V2334" s="105"/>
      <c r="W2334" s="105"/>
      <c r="AD2334" s="106"/>
      <c r="AE2334" s="97"/>
      <c r="AF2334" s="97"/>
      <c r="AG2334" s="97"/>
      <c r="AH2334" s="97"/>
      <c r="AI2334" s="97"/>
      <c r="AJ2334" s="97"/>
      <c r="AK2334" s="97"/>
      <c r="AL2334" s="97"/>
      <c r="AM2334" s="97"/>
      <c r="AN2334" s="97"/>
      <c r="AO2334" s="97"/>
      <c r="AP2334" s="97"/>
      <c r="AQ2334" s="97"/>
    </row>
    <row r="2335" spans="2:43" s="101" customFormat="1" ht="15" customHeight="1">
      <c r="B2335" s="104"/>
      <c r="C2335" s="104"/>
      <c r="D2335" s="104"/>
      <c r="E2335" s="104"/>
      <c r="F2335" s="104"/>
      <c r="G2335" s="104"/>
      <c r="H2335" s="104"/>
      <c r="I2335" s="104"/>
      <c r="J2335" s="104"/>
      <c r="K2335" s="104"/>
      <c r="L2335" s="104"/>
      <c r="R2335" s="105"/>
      <c r="S2335" s="105"/>
      <c r="T2335" s="105"/>
      <c r="U2335" s="105"/>
      <c r="V2335" s="105"/>
      <c r="W2335" s="105"/>
      <c r="AD2335" s="106"/>
      <c r="AE2335" s="97"/>
      <c r="AF2335" s="97"/>
      <c r="AG2335" s="97"/>
      <c r="AH2335" s="97"/>
      <c r="AI2335" s="97"/>
      <c r="AJ2335" s="97"/>
      <c r="AK2335" s="97"/>
      <c r="AL2335" s="97"/>
      <c r="AM2335" s="97"/>
      <c r="AN2335" s="97"/>
      <c r="AO2335" s="97"/>
      <c r="AP2335" s="97"/>
      <c r="AQ2335" s="97"/>
    </row>
    <row r="2336" spans="2:43" s="101" customFormat="1" ht="15" customHeight="1">
      <c r="B2336" s="104"/>
      <c r="C2336" s="104"/>
      <c r="D2336" s="104"/>
      <c r="E2336" s="104"/>
      <c r="F2336" s="104"/>
      <c r="G2336" s="104"/>
      <c r="H2336" s="104"/>
      <c r="I2336" s="104"/>
      <c r="J2336" s="104"/>
      <c r="K2336" s="104"/>
      <c r="L2336" s="104"/>
      <c r="R2336" s="105"/>
      <c r="S2336" s="105"/>
      <c r="T2336" s="105"/>
      <c r="U2336" s="105"/>
      <c r="V2336" s="105"/>
      <c r="W2336" s="105"/>
      <c r="AD2336" s="106"/>
      <c r="AE2336" s="97"/>
      <c r="AF2336" s="97"/>
      <c r="AG2336" s="97"/>
      <c r="AH2336" s="97"/>
      <c r="AI2336" s="97"/>
      <c r="AJ2336" s="97"/>
      <c r="AK2336" s="97"/>
      <c r="AL2336" s="97"/>
      <c r="AM2336" s="97"/>
      <c r="AN2336" s="97"/>
      <c r="AO2336" s="97"/>
      <c r="AP2336" s="97"/>
      <c r="AQ2336" s="97"/>
    </row>
    <row r="2337" spans="2:43" s="101" customFormat="1" ht="15" customHeight="1">
      <c r="B2337" s="104"/>
      <c r="C2337" s="104"/>
      <c r="D2337" s="104"/>
      <c r="E2337" s="104"/>
      <c r="F2337" s="104"/>
      <c r="G2337" s="104"/>
      <c r="H2337" s="104"/>
      <c r="I2337" s="104"/>
      <c r="J2337" s="104"/>
      <c r="K2337" s="104"/>
      <c r="L2337" s="104"/>
      <c r="R2337" s="105"/>
      <c r="S2337" s="105"/>
      <c r="T2337" s="105"/>
      <c r="U2337" s="105"/>
      <c r="V2337" s="105"/>
      <c r="W2337" s="105"/>
      <c r="AD2337" s="106"/>
      <c r="AE2337" s="97"/>
      <c r="AF2337" s="97"/>
      <c r="AG2337" s="97"/>
      <c r="AH2337" s="97"/>
      <c r="AI2337" s="97"/>
      <c r="AJ2337" s="97"/>
      <c r="AK2337" s="97"/>
      <c r="AL2337" s="97"/>
      <c r="AM2337" s="97"/>
      <c r="AN2337" s="97"/>
      <c r="AO2337" s="97"/>
      <c r="AP2337" s="97"/>
      <c r="AQ2337" s="97"/>
    </row>
    <row r="2338" spans="2:43" s="101" customFormat="1" ht="15" customHeight="1">
      <c r="B2338" s="104"/>
      <c r="C2338" s="104"/>
      <c r="D2338" s="104"/>
      <c r="E2338" s="104"/>
      <c r="F2338" s="104"/>
      <c r="G2338" s="104"/>
      <c r="H2338" s="104"/>
      <c r="I2338" s="104"/>
      <c r="J2338" s="104"/>
      <c r="K2338" s="104"/>
      <c r="L2338" s="104"/>
      <c r="R2338" s="105"/>
      <c r="S2338" s="105"/>
      <c r="T2338" s="105"/>
      <c r="U2338" s="105"/>
      <c r="V2338" s="105"/>
      <c r="W2338" s="105"/>
      <c r="AD2338" s="106"/>
      <c r="AE2338" s="97"/>
      <c r="AF2338" s="97"/>
      <c r="AG2338" s="97"/>
      <c r="AH2338" s="97"/>
      <c r="AI2338" s="97"/>
      <c r="AJ2338" s="97"/>
      <c r="AK2338" s="97"/>
      <c r="AL2338" s="97"/>
      <c r="AM2338" s="97"/>
      <c r="AN2338" s="97"/>
      <c r="AO2338" s="97"/>
      <c r="AP2338" s="97"/>
      <c r="AQ2338" s="97"/>
    </row>
    <row r="2339" spans="2:43" s="101" customFormat="1" ht="15" customHeight="1">
      <c r="B2339" s="104"/>
      <c r="C2339" s="104"/>
      <c r="D2339" s="104"/>
      <c r="E2339" s="104"/>
      <c r="F2339" s="104"/>
      <c r="G2339" s="104"/>
      <c r="H2339" s="104"/>
      <c r="I2339" s="104"/>
      <c r="J2339" s="104"/>
      <c r="K2339" s="104"/>
      <c r="L2339" s="104"/>
      <c r="R2339" s="105"/>
      <c r="S2339" s="105"/>
      <c r="T2339" s="105"/>
      <c r="U2339" s="105"/>
      <c r="V2339" s="105"/>
      <c r="W2339" s="105"/>
      <c r="AD2339" s="106"/>
      <c r="AE2339" s="97"/>
      <c r="AF2339" s="97"/>
      <c r="AG2339" s="97"/>
      <c r="AH2339" s="97"/>
      <c r="AI2339" s="97"/>
      <c r="AJ2339" s="97"/>
      <c r="AK2339" s="97"/>
      <c r="AL2339" s="97"/>
      <c r="AM2339" s="97"/>
      <c r="AN2339" s="97"/>
      <c r="AO2339" s="97"/>
      <c r="AP2339" s="97"/>
      <c r="AQ2339" s="97"/>
    </row>
    <row r="2340" spans="2:43" s="101" customFormat="1" ht="15" customHeight="1">
      <c r="B2340" s="104"/>
      <c r="C2340" s="104"/>
      <c r="D2340" s="104"/>
      <c r="E2340" s="104"/>
      <c r="F2340" s="104"/>
      <c r="G2340" s="104"/>
      <c r="H2340" s="104"/>
      <c r="I2340" s="104"/>
      <c r="J2340" s="104"/>
      <c r="K2340" s="104"/>
      <c r="L2340" s="104"/>
      <c r="R2340" s="105"/>
      <c r="S2340" s="105"/>
      <c r="T2340" s="105"/>
      <c r="U2340" s="105"/>
      <c r="V2340" s="105"/>
      <c r="W2340" s="105"/>
      <c r="AD2340" s="106"/>
      <c r="AE2340" s="97"/>
      <c r="AF2340" s="97"/>
      <c r="AG2340" s="97"/>
      <c r="AH2340" s="97"/>
      <c r="AI2340" s="97"/>
      <c r="AJ2340" s="97"/>
      <c r="AK2340" s="97"/>
      <c r="AL2340" s="97"/>
      <c r="AM2340" s="97"/>
      <c r="AN2340" s="97"/>
      <c r="AO2340" s="97"/>
      <c r="AP2340" s="97"/>
      <c r="AQ2340" s="97"/>
    </row>
    <row r="2341" spans="2:43" s="101" customFormat="1" ht="15" customHeight="1">
      <c r="B2341" s="104"/>
      <c r="C2341" s="104"/>
      <c r="D2341" s="104"/>
      <c r="E2341" s="104"/>
      <c r="F2341" s="104"/>
      <c r="G2341" s="104"/>
      <c r="H2341" s="104"/>
      <c r="I2341" s="104"/>
      <c r="J2341" s="104"/>
      <c r="K2341" s="104"/>
      <c r="L2341" s="104"/>
      <c r="R2341" s="105"/>
      <c r="S2341" s="105"/>
      <c r="T2341" s="105"/>
      <c r="U2341" s="105"/>
      <c r="V2341" s="105"/>
      <c r="W2341" s="105"/>
      <c r="AD2341" s="106"/>
      <c r="AE2341" s="97"/>
      <c r="AF2341" s="97"/>
      <c r="AG2341" s="97"/>
      <c r="AH2341" s="97"/>
      <c r="AI2341" s="97"/>
      <c r="AJ2341" s="97"/>
      <c r="AK2341" s="97"/>
      <c r="AL2341" s="97"/>
      <c r="AM2341" s="97"/>
      <c r="AN2341" s="97"/>
      <c r="AO2341" s="97"/>
      <c r="AP2341" s="97"/>
      <c r="AQ2341" s="97"/>
    </row>
    <row r="2342" spans="2:43" s="101" customFormat="1" ht="15" customHeight="1">
      <c r="B2342" s="104"/>
      <c r="C2342" s="104"/>
      <c r="D2342" s="104"/>
      <c r="E2342" s="104"/>
      <c r="F2342" s="104"/>
      <c r="G2342" s="104"/>
      <c r="H2342" s="104"/>
      <c r="I2342" s="104"/>
      <c r="J2342" s="104"/>
      <c r="K2342" s="104"/>
      <c r="L2342" s="104"/>
      <c r="R2342" s="105"/>
      <c r="S2342" s="105"/>
      <c r="T2342" s="105"/>
      <c r="U2342" s="105"/>
      <c r="V2342" s="105"/>
      <c r="W2342" s="105"/>
      <c r="AD2342" s="106"/>
      <c r="AE2342" s="97"/>
      <c r="AF2342" s="97"/>
      <c r="AG2342" s="97"/>
      <c r="AH2342" s="97"/>
      <c r="AI2342" s="97"/>
      <c r="AJ2342" s="97"/>
      <c r="AK2342" s="97"/>
      <c r="AL2342" s="97"/>
      <c r="AM2342" s="97"/>
      <c r="AN2342" s="97"/>
      <c r="AO2342" s="97"/>
      <c r="AP2342" s="97"/>
      <c r="AQ2342" s="97"/>
    </row>
    <row r="2343" spans="2:43" s="101" customFormat="1" ht="15" customHeight="1">
      <c r="B2343" s="104"/>
      <c r="C2343" s="104"/>
      <c r="D2343" s="104"/>
      <c r="E2343" s="104"/>
      <c r="F2343" s="104"/>
      <c r="G2343" s="104"/>
      <c r="H2343" s="104"/>
      <c r="I2343" s="104"/>
      <c r="J2343" s="104"/>
      <c r="K2343" s="104"/>
      <c r="L2343" s="104"/>
      <c r="R2343" s="105"/>
      <c r="S2343" s="105"/>
      <c r="T2343" s="105"/>
      <c r="U2343" s="105"/>
      <c r="V2343" s="105"/>
      <c r="W2343" s="105"/>
      <c r="AD2343" s="106"/>
      <c r="AE2343" s="97"/>
      <c r="AF2343" s="97"/>
      <c r="AG2343" s="97"/>
      <c r="AH2343" s="97"/>
      <c r="AI2343" s="97"/>
      <c r="AJ2343" s="97"/>
      <c r="AK2343" s="97"/>
      <c r="AL2343" s="97"/>
      <c r="AM2343" s="97"/>
      <c r="AN2343" s="97"/>
      <c r="AO2343" s="97"/>
      <c r="AP2343" s="97"/>
      <c r="AQ2343" s="97"/>
    </row>
    <row r="2344" spans="2:43" s="101" customFormat="1" ht="15" customHeight="1">
      <c r="B2344" s="104"/>
      <c r="C2344" s="104"/>
      <c r="D2344" s="104"/>
      <c r="E2344" s="104"/>
      <c r="F2344" s="104"/>
      <c r="G2344" s="104"/>
      <c r="H2344" s="104"/>
      <c r="I2344" s="104"/>
      <c r="J2344" s="104"/>
      <c r="K2344" s="104"/>
      <c r="L2344" s="104"/>
      <c r="R2344" s="105"/>
      <c r="S2344" s="105"/>
      <c r="T2344" s="105"/>
      <c r="U2344" s="105"/>
      <c r="V2344" s="105"/>
      <c r="W2344" s="105"/>
      <c r="AD2344" s="106"/>
      <c r="AE2344" s="97"/>
      <c r="AF2344" s="97"/>
      <c r="AG2344" s="97"/>
      <c r="AH2344" s="97"/>
      <c r="AI2344" s="97"/>
      <c r="AJ2344" s="97"/>
      <c r="AK2344" s="97"/>
      <c r="AL2344" s="97"/>
      <c r="AM2344" s="97"/>
      <c r="AN2344" s="97"/>
      <c r="AO2344" s="97"/>
      <c r="AP2344" s="97"/>
      <c r="AQ2344" s="97"/>
    </row>
    <row r="2345" spans="2:43" s="101" customFormat="1" ht="15" customHeight="1">
      <c r="B2345" s="104"/>
      <c r="C2345" s="104"/>
      <c r="D2345" s="104"/>
      <c r="E2345" s="104"/>
      <c r="F2345" s="104"/>
      <c r="G2345" s="104"/>
      <c r="H2345" s="104"/>
      <c r="I2345" s="104"/>
      <c r="J2345" s="104"/>
      <c r="K2345" s="104"/>
      <c r="L2345" s="104"/>
      <c r="R2345" s="105"/>
      <c r="S2345" s="105"/>
      <c r="T2345" s="105"/>
      <c r="U2345" s="105"/>
      <c r="V2345" s="105"/>
      <c r="W2345" s="105"/>
      <c r="AD2345" s="106"/>
      <c r="AE2345" s="97"/>
      <c r="AF2345" s="97"/>
      <c r="AG2345" s="97"/>
      <c r="AH2345" s="97"/>
      <c r="AI2345" s="97"/>
      <c r="AJ2345" s="97"/>
      <c r="AK2345" s="97"/>
      <c r="AL2345" s="97"/>
      <c r="AM2345" s="97"/>
      <c r="AN2345" s="97"/>
      <c r="AO2345" s="97"/>
      <c r="AP2345" s="97"/>
      <c r="AQ2345" s="97"/>
    </row>
    <row r="2346" spans="2:43" s="101" customFormat="1" ht="15" customHeight="1">
      <c r="B2346" s="104"/>
      <c r="C2346" s="104"/>
      <c r="D2346" s="104"/>
      <c r="E2346" s="104"/>
      <c r="F2346" s="104"/>
      <c r="G2346" s="104"/>
      <c r="H2346" s="104"/>
      <c r="I2346" s="104"/>
      <c r="J2346" s="104"/>
      <c r="K2346" s="104"/>
      <c r="L2346" s="104"/>
      <c r="R2346" s="105"/>
      <c r="S2346" s="105"/>
      <c r="T2346" s="105"/>
      <c r="U2346" s="105"/>
      <c r="V2346" s="105"/>
      <c r="W2346" s="105"/>
      <c r="AD2346" s="106"/>
      <c r="AE2346" s="97"/>
      <c r="AF2346" s="97"/>
      <c r="AG2346" s="97"/>
      <c r="AH2346" s="97"/>
      <c r="AI2346" s="97"/>
      <c r="AJ2346" s="97"/>
      <c r="AK2346" s="97"/>
      <c r="AL2346" s="97"/>
      <c r="AM2346" s="97"/>
      <c r="AN2346" s="97"/>
      <c r="AO2346" s="97"/>
      <c r="AP2346" s="97"/>
      <c r="AQ2346" s="97"/>
    </row>
    <row r="2347" spans="2:43" s="101" customFormat="1" ht="15" customHeight="1">
      <c r="B2347" s="104"/>
      <c r="C2347" s="104"/>
      <c r="D2347" s="104"/>
      <c r="E2347" s="104"/>
      <c r="F2347" s="104"/>
      <c r="G2347" s="104"/>
      <c r="H2347" s="104"/>
      <c r="I2347" s="104"/>
      <c r="J2347" s="104"/>
      <c r="K2347" s="104"/>
      <c r="L2347" s="104"/>
      <c r="R2347" s="105"/>
      <c r="S2347" s="105"/>
      <c r="T2347" s="105"/>
      <c r="U2347" s="105"/>
      <c r="V2347" s="105"/>
      <c r="W2347" s="105"/>
      <c r="AD2347" s="106"/>
      <c r="AE2347" s="97"/>
      <c r="AF2347" s="97"/>
      <c r="AG2347" s="97"/>
      <c r="AH2347" s="97"/>
      <c r="AI2347" s="97"/>
      <c r="AJ2347" s="97"/>
      <c r="AK2347" s="97"/>
      <c r="AL2347" s="97"/>
      <c r="AM2347" s="97"/>
      <c r="AN2347" s="97"/>
      <c r="AO2347" s="97"/>
      <c r="AP2347" s="97"/>
      <c r="AQ2347" s="97"/>
    </row>
    <row r="2348" spans="2:43" s="101" customFormat="1" ht="15" customHeight="1">
      <c r="B2348" s="104"/>
      <c r="C2348" s="104"/>
      <c r="D2348" s="104"/>
      <c r="E2348" s="104"/>
      <c r="F2348" s="104"/>
      <c r="G2348" s="104"/>
      <c r="H2348" s="104"/>
      <c r="I2348" s="104"/>
      <c r="J2348" s="104"/>
      <c r="K2348" s="104"/>
      <c r="L2348" s="104"/>
      <c r="R2348" s="105"/>
      <c r="S2348" s="105"/>
      <c r="T2348" s="105"/>
      <c r="U2348" s="105"/>
      <c r="V2348" s="105"/>
      <c r="W2348" s="105"/>
      <c r="AD2348" s="106"/>
      <c r="AE2348" s="97"/>
      <c r="AF2348" s="97"/>
      <c r="AG2348" s="97"/>
      <c r="AH2348" s="97"/>
      <c r="AI2348" s="97"/>
      <c r="AJ2348" s="97"/>
      <c r="AK2348" s="97"/>
      <c r="AL2348" s="97"/>
      <c r="AM2348" s="97"/>
      <c r="AN2348" s="97"/>
      <c r="AO2348" s="97"/>
      <c r="AP2348" s="97"/>
      <c r="AQ2348" s="97"/>
    </row>
    <row r="2349" spans="2:43" s="101" customFormat="1" ht="15" customHeight="1">
      <c r="B2349" s="104"/>
      <c r="C2349" s="104"/>
      <c r="D2349" s="104"/>
      <c r="E2349" s="104"/>
      <c r="F2349" s="104"/>
      <c r="G2349" s="104"/>
      <c r="H2349" s="104"/>
      <c r="I2349" s="104"/>
      <c r="J2349" s="104"/>
      <c r="K2349" s="104"/>
      <c r="L2349" s="104"/>
      <c r="R2349" s="105"/>
      <c r="S2349" s="105"/>
      <c r="T2349" s="105"/>
      <c r="U2349" s="105"/>
      <c r="V2349" s="105"/>
      <c r="W2349" s="105"/>
      <c r="AD2349" s="106"/>
      <c r="AE2349" s="97"/>
      <c r="AF2349" s="97"/>
      <c r="AG2349" s="97"/>
      <c r="AH2349" s="97"/>
      <c r="AI2349" s="97"/>
      <c r="AJ2349" s="97"/>
      <c r="AK2349" s="97"/>
      <c r="AL2349" s="97"/>
      <c r="AM2349" s="97"/>
      <c r="AN2349" s="97"/>
      <c r="AO2349" s="97"/>
      <c r="AP2349" s="97"/>
      <c r="AQ2349" s="97"/>
    </row>
    <row r="2350" spans="2:43" s="101" customFormat="1" ht="15" customHeight="1">
      <c r="B2350" s="104"/>
      <c r="C2350" s="104"/>
      <c r="D2350" s="104"/>
      <c r="E2350" s="104"/>
      <c r="F2350" s="104"/>
      <c r="G2350" s="104"/>
      <c r="H2350" s="104"/>
      <c r="I2350" s="104"/>
      <c r="J2350" s="104"/>
      <c r="K2350" s="104"/>
      <c r="L2350" s="104"/>
      <c r="R2350" s="105"/>
      <c r="S2350" s="105"/>
      <c r="T2350" s="105"/>
      <c r="U2350" s="105"/>
      <c r="V2350" s="105"/>
      <c r="W2350" s="105"/>
      <c r="AD2350" s="106"/>
      <c r="AE2350" s="97"/>
      <c r="AF2350" s="97"/>
      <c r="AG2350" s="97"/>
      <c r="AH2350" s="97"/>
      <c r="AI2350" s="97"/>
      <c r="AJ2350" s="97"/>
      <c r="AK2350" s="97"/>
      <c r="AL2350" s="97"/>
      <c r="AM2350" s="97"/>
      <c r="AN2350" s="97"/>
      <c r="AO2350" s="97"/>
      <c r="AP2350" s="97"/>
      <c r="AQ2350" s="97"/>
    </row>
    <row r="2351" spans="2:43" s="101" customFormat="1" ht="15" customHeight="1">
      <c r="B2351" s="104"/>
      <c r="C2351" s="104"/>
      <c r="D2351" s="104"/>
      <c r="E2351" s="104"/>
      <c r="F2351" s="104"/>
      <c r="G2351" s="104"/>
      <c r="H2351" s="104"/>
      <c r="I2351" s="104"/>
      <c r="J2351" s="104"/>
      <c r="K2351" s="104"/>
      <c r="L2351" s="104"/>
      <c r="R2351" s="105"/>
      <c r="S2351" s="105"/>
      <c r="T2351" s="105"/>
      <c r="U2351" s="105"/>
      <c r="V2351" s="105"/>
      <c r="W2351" s="105"/>
      <c r="AD2351" s="106"/>
      <c r="AE2351" s="97"/>
      <c r="AF2351" s="97"/>
      <c r="AG2351" s="97"/>
      <c r="AH2351" s="97"/>
      <c r="AI2351" s="97"/>
      <c r="AJ2351" s="97"/>
      <c r="AK2351" s="97"/>
      <c r="AL2351" s="97"/>
      <c r="AM2351" s="97"/>
      <c r="AN2351" s="97"/>
      <c r="AO2351" s="97"/>
      <c r="AP2351" s="97"/>
      <c r="AQ2351" s="97"/>
    </row>
    <row r="2352" spans="2:43" s="101" customFormat="1" ht="15" customHeight="1">
      <c r="B2352" s="104"/>
      <c r="C2352" s="104"/>
      <c r="D2352" s="104"/>
      <c r="E2352" s="104"/>
      <c r="F2352" s="104"/>
      <c r="G2352" s="104"/>
      <c r="H2352" s="104"/>
      <c r="I2352" s="104"/>
      <c r="J2352" s="104"/>
      <c r="K2352" s="104"/>
      <c r="L2352" s="104"/>
      <c r="R2352" s="105"/>
      <c r="S2352" s="105"/>
      <c r="T2352" s="105"/>
      <c r="U2352" s="105"/>
      <c r="V2352" s="105"/>
      <c r="W2352" s="105"/>
      <c r="AD2352" s="106"/>
      <c r="AE2352" s="97"/>
      <c r="AF2352" s="97"/>
      <c r="AG2352" s="97"/>
      <c r="AH2352" s="97"/>
      <c r="AI2352" s="97"/>
      <c r="AJ2352" s="97"/>
      <c r="AK2352" s="97"/>
      <c r="AL2352" s="97"/>
      <c r="AM2352" s="97"/>
      <c r="AN2352" s="97"/>
      <c r="AO2352" s="97"/>
      <c r="AP2352" s="97"/>
      <c r="AQ2352" s="97"/>
    </row>
    <row r="2353" spans="2:43" s="101" customFormat="1" ht="15" customHeight="1">
      <c r="B2353" s="104"/>
      <c r="C2353" s="104"/>
      <c r="D2353" s="104"/>
      <c r="E2353" s="104"/>
      <c r="F2353" s="104"/>
      <c r="G2353" s="104"/>
      <c r="H2353" s="104"/>
      <c r="I2353" s="104"/>
      <c r="J2353" s="104"/>
      <c r="K2353" s="104"/>
      <c r="L2353" s="104"/>
      <c r="R2353" s="105"/>
      <c r="S2353" s="105"/>
      <c r="T2353" s="105"/>
      <c r="U2353" s="105"/>
      <c r="V2353" s="105"/>
      <c r="W2353" s="105"/>
      <c r="AD2353" s="106"/>
      <c r="AE2353" s="97"/>
      <c r="AF2353" s="97"/>
      <c r="AG2353" s="97"/>
      <c r="AH2353" s="97"/>
      <c r="AI2353" s="97"/>
      <c r="AJ2353" s="97"/>
      <c r="AK2353" s="97"/>
      <c r="AL2353" s="97"/>
      <c r="AM2353" s="97"/>
      <c r="AN2353" s="97"/>
      <c r="AO2353" s="97"/>
      <c r="AP2353" s="97"/>
      <c r="AQ2353" s="97"/>
    </row>
    <row r="2354" spans="2:43" s="101" customFormat="1" ht="15" customHeight="1">
      <c r="B2354" s="104"/>
      <c r="C2354" s="104"/>
      <c r="D2354" s="104"/>
      <c r="E2354" s="104"/>
      <c r="F2354" s="104"/>
      <c r="G2354" s="104"/>
      <c r="H2354" s="104"/>
      <c r="I2354" s="104"/>
      <c r="J2354" s="104"/>
      <c r="K2354" s="104"/>
      <c r="L2354" s="104"/>
      <c r="R2354" s="105"/>
      <c r="S2354" s="105"/>
      <c r="T2354" s="105"/>
      <c r="U2354" s="105"/>
      <c r="V2354" s="105"/>
      <c r="W2354" s="105"/>
      <c r="AD2354" s="106"/>
      <c r="AE2354" s="97"/>
      <c r="AF2354" s="97"/>
      <c r="AG2354" s="97"/>
      <c r="AH2354" s="97"/>
      <c r="AI2354" s="97"/>
      <c r="AJ2354" s="97"/>
      <c r="AK2354" s="97"/>
      <c r="AL2354" s="97"/>
      <c r="AM2354" s="97"/>
      <c r="AN2354" s="97"/>
      <c r="AO2354" s="97"/>
      <c r="AP2354" s="97"/>
      <c r="AQ2354" s="97"/>
    </row>
    <row r="2355" spans="2:43" s="101" customFormat="1" ht="15" customHeight="1">
      <c r="B2355" s="104"/>
      <c r="C2355" s="104"/>
      <c r="D2355" s="104"/>
      <c r="E2355" s="104"/>
      <c r="F2355" s="104"/>
      <c r="G2355" s="104"/>
      <c r="H2355" s="104"/>
      <c r="I2355" s="104"/>
      <c r="J2355" s="104"/>
      <c r="K2355" s="104"/>
      <c r="L2355" s="104"/>
      <c r="R2355" s="105"/>
      <c r="S2355" s="105"/>
      <c r="T2355" s="105"/>
      <c r="U2355" s="105"/>
      <c r="V2355" s="105"/>
      <c r="W2355" s="105"/>
      <c r="AD2355" s="106"/>
      <c r="AE2355" s="97"/>
      <c r="AF2355" s="97"/>
      <c r="AG2355" s="97"/>
      <c r="AH2355" s="97"/>
      <c r="AI2355" s="97"/>
      <c r="AJ2355" s="97"/>
      <c r="AK2355" s="97"/>
      <c r="AL2355" s="97"/>
      <c r="AM2355" s="97"/>
      <c r="AN2355" s="97"/>
      <c r="AO2355" s="97"/>
      <c r="AP2355" s="97"/>
      <c r="AQ2355" s="97"/>
    </row>
    <row r="2356" spans="2:43" s="101" customFormat="1" ht="15" customHeight="1">
      <c r="B2356" s="104"/>
      <c r="C2356" s="104"/>
      <c r="D2356" s="104"/>
      <c r="E2356" s="104"/>
      <c r="F2356" s="104"/>
      <c r="G2356" s="104"/>
      <c r="H2356" s="104"/>
      <c r="I2356" s="104"/>
      <c r="J2356" s="104"/>
      <c r="K2356" s="104"/>
      <c r="L2356" s="104"/>
      <c r="R2356" s="105"/>
      <c r="S2356" s="105"/>
      <c r="T2356" s="105"/>
      <c r="U2356" s="105"/>
      <c r="V2356" s="105"/>
      <c r="W2356" s="105"/>
      <c r="AD2356" s="106"/>
      <c r="AE2356" s="97"/>
      <c r="AF2356" s="97"/>
      <c r="AG2356" s="97"/>
      <c r="AH2356" s="97"/>
      <c r="AI2356" s="97"/>
      <c r="AJ2356" s="97"/>
      <c r="AK2356" s="97"/>
      <c r="AL2356" s="97"/>
      <c r="AM2356" s="97"/>
      <c r="AN2356" s="97"/>
      <c r="AO2356" s="97"/>
      <c r="AP2356" s="97"/>
      <c r="AQ2356" s="97"/>
    </row>
    <row r="2357" spans="2:43" s="101" customFormat="1" ht="15" customHeight="1">
      <c r="B2357" s="104"/>
      <c r="C2357" s="104"/>
      <c r="D2357" s="104"/>
      <c r="E2357" s="104"/>
      <c r="F2357" s="104"/>
      <c r="G2357" s="104"/>
      <c r="H2357" s="104"/>
      <c r="I2357" s="104"/>
      <c r="J2357" s="104"/>
      <c r="K2357" s="104"/>
      <c r="L2357" s="104"/>
      <c r="R2357" s="105"/>
      <c r="S2357" s="105"/>
      <c r="T2357" s="105"/>
      <c r="U2357" s="105"/>
      <c r="V2357" s="105"/>
      <c r="W2357" s="105"/>
      <c r="AD2357" s="106"/>
      <c r="AE2357" s="97"/>
      <c r="AF2357" s="97"/>
      <c r="AG2357" s="97"/>
      <c r="AH2357" s="97"/>
      <c r="AI2357" s="97"/>
      <c r="AJ2357" s="97"/>
      <c r="AK2357" s="97"/>
      <c r="AL2357" s="97"/>
      <c r="AM2357" s="97"/>
      <c r="AN2357" s="97"/>
      <c r="AO2357" s="97"/>
      <c r="AP2357" s="97"/>
      <c r="AQ2357" s="97"/>
    </row>
    <row r="2358" spans="2:43" s="101" customFormat="1" ht="15" customHeight="1">
      <c r="B2358" s="104"/>
      <c r="C2358" s="104"/>
      <c r="D2358" s="104"/>
      <c r="E2358" s="104"/>
      <c r="F2358" s="104"/>
      <c r="G2358" s="104"/>
      <c r="H2358" s="104"/>
      <c r="I2358" s="104"/>
      <c r="J2358" s="104"/>
      <c r="K2358" s="104"/>
      <c r="L2358" s="104"/>
      <c r="R2358" s="105"/>
      <c r="S2358" s="105"/>
      <c r="T2358" s="105"/>
      <c r="U2358" s="105"/>
      <c r="V2358" s="105"/>
      <c r="W2358" s="105"/>
      <c r="AD2358" s="106"/>
      <c r="AE2358" s="97"/>
      <c r="AF2358" s="97"/>
      <c r="AG2358" s="97"/>
      <c r="AH2358" s="97"/>
      <c r="AI2358" s="97"/>
      <c r="AJ2358" s="97"/>
      <c r="AK2358" s="97"/>
      <c r="AL2358" s="97"/>
      <c r="AM2358" s="97"/>
      <c r="AN2358" s="97"/>
      <c r="AO2358" s="97"/>
      <c r="AP2358" s="97"/>
      <c r="AQ2358" s="97"/>
    </row>
    <row r="2359" spans="2:43" s="101" customFormat="1" ht="15" customHeight="1">
      <c r="B2359" s="104"/>
      <c r="C2359" s="104"/>
      <c r="D2359" s="104"/>
      <c r="E2359" s="104"/>
      <c r="F2359" s="104"/>
      <c r="G2359" s="104"/>
      <c r="H2359" s="104"/>
      <c r="I2359" s="104"/>
      <c r="J2359" s="104"/>
      <c r="K2359" s="104"/>
      <c r="L2359" s="104"/>
      <c r="R2359" s="105"/>
      <c r="S2359" s="105"/>
      <c r="T2359" s="105"/>
      <c r="U2359" s="105"/>
      <c r="V2359" s="105"/>
      <c r="W2359" s="105"/>
      <c r="AD2359" s="106"/>
      <c r="AE2359" s="97"/>
      <c r="AF2359" s="97"/>
      <c r="AG2359" s="97"/>
      <c r="AH2359" s="97"/>
      <c r="AI2359" s="97"/>
      <c r="AJ2359" s="97"/>
      <c r="AK2359" s="97"/>
      <c r="AL2359" s="97"/>
      <c r="AM2359" s="97"/>
      <c r="AN2359" s="97"/>
      <c r="AO2359" s="97"/>
      <c r="AP2359" s="97"/>
      <c r="AQ2359" s="97"/>
    </row>
    <row r="2360" spans="2:43" s="101" customFormat="1" ht="15" customHeight="1">
      <c r="B2360" s="104"/>
      <c r="C2360" s="104"/>
      <c r="D2360" s="104"/>
      <c r="E2360" s="104"/>
      <c r="F2360" s="104"/>
      <c r="G2360" s="104"/>
      <c r="H2360" s="104"/>
      <c r="I2360" s="104"/>
      <c r="J2360" s="104"/>
      <c r="K2360" s="104"/>
      <c r="L2360" s="104"/>
      <c r="R2360" s="105"/>
      <c r="S2360" s="105"/>
      <c r="T2360" s="105"/>
      <c r="U2360" s="105"/>
      <c r="V2360" s="105"/>
      <c r="W2360" s="105"/>
      <c r="AD2360" s="106"/>
      <c r="AE2360" s="97"/>
      <c r="AF2360" s="97"/>
      <c r="AG2360" s="97"/>
      <c r="AH2360" s="97"/>
      <c r="AI2360" s="97"/>
      <c r="AJ2360" s="97"/>
      <c r="AK2360" s="97"/>
      <c r="AL2360" s="97"/>
      <c r="AM2360" s="97"/>
      <c r="AN2360" s="97"/>
      <c r="AO2360" s="97"/>
      <c r="AP2360" s="97"/>
      <c r="AQ2360" s="97"/>
    </row>
    <row r="2361" spans="2:43" s="101" customFormat="1" ht="15" customHeight="1">
      <c r="B2361" s="104"/>
      <c r="C2361" s="104"/>
      <c r="D2361" s="104"/>
      <c r="E2361" s="104"/>
      <c r="F2361" s="104"/>
      <c r="G2361" s="104"/>
      <c r="H2361" s="104"/>
      <c r="I2361" s="104"/>
      <c r="J2361" s="104"/>
      <c r="K2361" s="104"/>
      <c r="L2361" s="104"/>
      <c r="R2361" s="105"/>
      <c r="S2361" s="105"/>
      <c r="T2361" s="105"/>
      <c r="U2361" s="105"/>
      <c r="V2361" s="105"/>
      <c r="W2361" s="105"/>
      <c r="AD2361" s="106"/>
      <c r="AE2361" s="97"/>
      <c r="AF2361" s="97"/>
      <c r="AG2361" s="97"/>
      <c r="AH2361" s="97"/>
      <c r="AI2361" s="97"/>
      <c r="AJ2361" s="97"/>
      <c r="AK2361" s="97"/>
      <c r="AL2361" s="97"/>
      <c r="AM2361" s="97"/>
      <c r="AN2361" s="97"/>
      <c r="AO2361" s="97"/>
      <c r="AP2361" s="97"/>
      <c r="AQ2361" s="97"/>
    </row>
    <row r="2362" spans="2:43" s="101" customFormat="1" ht="15" customHeight="1">
      <c r="B2362" s="104"/>
      <c r="C2362" s="104"/>
      <c r="D2362" s="104"/>
      <c r="E2362" s="104"/>
      <c r="F2362" s="104"/>
      <c r="G2362" s="104"/>
      <c r="H2362" s="104"/>
      <c r="I2362" s="104"/>
      <c r="J2362" s="104"/>
      <c r="K2362" s="104"/>
      <c r="L2362" s="104"/>
      <c r="R2362" s="105"/>
      <c r="S2362" s="105"/>
      <c r="T2362" s="105"/>
      <c r="U2362" s="105"/>
      <c r="V2362" s="105"/>
      <c r="W2362" s="105"/>
      <c r="AD2362" s="106"/>
      <c r="AE2362" s="97"/>
      <c r="AF2362" s="97"/>
      <c r="AG2362" s="97"/>
      <c r="AH2362" s="97"/>
      <c r="AI2362" s="97"/>
      <c r="AJ2362" s="97"/>
      <c r="AK2362" s="97"/>
      <c r="AL2362" s="97"/>
      <c r="AM2362" s="97"/>
      <c r="AN2362" s="97"/>
      <c r="AO2362" s="97"/>
      <c r="AP2362" s="97"/>
      <c r="AQ2362" s="97"/>
    </row>
    <row r="2363" spans="2:43" s="101" customFormat="1" ht="15" customHeight="1">
      <c r="B2363" s="104"/>
      <c r="C2363" s="104"/>
      <c r="D2363" s="104"/>
      <c r="E2363" s="104"/>
      <c r="F2363" s="104"/>
      <c r="G2363" s="104"/>
      <c r="H2363" s="104"/>
      <c r="I2363" s="104"/>
      <c r="J2363" s="104"/>
      <c r="K2363" s="104"/>
      <c r="L2363" s="104"/>
      <c r="R2363" s="105"/>
      <c r="S2363" s="105"/>
      <c r="T2363" s="105"/>
      <c r="U2363" s="105"/>
      <c r="V2363" s="105"/>
      <c r="W2363" s="105"/>
      <c r="AD2363" s="106"/>
      <c r="AE2363" s="97"/>
      <c r="AF2363" s="97"/>
      <c r="AG2363" s="97"/>
      <c r="AH2363" s="97"/>
      <c r="AI2363" s="97"/>
      <c r="AJ2363" s="97"/>
      <c r="AK2363" s="97"/>
      <c r="AL2363" s="97"/>
      <c r="AM2363" s="97"/>
      <c r="AN2363" s="97"/>
      <c r="AO2363" s="97"/>
      <c r="AP2363" s="97"/>
      <c r="AQ2363" s="97"/>
    </row>
    <row r="2364" spans="2:43" s="101" customFormat="1" ht="15" customHeight="1">
      <c r="B2364" s="104"/>
      <c r="C2364" s="104"/>
      <c r="D2364" s="104"/>
      <c r="E2364" s="104"/>
      <c r="F2364" s="104"/>
      <c r="G2364" s="104"/>
      <c r="H2364" s="104"/>
      <c r="I2364" s="104"/>
      <c r="J2364" s="104"/>
      <c r="K2364" s="104"/>
      <c r="L2364" s="104"/>
      <c r="R2364" s="105"/>
      <c r="S2364" s="105"/>
      <c r="T2364" s="105"/>
      <c r="U2364" s="105"/>
      <c r="V2364" s="105"/>
      <c r="W2364" s="105"/>
      <c r="AD2364" s="106"/>
      <c r="AE2364" s="97"/>
      <c r="AF2364" s="97"/>
      <c r="AG2364" s="97"/>
      <c r="AH2364" s="97"/>
      <c r="AI2364" s="97"/>
      <c r="AJ2364" s="97"/>
      <c r="AK2364" s="97"/>
      <c r="AL2364" s="97"/>
      <c r="AM2364" s="97"/>
      <c r="AN2364" s="97"/>
      <c r="AO2364" s="97"/>
      <c r="AP2364" s="97"/>
      <c r="AQ2364" s="97"/>
    </row>
    <row r="2365" spans="2:43" s="101" customFormat="1" ht="15" customHeight="1">
      <c r="B2365" s="104"/>
      <c r="C2365" s="104"/>
      <c r="D2365" s="104"/>
      <c r="E2365" s="104"/>
      <c r="F2365" s="104"/>
      <c r="G2365" s="104"/>
      <c r="H2365" s="104"/>
      <c r="I2365" s="104"/>
      <c r="J2365" s="104"/>
      <c r="K2365" s="104"/>
      <c r="L2365" s="104"/>
      <c r="R2365" s="105"/>
      <c r="S2365" s="105"/>
      <c r="T2365" s="105"/>
      <c r="U2365" s="105"/>
      <c r="V2365" s="105"/>
      <c r="W2365" s="105"/>
      <c r="AD2365" s="106"/>
      <c r="AE2365" s="97"/>
      <c r="AF2365" s="97"/>
      <c r="AG2365" s="97"/>
      <c r="AH2365" s="97"/>
      <c r="AI2365" s="97"/>
      <c r="AJ2365" s="97"/>
      <c r="AK2365" s="97"/>
      <c r="AL2365" s="97"/>
      <c r="AM2365" s="97"/>
      <c r="AN2365" s="97"/>
      <c r="AO2365" s="97"/>
      <c r="AP2365" s="97"/>
      <c r="AQ2365" s="97"/>
    </row>
    <row r="2366" spans="2:43" s="101" customFormat="1" ht="15" customHeight="1">
      <c r="B2366" s="104"/>
      <c r="C2366" s="104"/>
      <c r="D2366" s="104"/>
      <c r="E2366" s="104"/>
      <c r="F2366" s="104"/>
      <c r="G2366" s="104"/>
      <c r="H2366" s="104"/>
      <c r="I2366" s="104"/>
      <c r="J2366" s="104"/>
      <c r="K2366" s="104"/>
      <c r="L2366" s="104"/>
      <c r="R2366" s="105"/>
      <c r="S2366" s="105"/>
      <c r="T2366" s="105"/>
      <c r="U2366" s="105"/>
      <c r="V2366" s="105"/>
      <c r="W2366" s="105"/>
      <c r="AD2366" s="106"/>
      <c r="AE2366" s="97"/>
      <c r="AF2366" s="97"/>
      <c r="AG2366" s="97"/>
      <c r="AH2366" s="97"/>
      <c r="AI2366" s="97"/>
      <c r="AJ2366" s="97"/>
      <c r="AK2366" s="97"/>
      <c r="AL2366" s="97"/>
      <c r="AM2366" s="97"/>
      <c r="AN2366" s="97"/>
      <c r="AO2366" s="97"/>
      <c r="AP2366" s="97"/>
      <c r="AQ2366" s="97"/>
    </row>
    <row r="2367" spans="2:43" s="101" customFormat="1" ht="15" customHeight="1">
      <c r="B2367" s="104"/>
      <c r="C2367" s="104"/>
      <c r="D2367" s="104"/>
      <c r="E2367" s="104"/>
      <c r="F2367" s="104"/>
      <c r="G2367" s="104"/>
      <c r="H2367" s="104"/>
      <c r="I2367" s="104"/>
      <c r="J2367" s="104"/>
      <c r="K2367" s="104"/>
      <c r="L2367" s="104"/>
      <c r="R2367" s="105"/>
      <c r="S2367" s="105"/>
      <c r="T2367" s="105"/>
      <c r="U2367" s="105"/>
      <c r="V2367" s="105"/>
      <c r="W2367" s="105"/>
      <c r="AD2367" s="106"/>
      <c r="AE2367" s="97"/>
      <c r="AF2367" s="97"/>
      <c r="AG2367" s="97"/>
      <c r="AH2367" s="97"/>
      <c r="AI2367" s="97"/>
      <c r="AJ2367" s="97"/>
      <c r="AK2367" s="97"/>
      <c r="AL2367" s="97"/>
      <c r="AM2367" s="97"/>
      <c r="AN2367" s="97"/>
      <c r="AO2367" s="97"/>
      <c r="AP2367" s="97"/>
      <c r="AQ2367" s="97"/>
    </row>
    <row r="2368" spans="2:43" s="101" customFormat="1" ht="15" customHeight="1">
      <c r="B2368" s="104"/>
      <c r="C2368" s="104"/>
      <c r="D2368" s="104"/>
      <c r="E2368" s="104"/>
      <c r="F2368" s="104"/>
      <c r="G2368" s="104"/>
      <c r="H2368" s="104"/>
      <c r="I2368" s="104"/>
      <c r="J2368" s="104"/>
      <c r="K2368" s="104"/>
      <c r="L2368" s="104"/>
      <c r="R2368" s="105"/>
      <c r="S2368" s="105"/>
      <c r="T2368" s="105"/>
      <c r="U2368" s="105"/>
      <c r="V2368" s="105"/>
      <c r="W2368" s="105"/>
      <c r="AD2368" s="106"/>
      <c r="AE2368" s="97"/>
      <c r="AF2368" s="97"/>
      <c r="AG2368" s="97"/>
      <c r="AH2368" s="97"/>
      <c r="AI2368" s="97"/>
      <c r="AJ2368" s="97"/>
      <c r="AK2368" s="97"/>
      <c r="AL2368" s="97"/>
      <c r="AM2368" s="97"/>
      <c r="AN2368" s="97"/>
      <c r="AO2368" s="97"/>
      <c r="AP2368" s="97"/>
      <c r="AQ2368" s="97"/>
    </row>
    <row r="2369" spans="2:43" s="101" customFormat="1" ht="15" customHeight="1">
      <c r="B2369" s="104"/>
      <c r="C2369" s="104"/>
      <c r="D2369" s="104"/>
      <c r="E2369" s="104"/>
      <c r="F2369" s="104"/>
      <c r="G2369" s="104"/>
      <c r="H2369" s="104"/>
      <c r="I2369" s="104"/>
      <c r="J2369" s="104"/>
      <c r="K2369" s="104"/>
      <c r="L2369" s="104"/>
      <c r="R2369" s="105"/>
      <c r="S2369" s="105"/>
      <c r="T2369" s="105"/>
      <c r="U2369" s="105"/>
      <c r="V2369" s="105"/>
      <c r="W2369" s="105"/>
      <c r="AD2369" s="106"/>
      <c r="AE2369" s="97"/>
      <c r="AF2369" s="97"/>
      <c r="AG2369" s="97"/>
      <c r="AH2369" s="97"/>
      <c r="AI2369" s="97"/>
      <c r="AJ2369" s="97"/>
      <c r="AK2369" s="97"/>
      <c r="AL2369" s="97"/>
      <c r="AM2369" s="97"/>
      <c r="AN2369" s="97"/>
      <c r="AO2369" s="97"/>
      <c r="AP2369" s="97"/>
      <c r="AQ2369" s="97"/>
    </row>
    <row r="2370" spans="2:43" s="101" customFormat="1" ht="15" customHeight="1">
      <c r="B2370" s="104"/>
      <c r="C2370" s="104"/>
      <c r="D2370" s="104"/>
      <c r="E2370" s="104"/>
      <c r="F2370" s="104"/>
      <c r="G2370" s="104"/>
      <c r="H2370" s="104"/>
      <c r="I2370" s="104"/>
      <c r="J2370" s="104"/>
      <c r="K2370" s="104"/>
      <c r="L2370" s="104"/>
      <c r="R2370" s="105"/>
      <c r="S2370" s="105"/>
      <c r="T2370" s="105"/>
      <c r="U2370" s="105"/>
      <c r="V2370" s="105"/>
      <c r="W2370" s="105"/>
      <c r="AD2370" s="106"/>
      <c r="AE2370" s="97"/>
      <c r="AF2370" s="97"/>
      <c r="AG2370" s="97"/>
      <c r="AH2370" s="97"/>
      <c r="AI2370" s="97"/>
      <c r="AJ2370" s="97"/>
      <c r="AK2370" s="97"/>
      <c r="AL2370" s="97"/>
      <c r="AM2370" s="97"/>
      <c r="AN2370" s="97"/>
      <c r="AO2370" s="97"/>
      <c r="AP2370" s="97"/>
      <c r="AQ2370" s="97"/>
    </row>
    <row r="2371" spans="2:43" s="101" customFormat="1" ht="15" customHeight="1">
      <c r="B2371" s="104"/>
      <c r="C2371" s="104"/>
      <c r="D2371" s="104"/>
      <c r="E2371" s="104"/>
      <c r="F2371" s="104"/>
      <c r="G2371" s="104"/>
      <c r="H2371" s="104"/>
      <c r="I2371" s="104"/>
      <c r="J2371" s="104"/>
      <c r="K2371" s="104"/>
      <c r="L2371" s="104"/>
      <c r="R2371" s="105"/>
      <c r="S2371" s="105"/>
      <c r="T2371" s="105"/>
      <c r="U2371" s="105"/>
      <c r="V2371" s="105"/>
      <c r="W2371" s="105"/>
      <c r="AD2371" s="106"/>
      <c r="AE2371" s="97"/>
      <c r="AF2371" s="97"/>
      <c r="AG2371" s="97"/>
      <c r="AH2371" s="97"/>
      <c r="AI2371" s="97"/>
      <c r="AJ2371" s="97"/>
      <c r="AK2371" s="97"/>
      <c r="AL2371" s="97"/>
      <c r="AM2371" s="97"/>
      <c r="AN2371" s="97"/>
      <c r="AO2371" s="97"/>
      <c r="AP2371" s="97"/>
      <c r="AQ2371" s="97"/>
    </row>
    <row r="2372" spans="2:43" s="101" customFormat="1" ht="15" customHeight="1">
      <c r="B2372" s="104"/>
      <c r="C2372" s="104"/>
      <c r="D2372" s="104"/>
      <c r="E2372" s="104"/>
      <c r="F2372" s="104"/>
      <c r="G2372" s="104"/>
      <c r="H2372" s="104"/>
      <c r="I2372" s="104"/>
      <c r="J2372" s="104"/>
      <c r="K2372" s="104"/>
      <c r="L2372" s="104"/>
      <c r="R2372" s="105"/>
      <c r="S2372" s="105"/>
      <c r="T2372" s="105"/>
      <c r="U2372" s="105"/>
      <c r="V2372" s="105"/>
      <c r="W2372" s="105"/>
      <c r="AD2372" s="106"/>
      <c r="AE2372" s="97"/>
      <c r="AF2372" s="97"/>
      <c r="AG2372" s="97"/>
      <c r="AH2372" s="97"/>
      <c r="AI2372" s="97"/>
      <c r="AJ2372" s="97"/>
      <c r="AK2372" s="97"/>
      <c r="AL2372" s="97"/>
      <c r="AM2372" s="97"/>
      <c r="AN2372" s="97"/>
      <c r="AO2372" s="97"/>
      <c r="AP2372" s="97"/>
      <c r="AQ2372" s="97"/>
    </row>
    <row r="2373" spans="2:43" s="101" customFormat="1" ht="15" customHeight="1">
      <c r="B2373" s="104"/>
      <c r="C2373" s="104"/>
      <c r="D2373" s="104"/>
      <c r="E2373" s="104"/>
      <c r="F2373" s="104"/>
      <c r="G2373" s="104"/>
      <c r="H2373" s="104"/>
      <c r="I2373" s="104"/>
      <c r="J2373" s="104"/>
      <c r="K2373" s="104"/>
      <c r="L2373" s="104"/>
      <c r="R2373" s="105"/>
      <c r="S2373" s="105"/>
      <c r="T2373" s="105"/>
      <c r="U2373" s="105"/>
      <c r="V2373" s="105"/>
      <c r="W2373" s="105"/>
      <c r="AD2373" s="106"/>
      <c r="AE2373" s="97"/>
      <c r="AF2373" s="97"/>
      <c r="AG2373" s="97"/>
      <c r="AH2373" s="97"/>
      <c r="AI2373" s="97"/>
      <c r="AJ2373" s="97"/>
      <c r="AK2373" s="97"/>
      <c r="AL2373" s="97"/>
      <c r="AM2373" s="97"/>
      <c r="AN2373" s="97"/>
      <c r="AO2373" s="97"/>
      <c r="AP2373" s="97"/>
      <c r="AQ2373" s="97"/>
    </row>
    <row r="2374" spans="2:43" s="101" customFormat="1" ht="15" customHeight="1">
      <c r="B2374" s="104"/>
      <c r="C2374" s="104"/>
      <c r="D2374" s="104"/>
      <c r="E2374" s="104"/>
      <c r="F2374" s="104"/>
      <c r="G2374" s="104"/>
      <c r="H2374" s="104"/>
      <c r="I2374" s="104"/>
      <c r="J2374" s="104"/>
      <c r="K2374" s="104"/>
      <c r="L2374" s="104"/>
      <c r="R2374" s="105"/>
      <c r="S2374" s="105"/>
      <c r="T2374" s="105"/>
      <c r="U2374" s="105"/>
      <c r="V2374" s="105"/>
      <c r="W2374" s="105"/>
      <c r="AD2374" s="106"/>
      <c r="AE2374" s="97"/>
      <c r="AF2374" s="97"/>
      <c r="AG2374" s="97"/>
      <c r="AH2374" s="97"/>
      <c r="AI2374" s="97"/>
      <c r="AJ2374" s="97"/>
      <c r="AK2374" s="97"/>
      <c r="AL2374" s="97"/>
      <c r="AM2374" s="97"/>
      <c r="AN2374" s="97"/>
      <c r="AO2374" s="97"/>
      <c r="AP2374" s="97"/>
      <c r="AQ2374" s="97"/>
    </row>
    <row r="2375" spans="2:43" s="101" customFormat="1" ht="15" customHeight="1">
      <c r="B2375" s="104"/>
      <c r="C2375" s="104"/>
      <c r="D2375" s="104"/>
      <c r="E2375" s="104"/>
      <c r="F2375" s="104"/>
      <c r="G2375" s="104"/>
      <c r="H2375" s="104"/>
      <c r="I2375" s="104"/>
      <c r="J2375" s="104"/>
      <c r="K2375" s="104"/>
      <c r="L2375" s="104"/>
      <c r="R2375" s="105"/>
      <c r="S2375" s="105"/>
      <c r="T2375" s="105"/>
      <c r="U2375" s="105"/>
      <c r="V2375" s="105"/>
      <c r="W2375" s="105"/>
      <c r="AD2375" s="106"/>
      <c r="AE2375" s="97"/>
      <c r="AF2375" s="97"/>
      <c r="AG2375" s="97"/>
      <c r="AH2375" s="97"/>
      <c r="AI2375" s="97"/>
      <c r="AJ2375" s="97"/>
      <c r="AK2375" s="97"/>
      <c r="AL2375" s="97"/>
      <c r="AM2375" s="97"/>
      <c r="AN2375" s="97"/>
      <c r="AO2375" s="97"/>
      <c r="AP2375" s="97"/>
      <c r="AQ2375" s="97"/>
    </row>
    <row r="2376" spans="2:43" s="101" customFormat="1" ht="15" customHeight="1">
      <c r="B2376" s="104"/>
      <c r="C2376" s="104"/>
      <c r="D2376" s="104"/>
      <c r="E2376" s="104"/>
      <c r="F2376" s="104"/>
      <c r="G2376" s="104"/>
      <c r="H2376" s="104"/>
      <c r="I2376" s="104"/>
      <c r="J2376" s="104"/>
      <c r="K2376" s="104"/>
      <c r="L2376" s="104"/>
      <c r="R2376" s="105"/>
      <c r="S2376" s="105"/>
      <c r="T2376" s="105"/>
      <c r="U2376" s="105"/>
      <c r="V2376" s="105"/>
      <c r="W2376" s="105"/>
      <c r="AD2376" s="106"/>
      <c r="AE2376" s="97"/>
      <c r="AF2376" s="97"/>
      <c r="AG2376" s="97"/>
      <c r="AH2376" s="97"/>
      <c r="AI2376" s="97"/>
      <c r="AJ2376" s="97"/>
      <c r="AK2376" s="97"/>
      <c r="AL2376" s="97"/>
      <c r="AM2376" s="97"/>
      <c r="AN2376" s="97"/>
      <c r="AO2376" s="97"/>
      <c r="AP2376" s="97"/>
      <c r="AQ2376" s="97"/>
    </row>
    <row r="2377" spans="2:43" s="101" customFormat="1" ht="15" customHeight="1">
      <c r="B2377" s="104"/>
      <c r="C2377" s="104"/>
      <c r="D2377" s="104"/>
      <c r="E2377" s="104"/>
      <c r="F2377" s="104"/>
      <c r="G2377" s="104"/>
      <c r="H2377" s="104"/>
      <c r="I2377" s="104"/>
      <c r="J2377" s="104"/>
      <c r="K2377" s="104"/>
      <c r="L2377" s="104"/>
      <c r="R2377" s="105"/>
      <c r="S2377" s="105"/>
      <c r="T2377" s="105"/>
      <c r="U2377" s="105"/>
      <c r="V2377" s="105"/>
      <c r="W2377" s="105"/>
      <c r="AD2377" s="106"/>
      <c r="AE2377" s="97"/>
      <c r="AF2377" s="97"/>
      <c r="AG2377" s="97"/>
      <c r="AH2377" s="97"/>
      <c r="AI2377" s="97"/>
      <c r="AJ2377" s="97"/>
      <c r="AK2377" s="97"/>
      <c r="AL2377" s="97"/>
      <c r="AM2377" s="97"/>
      <c r="AN2377" s="97"/>
      <c r="AO2377" s="97"/>
      <c r="AP2377" s="97"/>
      <c r="AQ2377" s="97"/>
    </row>
    <row r="2378" spans="2:43" s="101" customFormat="1" ht="15" customHeight="1">
      <c r="B2378" s="104"/>
      <c r="C2378" s="104"/>
      <c r="D2378" s="104"/>
      <c r="E2378" s="104"/>
      <c r="F2378" s="104"/>
      <c r="G2378" s="104"/>
      <c r="H2378" s="104"/>
      <c r="I2378" s="104"/>
      <c r="J2378" s="104"/>
      <c r="K2378" s="104"/>
      <c r="L2378" s="104"/>
      <c r="R2378" s="105"/>
      <c r="S2378" s="105"/>
      <c r="T2378" s="105"/>
      <c r="U2378" s="105"/>
      <c r="V2378" s="105"/>
      <c r="W2378" s="105"/>
      <c r="AD2378" s="106"/>
      <c r="AE2378" s="97"/>
      <c r="AF2378" s="97"/>
      <c r="AG2378" s="97"/>
      <c r="AH2378" s="97"/>
      <c r="AI2378" s="97"/>
      <c r="AJ2378" s="97"/>
      <c r="AK2378" s="97"/>
      <c r="AL2378" s="97"/>
      <c r="AM2378" s="97"/>
      <c r="AN2378" s="97"/>
      <c r="AO2378" s="97"/>
      <c r="AP2378" s="97"/>
      <c r="AQ2378" s="97"/>
    </row>
    <row r="2379" spans="2:43" s="101" customFormat="1" ht="15" customHeight="1">
      <c r="B2379" s="104"/>
      <c r="C2379" s="104"/>
      <c r="D2379" s="104"/>
      <c r="E2379" s="104"/>
      <c r="F2379" s="104"/>
      <c r="G2379" s="104"/>
      <c r="H2379" s="104"/>
      <c r="I2379" s="104"/>
      <c r="J2379" s="104"/>
      <c r="K2379" s="104"/>
      <c r="L2379" s="104"/>
      <c r="R2379" s="105"/>
      <c r="S2379" s="105"/>
      <c r="T2379" s="105"/>
      <c r="U2379" s="105"/>
      <c r="V2379" s="105"/>
      <c r="W2379" s="105"/>
      <c r="AD2379" s="106"/>
      <c r="AE2379" s="97"/>
      <c r="AF2379" s="97"/>
      <c r="AG2379" s="97"/>
      <c r="AH2379" s="97"/>
      <c r="AI2379" s="97"/>
      <c r="AJ2379" s="97"/>
      <c r="AK2379" s="97"/>
      <c r="AL2379" s="97"/>
      <c r="AM2379" s="97"/>
      <c r="AN2379" s="97"/>
      <c r="AO2379" s="97"/>
      <c r="AP2379" s="97"/>
      <c r="AQ2379" s="97"/>
    </row>
    <row r="2380" spans="2:43" s="101" customFormat="1" ht="15" customHeight="1">
      <c r="B2380" s="104"/>
      <c r="C2380" s="104"/>
      <c r="D2380" s="104"/>
      <c r="E2380" s="104"/>
      <c r="F2380" s="104"/>
      <c r="G2380" s="104"/>
      <c r="H2380" s="104"/>
      <c r="I2380" s="104"/>
      <c r="J2380" s="104"/>
      <c r="K2380" s="104"/>
      <c r="L2380" s="104"/>
      <c r="R2380" s="105"/>
      <c r="S2380" s="105"/>
      <c r="T2380" s="105"/>
      <c r="U2380" s="105"/>
      <c r="V2380" s="105"/>
      <c r="W2380" s="105"/>
      <c r="AD2380" s="106"/>
      <c r="AE2380" s="97"/>
      <c r="AF2380" s="97"/>
      <c r="AG2380" s="97"/>
      <c r="AH2380" s="97"/>
      <c r="AI2380" s="97"/>
      <c r="AJ2380" s="97"/>
      <c r="AK2380" s="97"/>
      <c r="AL2380" s="97"/>
      <c r="AM2380" s="97"/>
      <c r="AN2380" s="97"/>
      <c r="AO2380" s="97"/>
      <c r="AP2380" s="97"/>
      <c r="AQ2380" s="97"/>
    </row>
    <row r="2381" spans="2:43" s="101" customFormat="1" ht="15" customHeight="1">
      <c r="B2381" s="104"/>
      <c r="C2381" s="104"/>
      <c r="D2381" s="104"/>
      <c r="E2381" s="104"/>
      <c r="F2381" s="104"/>
      <c r="G2381" s="104"/>
      <c r="H2381" s="104"/>
      <c r="I2381" s="104"/>
      <c r="J2381" s="104"/>
      <c r="K2381" s="104"/>
      <c r="L2381" s="104"/>
      <c r="R2381" s="105"/>
      <c r="S2381" s="105"/>
      <c r="T2381" s="105"/>
      <c r="U2381" s="105"/>
      <c r="V2381" s="105"/>
      <c r="W2381" s="105"/>
      <c r="AD2381" s="106"/>
      <c r="AE2381" s="97"/>
      <c r="AF2381" s="97"/>
      <c r="AG2381" s="97"/>
      <c r="AH2381" s="97"/>
      <c r="AI2381" s="97"/>
      <c r="AJ2381" s="97"/>
      <c r="AK2381" s="97"/>
      <c r="AL2381" s="97"/>
      <c r="AM2381" s="97"/>
      <c r="AN2381" s="97"/>
      <c r="AO2381" s="97"/>
      <c r="AP2381" s="97"/>
      <c r="AQ2381" s="97"/>
    </row>
    <row r="2382" spans="2:43" s="101" customFormat="1" ht="15" customHeight="1">
      <c r="B2382" s="104"/>
      <c r="C2382" s="104"/>
      <c r="D2382" s="104"/>
      <c r="E2382" s="104"/>
      <c r="F2382" s="104"/>
      <c r="G2382" s="104"/>
      <c r="H2382" s="104"/>
      <c r="I2382" s="104"/>
      <c r="J2382" s="104"/>
      <c r="K2382" s="104"/>
      <c r="L2382" s="104"/>
      <c r="R2382" s="105"/>
      <c r="S2382" s="105"/>
      <c r="T2382" s="105"/>
      <c r="U2382" s="105"/>
      <c r="V2382" s="105"/>
      <c r="W2382" s="105"/>
      <c r="AD2382" s="106"/>
      <c r="AE2382" s="97"/>
      <c r="AF2382" s="97"/>
      <c r="AG2382" s="97"/>
      <c r="AH2382" s="97"/>
      <c r="AI2382" s="97"/>
      <c r="AJ2382" s="97"/>
      <c r="AK2382" s="97"/>
      <c r="AL2382" s="97"/>
      <c r="AM2382" s="97"/>
      <c r="AN2382" s="97"/>
      <c r="AO2382" s="97"/>
      <c r="AP2382" s="97"/>
      <c r="AQ2382" s="97"/>
    </row>
    <row r="2383" spans="2:43" s="101" customFormat="1" ht="15" customHeight="1">
      <c r="B2383" s="104"/>
      <c r="C2383" s="104"/>
      <c r="D2383" s="104"/>
      <c r="E2383" s="104"/>
      <c r="F2383" s="104"/>
      <c r="G2383" s="104"/>
      <c r="H2383" s="104"/>
      <c r="I2383" s="104"/>
      <c r="J2383" s="104"/>
      <c r="K2383" s="104"/>
      <c r="L2383" s="104"/>
      <c r="R2383" s="105"/>
      <c r="S2383" s="105"/>
      <c r="T2383" s="105"/>
      <c r="U2383" s="105"/>
      <c r="V2383" s="105"/>
      <c r="W2383" s="105"/>
      <c r="AD2383" s="106"/>
      <c r="AE2383" s="97"/>
      <c r="AF2383" s="97"/>
      <c r="AG2383" s="97"/>
      <c r="AH2383" s="97"/>
      <c r="AI2383" s="97"/>
      <c r="AJ2383" s="97"/>
      <c r="AK2383" s="97"/>
      <c r="AL2383" s="97"/>
      <c r="AM2383" s="97"/>
      <c r="AN2383" s="97"/>
      <c r="AO2383" s="97"/>
      <c r="AP2383" s="97"/>
      <c r="AQ2383" s="97"/>
    </row>
    <row r="2384" spans="2:43" s="101" customFormat="1" ht="15" customHeight="1">
      <c r="B2384" s="104"/>
      <c r="C2384" s="104"/>
      <c r="D2384" s="104"/>
      <c r="E2384" s="104"/>
      <c r="F2384" s="104"/>
      <c r="G2384" s="104"/>
      <c r="H2384" s="104"/>
      <c r="I2384" s="104"/>
      <c r="J2384" s="104"/>
      <c r="K2384" s="104"/>
      <c r="L2384" s="104"/>
      <c r="R2384" s="105"/>
      <c r="S2384" s="105"/>
      <c r="T2384" s="105"/>
      <c r="U2384" s="105"/>
      <c r="V2384" s="105"/>
      <c r="W2384" s="105"/>
      <c r="AD2384" s="106"/>
      <c r="AE2384" s="97"/>
      <c r="AF2384" s="97"/>
      <c r="AG2384" s="97"/>
      <c r="AH2384" s="97"/>
      <c r="AI2384" s="97"/>
      <c r="AJ2384" s="97"/>
      <c r="AK2384" s="97"/>
      <c r="AL2384" s="97"/>
      <c r="AM2384" s="97"/>
      <c r="AN2384" s="97"/>
      <c r="AO2384" s="97"/>
      <c r="AP2384" s="97"/>
      <c r="AQ2384" s="97"/>
    </row>
    <row r="2385" spans="2:43" s="101" customFormat="1" ht="15" customHeight="1">
      <c r="B2385" s="104"/>
      <c r="C2385" s="104"/>
      <c r="D2385" s="104"/>
      <c r="E2385" s="104"/>
      <c r="F2385" s="104"/>
      <c r="G2385" s="104"/>
      <c r="H2385" s="104"/>
      <c r="I2385" s="104"/>
      <c r="J2385" s="104"/>
      <c r="K2385" s="104"/>
      <c r="L2385" s="104"/>
      <c r="R2385" s="105"/>
      <c r="S2385" s="105"/>
      <c r="T2385" s="105"/>
      <c r="U2385" s="105"/>
      <c r="V2385" s="105"/>
      <c r="W2385" s="105"/>
      <c r="AD2385" s="106"/>
      <c r="AE2385" s="97"/>
      <c r="AF2385" s="97"/>
      <c r="AG2385" s="97"/>
      <c r="AH2385" s="97"/>
      <c r="AI2385" s="97"/>
      <c r="AJ2385" s="97"/>
      <c r="AK2385" s="97"/>
      <c r="AL2385" s="97"/>
      <c r="AM2385" s="97"/>
      <c r="AN2385" s="97"/>
      <c r="AO2385" s="97"/>
      <c r="AP2385" s="97"/>
      <c r="AQ2385" s="97"/>
    </row>
    <row r="2386" spans="2:43" s="101" customFormat="1" ht="15" customHeight="1">
      <c r="B2386" s="104"/>
      <c r="C2386" s="104"/>
      <c r="D2386" s="104"/>
      <c r="E2386" s="104"/>
      <c r="F2386" s="104"/>
      <c r="G2386" s="104"/>
      <c r="H2386" s="104"/>
      <c r="I2386" s="104"/>
      <c r="J2386" s="104"/>
      <c r="K2386" s="104"/>
      <c r="L2386" s="104"/>
      <c r="R2386" s="105"/>
      <c r="S2386" s="105"/>
      <c r="T2386" s="105"/>
      <c r="U2386" s="105"/>
      <c r="V2386" s="105"/>
      <c r="W2386" s="105"/>
      <c r="AD2386" s="106"/>
      <c r="AE2386" s="97"/>
      <c r="AF2386" s="97"/>
      <c r="AG2386" s="97"/>
      <c r="AH2386" s="97"/>
      <c r="AI2386" s="97"/>
      <c r="AJ2386" s="97"/>
      <c r="AK2386" s="97"/>
      <c r="AL2386" s="97"/>
      <c r="AM2386" s="97"/>
      <c r="AN2386" s="97"/>
      <c r="AO2386" s="97"/>
      <c r="AP2386" s="97"/>
      <c r="AQ2386" s="97"/>
    </row>
    <row r="2387" spans="2:43" s="101" customFormat="1" ht="15" customHeight="1">
      <c r="B2387" s="104"/>
      <c r="C2387" s="104"/>
      <c r="D2387" s="104"/>
      <c r="E2387" s="104"/>
      <c r="F2387" s="104"/>
      <c r="G2387" s="104"/>
      <c r="H2387" s="104"/>
      <c r="I2387" s="104"/>
      <c r="J2387" s="104"/>
      <c r="K2387" s="104"/>
      <c r="L2387" s="104"/>
      <c r="R2387" s="105"/>
      <c r="S2387" s="105"/>
      <c r="T2387" s="105"/>
      <c r="U2387" s="105"/>
      <c r="V2387" s="105"/>
      <c r="W2387" s="105"/>
      <c r="AD2387" s="106"/>
      <c r="AE2387" s="97"/>
      <c r="AF2387" s="97"/>
      <c r="AG2387" s="97"/>
      <c r="AH2387" s="97"/>
      <c r="AI2387" s="97"/>
      <c r="AJ2387" s="97"/>
      <c r="AK2387" s="97"/>
      <c r="AL2387" s="97"/>
      <c r="AM2387" s="97"/>
      <c r="AN2387" s="97"/>
      <c r="AO2387" s="97"/>
      <c r="AP2387" s="97"/>
      <c r="AQ2387" s="97"/>
    </row>
    <row r="2388" spans="2:43" s="101" customFormat="1" ht="15" customHeight="1">
      <c r="B2388" s="104"/>
      <c r="C2388" s="104"/>
      <c r="D2388" s="104"/>
      <c r="E2388" s="104"/>
      <c r="F2388" s="104"/>
      <c r="G2388" s="104"/>
      <c r="H2388" s="104"/>
      <c r="I2388" s="104"/>
      <c r="J2388" s="104"/>
      <c r="K2388" s="104"/>
      <c r="L2388" s="104"/>
      <c r="R2388" s="105"/>
      <c r="S2388" s="105"/>
      <c r="T2388" s="105"/>
      <c r="U2388" s="105"/>
      <c r="V2388" s="105"/>
      <c r="W2388" s="105"/>
      <c r="AD2388" s="106"/>
      <c r="AE2388" s="97"/>
      <c r="AF2388" s="97"/>
      <c r="AG2388" s="97"/>
      <c r="AH2388" s="97"/>
      <c r="AI2388" s="97"/>
      <c r="AJ2388" s="97"/>
      <c r="AK2388" s="97"/>
      <c r="AL2388" s="97"/>
      <c r="AM2388" s="97"/>
      <c r="AN2388" s="97"/>
      <c r="AO2388" s="97"/>
      <c r="AP2388" s="97"/>
      <c r="AQ2388" s="97"/>
    </row>
    <row r="2389" spans="2:43" s="101" customFormat="1" ht="15" customHeight="1">
      <c r="B2389" s="104"/>
      <c r="C2389" s="104"/>
      <c r="D2389" s="104"/>
      <c r="E2389" s="104"/>
      <c r="F2389" s="104"/>
      <c r="G2389" s="104"/>
      <c r="H2389" s="104"/>
      <c r="I2389" s="104"/>
      <c r="J2389" s="104"/>
      <c r="K2389" s="104"/>
      <c r="L2389" s="104"/>
      <c r="R2389" s="105"/>
      <c r="S2389" s="105"/>
      <c r="T2389" s="105"/>
      <c r="U2389" s="105"/>
      <c r="V2389" s="105"/>
      <c r="W2389" s="105"/>
      <c r="AD2389" s="106"/>
      <c r="AE2389" s="97"/>
      <c r="AF2389" s="97"/>
      <c r="AG2389" s="97"/>
      <c r="AH2389" s="97"/>
      <c r="AI2389" s="97"/>
      <c r="AJ2389" s="97"/>
      <c r="AK2389" s="97"/>
      <c r="AL2389" s="97"/>
      <c r="AM2389" s="97"/>
      <c r="AN2389" s="97"/>
      <c r="AO2389" s="97"/>
      <c r="AP2389" s="97"/>
      <c r="AQ2389" s="97"/>
    </row>
    <row r="2390" spans="2:43" s="101" customFormat="1" ht="15" customHeight="1">
      <c r="B2390" s="104"/>
      <c r="C2390" s="104"/>
      <c r="D2390" s="104"/>
      <c r="E2390" s="104"/>
      <c r="F2390" s="104"/>
      <c r="G2390" s="104"/>
      <c r="H2390" s="104"/>
      <c r="I2390" s="104"/>
      <c r="J2390" s="104"/>
      <c r="K2390" s="104"/>
      <c r="L2390" s="104"/>
      <c r="R2390" s="105"/>
      <c r="S2390" s="105"/>
      <c r="T2390" s="105"/>
      <c r="U2390" s="105"/>
      <c r="V2390" s="105"/>
      <c r="W2390" s="105"/>
      <c r="AD2390" s="106"/>
      <c r="AE2390" s="97"/>
      <c r="AF2390" s="97"/>
      <c r="AG2390" s="97"/>
      <c r="AH2390" s="97"/>
      <c r="AI2390" s="97"/>
      <c r="AJ2390" s="97"/>
      <c r="AK2390" s="97"/>
      <c r="AL2390" s="97"/>
      <c r="AM2390" s="97"/>
      <c r="AN2390" s="97"/>
      <c r="AO2390" s="97"/>
      <c r="AP2390" s="97"/>
      <c r="AQ2390" s="97"/>
    </row>
    <row r="2391" spans="2:43" s="101" customFormat="1" ht="15" customHeight="1">
      <c r="B2391" s="104"/>
      <c r="C2391" s="104"/>
      <c r="D2391" s="104"/>
      <c r="E2391" s="104"/>
      <c r="F2391" s="104"/>
      <c r="G2391" s="104"/>
      <c r="H2391" s="104"/>
      <c r="I2391" s="104"/>
      <c r="J2391" s="104"/>
      <c r="K2391" s="104"/>
      <c r="L2391" s="104"/>
      <c r="R2391" s="105"/>
      <c r="S2391" s="105"/>
      <c r="T2391" s="105"/>
      <c r="U2391" s="105"/>
      <c r="V2391" s="105"/>
      <c r="W2391" s="105"/>
      <c r="AD2391" s="106"/>
      <c r="AE2391" s="97"/>
      <c r="AF2391" s="97"/>
      <c r="AG2391" s="97"/>
      <c r="AH2391" s="97"/>
      <c r="AI2391" s="97"/>
      <c r="AJ2391" s="97"/>
      <c r="AK2391" s="97"/>
      <c r="AL2391" s="97"/>
      <c r="AM2391" s="97"/>
      <c r="AN2391" s="97"/>
      <c r="AO2391" s="97"/>
      <c r="AP2391" s="97"/>
      <c r="AQ2391" s="97"/>
    </row>
    <row r="2392" spans="2:43" s="101" customFormat="1" ht="15" customHeight="1">
      <c r="B2392" s="104"/>
      <c r="C2392" s="104"/>
      <c r="D2392" s="104"/>
      <c r="E2392" s="104"/>
      <c r="F2392" s="104"/>
      <c r="G2392" s="104"/>
      <c r="H2392" s="104"/>
      <c r="I2392" s="104"/>
      <c r="J2392" s="104"/>
      <c r="K2392" s="104"/>
      <c r="L2392" s="104"/>
      <c r="R2392" s="105"/>
      <c r="S2392" s="105"/>
      <c r="T2392" s="105"/>
      <c r="U2392" s="105"/>
      <c r="V2392" s="105"/>
      <c r="W2392" s="105"/>
      <c r="AD2392" s="106"/>
      <c r="AE2392" s="97"/>
      <c r="AF2392" s="97"/>
      <c r="AG2392" s="97"/>
      <c r="AH2392" s="97"/>
      <c r="AI2392" s="97"/>
      <c r="AJ2392" s="97"/>
      <c r="AK2392" s="97"/>
      <c r="AL2392" s="97"/>
      <c r="AM2392" s="97"/>
      <c r="AN2392" s="97"/>
      <c r="AO2392" s="97"/>
      <c r="AP2392" s="97"/>
      <c r="AQ2392" s="97"/>
    </row>
    <row r="2393" spans="2:43" s="101" customFormat="1" ht="15" customHeight="1">
      <c r="B2393" s="104"/>
      <c r="C2393" s="104"/>
      <c r="D2393" s="104"/>
      <c r="E2393" s="104"/>
      <c r="F2393" s="104"/>
      <c r="G2393" s="104"/>
      <c r="H2393" s="104"/>
      <c r="I2393" s="104"/>
      <c r="J2393" s="104"/>
      <c r="K2393" s="104"/>
      <c r="L2393" s="104"/>
      <c r="R2393" s="105"/>
      <c r="S2393" s="105"/>
      <c r="T2393" s="105"/>
      <c r="U2393" s="105"/>
      <c r="V2393" s="105"/>
      <c r="W2393" s="105"/>
      <c r="AD2393" s="106"/>
      <c r="AE2393" s="97"/>
      <c r="AF2393" s="97"/>
      <c r="AG2393" s="97"/>
      <c r="AH2393" s="97"/>
      <c r="AI2393" s="97"/>
      <c r="AJ2393" s="97"/>
      <c r="AK2393" s="97"/>
      <c r="AL2393" s="97"/>
      <c r="AM2393" s="97"/>
      <c r="AN2393" s="97"/>
      <c r="AO2393" s="97"/>
      <c r="AP2393" s="97"/>
      <c r="AQ2393" s="97"/>
    </row>
    <row r="2394" spans="2:43" s="101" customFormat="1" ht="15" customHeight="1">
      <c r="B2394" s="104"/>
      <c r="C2394" s="104"/>
      <c r="D2394" s="104"/>
      <c r="E2394" s="104"/>
      <c r="F2394" s="104"/>
      <c r="G2394" s="104"/>
      <c r="H2394" s="104"/>
      <c r="I2394" s="104"/>
      <c r="J2394" s="104"/>
      <c r="K2394" s="104"/>
      <c r="L2394" s="104"/>
      <c r="R2394" s="105"/>
      <c r="S2394" s="105"/>
      <c r="T2394" s="105"/>
      <c r="U2394" s="105"/>
      <c r="V2394" s="105"/>
      <c r="W2394" s="105"/>
      <c r="AD2394" s="106"/>
      <c r="AE2394" s="97"/>
      <c r="AF2394" s="97"/>
      <c r="AG2394" s="97"/>
      <c r="AH2394" s="97"/>
      <c r="AI2394" s="97"/>
      <c r="AJ2394" s="97"/>
      <c r="AK2394" s="97"/>
      <c r="AL2394" s="97"/>
      <c r="AM2394" s="97"/>
      <c r="AN2394" s="97"/>
      <c r="AO2394" s="97"/>
      <c r="AP2394" s="97"/>
      <c r="AQ2394" s="97"/>
    </row>
    <row r="2395" spans="2:43" s="101" customFormat="1" ht="15" customHeight="1">
      <c r="B2395" s="104"/>
      <c r="C2395" s="104"/>
      <c r="D2395" s="104"/>
      <c r="E2395" s="104"/>
      <c r="F2395" s="104"/>
      <c r="G2395" s="104"/>
      <c r="H2395" s="104"/>
      <c r="I2395" s="104"/>
      <c r="J2395" s="104"/>
      <c r="K2395" s="104"/>
      <c r="L2395" s="104"/>
      <c r="R2395" s="105"/>
      <c r="S2395" s="105"/>
      <c r="T2395" s="105"/>
      <c r="U2395" s="105"/>
      <c r="V2395" s="105"/>
      <c r="W2395" s="105"/>
      <c r="AD2395" s="106"/>
      <c r="AE2395" s="97"/>
      <c r="AF2395" s="97"/>
      <c r="AG2395" s="97"/>
      <c r="AH2395" s="97"/>
      <c r="AI2395" s="97"/>
      <c r="AJ2395" s="97"/>
      <c r="AK2395" s="97"/>
      <c r="AL2395" s="97"/>
      <c r="AM2395" s="97"/>
      <c r="AN2395" s="97"/>
      <c r="AO2395" s="97"/>
      <c r="AP2395" s="97"/>
      <c r="AQ2395" s="97"/>
    </row>
    <row r="2396" spans="2:43" s="101" customFormat="1" ht="15" customHeight="1">
      <c r="B2396" s="104"/>
      <c r="C2396" s="104"/>
      <c r="D2396" s="104"/>
      <c r="E2396" s="104"/>
      <c r="F2396" s="104"/>
      <c r="G2396" s="104"/>
      <c r="H2396" s="104"/>
      <c r="I2396" s="104"/>
      <c r="J2396" s="104"/>
      <c r="K2396" s="104"/>
      <c r="L2396" s="104"/>
      <c r="R2396" s="105"/>
      <c r="S2396" s="105"/>
      <c r="T2396" s="105"/>
      <c r="U2396" s="105"/>
      <c r="V2396" s="105"/>
      <c r="W2396" s="105"/>
      <c r="AD2396" s="106"/>
      <c r="AE2396" s="97"/>
      <c r="AF2396" s="97"/>
      <c r="AG2396" s="97"/>
      <c r="AH2396" s="97"/>
      <c r="AI2396" s="97"/>
      <c r="AJ2396" s="97"/>
      <c r="AK2396" s="97"/>
      <c r="AL2396" s="97"/>
      <c r="AM2396" s="97"/>
      <c r="AN2396" s="97"/>
      <c r="AO2396" s="97"/>
      <c r="AP2396" s="97"/>
      <c r="AQ2396" s="97"/>
    </row>
    <row r="2397" spans="2:43" s="101" customFormat="1" ht="15" customHeight="1">
      <c r="B2397" s="104"/>
      <c r="C2397" s="104"/>
      <c r="D2397" s="104"/>
      <c r="E2397" s="104"/>
      <c r="F2397" s="104"/>
      <c r="G2397" s="104"/>
      <c r="H2397" s="104"/>
      <c r="I2397" s="104"/>
      <c r="J2397" s="104"/>
      <c r="K2397" s="104"/>
      <c r="L2397" s="104"/>
      <c r="R2397" s="105"/>
      <c r="S2397" s="105"/>
      <c r="T2397" s="105"/>
      <c r="U2397" s="105"/>
      <c r="V2397" s="105"/>
      <c r="W2397" s="105"/>
      <c r="AD2397" s="106"/>
      <c r="AE2397" s="97"/>
      <c r="AF2397" s="97"/>
      <c r="AG2397" s="97"/>
      <c r="AH2397" s="97"/>
      <c r="AI2397" s="97"/>
      <c r="AJ2397" s="97"/>
      <c r="AK2397" s="97"/>
      <c r="AL2397" s="97"/>
      <c r="AM2397" s="97"/>
      <c r="AN2397" s="97"/>
      <c r="AO2397" s="97"/>
      <c r="AP2397" s="97"/>
      <c r="AQ2397" s="97"/>
    </row>
    <row r="2398" spans="2:43" s="101" customFormat="1" ht="15" customHeight="1">
      <c r="B2398" s="104"/>
      <c r="C2398" s="104"/>
      <c r="D2398" s="104"/>
      <c r="E2398" s="104"/>
      <c r="F2398" s="104"/>
      <c r="G2398" s="104"/>
      <c r="H2398" s="104"/>
      <c r="I2398" s="104"/>
      <c r="J2398" s="104"/>
      <c r="K2398" s="104"/>
      <c r="L2398" s="104"/>
      <c r="R2398" s="105"/>
      <c r="S2398" s="105"/>
      <c r="T2398" s="105"/>
      <c r="U2398" s="105"/>
      <c r="V2398" s="105"/>
      <c r="W2398" s="105"/>
      <c r="AD2398" s="106"/>
      <c r="AE2398" s="97"/>
      <c r="AF2398" s="97"/>
      <c r="AG2398" s="97"/>
      <c r="AH2398" s="97"/>
      <c r="AI2398" s="97"/>
      <c r="AJ2398" s="97"/>
      <c r="AK2398" s="97"/>
      <c r="AL2398" s="97"/>
      <c r="AM2398" s="97"/>
      <c r="AN2398" s="97"/>
      <c r="AO2398" s="97"/>
      <c r="AP2398" s="97"/>
      <c r="AQ2398" s="97"/>
    </row>
    <row r="2399" spans="2:43" s="101" customFormat="1" ht="15" customHeight="1">
      <c r="B2399" s="104"/>
      <c r="C2399" s="104"/>
      <c r="D2399" s="104"/>
      <c r="E2399" s="104"/>
      <c r="F2399" s="104"/>
      <c r="G2399" s="104"/>
      <c r="H2399" s="104"/>
      <c r="I2399" s="104"/>
      <c r="J2399" s="104"/>
      <c r="K2399" s="104"/>
      <c r="L2399" s="104"/>
      <c r="R2399" s="105"/>
      <c r="S2399" s="105"/>
      <c r="T2399" s="105"/>
      <c r="U2399" s="105"/>
      <c r="V2399" s="105"/>
      <c r="W2399" s="105"/>
      <c r="AD2399" s="106"/>
      <c r="AE2399" s="97"/>
      <c r="AF2399" s="97"/>
      <c r="AG2399" s="97"/>
      <c r="AH2399" s="97"/>
      <c r="AI2399" s="97"/>
      <c r="AJ2399" s="97"/>
      <c r="AK2399" s="97"/>
      <c r="AL2399" s="97"/>
      <c r="AM2399" s="97"/>
      <c r="AN2399" s="97"/>
      <c r="AO2399" s="97"/>
      <c r="AP2399" s="97"/>
      <c r="AQ2399" s="97"/>
    </row>
    <row r="2400" spans="2:43" s="101" customFormat="1" ht="15" customHeight="1">
      <c r="B2400" s="104"/>
      <c r="C2400" s="104"/>
      <c r="D2400" s="104"/>
      <c r="E2400" s="104"/>
      <c r="F2400" s="104"/>
      <c r="G2400" s="104"/>
      <c r="H2400" s="104"/>
      <c r="I2400" s="104"/>
      <c r="J2400" s="104"/>
      <c r="K2400" s="104"/>
      <c r="L2400" s="104"/>
      <c r="R2400" s="105"/>
      <c r="S2400" s="105"/>
      <c r="T2400" s="105"/>
      <c r="U2400" s="105"/>
      <c r="V2400" s="105"/>
      <c r="W2400" s="105"/>
      <c r="AD2400" s="106"/>
      <c r="AE2400" s="97"/>
      <c r="AF2400" s="97"/>
      <c r="AG2400" s="97"/>
      <c r="AH2400" s="97"/>
      <c r="AI2400" s="97"/>
      <c r="AJ2400" s="97"/>
      <c r="AK2400" s="97"/>
      <c r="AL2400" s="97"/>
      <c r="AM2400" s="97"/>
      <c r="AN2400" s="97"/>
      <c r="AO2400" s="97"/>
      <c r="AP2400" s="97"/>
      <c r="AQ2400" s="97"/>
    </row>
    <row r="2401" spans="2:43" s="101" customFormat="1" ht="15" customHeight="1">
      <c r="B2401" s="104"/>
      <c r="C2401" s="104"/>
      <c r="D2401" s="104"/>
      <c r="E2401" s="104"/>
      <c r="F2401" s="104"/>
      <c r="G2401" s="104"/>
      <c r="H2401" s="104"/>
      <c r="I2401" s="104"/>
      <c r="J2401" s="104"/>
      <c r="K2401" s="104"/>
      <c r="L2401" s="104"/>
      <c r="R2401" s="105"/>
      <c r="S2401" s="105"/>
      <c r="T2401" s="105"/>
      <c r="U2401" s="105"/>
      <c r="V2401" s="105"/>
      <c r="W2401" s="105"/>
      <c r="AD2401" s="106"/>
      <c r="AE2401" s="97"/>
      <c r="AF2401" s="97"/>
      <c r="AG2401" s="97"/>
      <c r="AH2401" s="97"/>
      <c r="AI2401" s="97"/>
      <c r="AJ2401" s="97"/>
      <c r="AK2401" s="97"/>
      <c r="AL2401" s="97"/>
      <c r="AM2401" s="97"/>
      <c r="AN2401" s="97"/>
      <c r="AO2401" s="97"/>
      <c r="AP2401" s="97"/>
      <c r="AQ2401" s="97"/>
    </row>
    <row r="2402" spans="2:43" s="101" customFormat="1" ht="15" customHeight="1">
      <c r="B2402" s="104"/>
      <c r="C2402" s="104"/>
      <c r="D2402" s="104"/>
      <c r="E2402" s="104"/>
      <c r="F2402" s="104"/>
      <c r="G2402" s="104"/>
      <c r="H2402" s="104"/>
      <c r="I2402" s="104"/>
      <c r="J2402" s="104"/>
      <c r="K2402" s="104"/>
      <c r="L2402" s="104"/>
      <c r="R2402" s="105"/>
      <c r="S2402" s="105"/>
      <c r="T2402" s="105"/>
      <c r="U2402" s="105"/>
      <c r="V2402" s="105"/>
      <c r="W2402" s="105"/>
      <c r="AD2402" s="106"/>
      <c r="AE2402" s="97"/>
      <c r="AF2402" s="97"/>
      <c r="AG2402" s="97"/>
      <c r="AH2402" s="97"/>
      <c r="AI2402" s="97"/>
      <c r="AJ2402" s="97"/>
      <c r="AK2402" s="97"/>
      <c r="AL2402" s="97"/>
      <c r="AM2402" s="97"/>
      <c r="AN2402" s="97"/>
      <c r="AO2402" s="97"/>
      <c r="AP2402" s="97"/>
      <c r="AQ2402" s="97"/>
    </row>
    <row r="2403" spans="2:43" s="101" customFormat="1" ht="15" customHeight="1">
      <c r="B2403" s="104"/>
      <c r="C2403" s="104"/>
      <c r="D2403" s="104"/>
      <c r="E2403" s="104"/>
      <c r="F2403" s="104"/>
      <c r="G2403" s="104"/>
      <c r="H2403" s="104"/>
      <c r="I2403" s="104"/>
      <c r="J2403" s="104"/>
      <c r="K2403" s="104"/>
      <c r="L2403" s="104"/>
      <c r="R2403" s="105"/>
      <c r="S2403" s="105"/>
      <c r="T2403" s="105"/>
      <c r="U2403" s="105"/>
      <c r="V2403" s="105"/>
      <c r="W2403" s="105"/>
      <c r="AD2403" s="106"/>
      <c r="AE2403" s="97"/>
      <c r="AF2403" s="97"/>
      <c r="AG2403" s="97"/>
      <c r="AH2403" s="97"/>
      <c r="AI2403" s="97"/>
      <c r="AJ2403" s="97"/>
      <c r="AK2403" s="97"/>
      <c r="AL2403" s="97"/>
      <c r="AM2403" s="97"/>
      <c r="AN2403" s="97"/>
      <c r="AO2403" s="97"/>
      <c r="AP2403" s="97"/>
      <c r="AQ2403" s="97"/>
    </row>
    <row r="2404" spans="2:43" s="101" customFormat="1" ht="15" customHeight="1">
      <c r="B2404" s="104"/>
      <c r="C2404" s="104"/>
      <c r="D2404" s="104"/>
      <c r="E2404" s="104"/>
      <c r="F2404" s="104"/>
      <c r="G2404" s="104"/>
      <c r="H2404" s="104"/>
      <c r="I2404" s="104"/>
      <c r="J2404" s="104"/>
      <c r="K2404" s="104"/>
      <c r="L2404" s="104"/>
      <c r="R2404" s="105"/>
      <c r="S2404" s="105"/>
      <c r="T2404" s="105"/>
      <c r="U2404" s="105"/>
      <c r="V2404" s="105"/>
      <c r="W2404" s="105"/>
      <c r="AD2404" s="106"/>
      <c r="AE2404" s="97"/>
      <c r="AF2404" s="97"/>
      <c r="AG2404" s="97"/>
      <c r="AH2404" s="97"/>
      <c r="AI2404" s="97"/>
      <c r="AJ2404" s="97"/>
      <c r="AK2404" s="97"/>
      <c r="AL2404" s="97"/>
      <c r="AM2404" s="97"/>
      <c r="AN2404" s="97"/>
      <c r="AO2404" s="97"/>
      <c r="AP2404" s="97"/>
      <c r="AQ2404" s="97"/>
    </row>
    <row r="2405" spans="2:43" s="101" customFormat="1" ht="15" customHeight="1">
      <c r="B2405" s="104"/>
      <c r="C2405" s="104"/>
      <c r="D2405" s="104"/>
      <c r="E2405" s="104"/>
      <c r="F2405" s="104"/>
      <c r="G2405" s="104"/>
      <c r="H2405" s="104"/>
      <c r="I2405" s="104"/>
      <c r="J2405" s="104"/>
      <c r="K2405" s="104"/>
      <c r="L2405" s="104"/>
      <c r="R2405" s="105"/>
      <c r="S2405" s="105"/>
      <c r="T2405" s="105"/>
      <c r="U2405" s="105"/>
      <c r="V2405" s="105"/>
      <c r="W2405" s="105"/>
      <c r="AD2405" s="106"/>
      <c r="AE2405" s="97"/>
      <c r="AF2405" s="97"/>
      <c r="AG2405" s="97"/>
      <c r="AH2405" s="97"/>
      <c r="AI2405" s="97"/>
      <c r="AJ2405" s="97"/>
      <c r="AK2405" s="97"/>
      <c r="AL2405" s="97"/>
      <c r="AM2405" s="97"/>
      <c r="AN2405" s="97"/>
      <c r="AO2405" s="97"/>
      <c r="AP2405" s="97"/>
      <c r="AQ2405" s="97"/>
    </row>
    <row r="2406" spans="2:43" s="101" customFormat="1" ht="15" customHeight="1">
      <c r="B2406" s="104"/>
      <c r="C2406" s="104"/>
      <c r="D2406" s="104"/>
      <c r="E2406" s="104"/>
      <c r="F2406" s="104"/>
      <c r="G2406" s="104"/>
      <c r="H2406" s="104"/>
      <c r="I2406" s="104"/>
      <c r="J2406" s="104"/>
      <c r="K2406" s="104"/>
      <c r="L2406" s="104"/>
      <c r="R2406" s="105"/>
      <c r="S2406" s="105"/>
      <c r="T2406" s="105"/>
      <c r="U2406" s="105"/>
      <c r="V2406" s="105"/>
      <c r="W2406" s="105"/>
      <c r="AD2406" s="106"/>
      <c r="AE2406" s="97"/>
      <c r="AF2406" s="97"/>
      <c r="AG2406" s="97"/>
      <c r="AH2406" s="97"/>
      <c r="AI2406" s="97"/>
      <c r="AJ2406" s="97"/>
      <c r="AK2406" s="97"/>
      <c r="AL2406" s="97"/>
      <c r="AM2406" s="97"/>
      <c r="AN2406" s="97"/>
      <c r="AO2406" s="97"/>
      <c r="AP2406" s="97"/>
      <c r="AQ2406" s="97"/>
    </row>
    <row r="2407" spans="2:43" s="101" customFormat="1" ht="15" customHeight="1">
      <c r="B2407" s="104"/>
      <c r="C2407" s="104"/>
      <c r="D2407" s="104"/>
      <c r="E2407" s="104"/>
      <c r="F2407" s="104"/>
      <c r="G2407" s="104"/>
      <c r="H2407" s="104"/>
      <c r="I2407" s="104"/>
      <c r="J2407" s="104"/>
      <c r="K2407" s="104"/>
      <c r="L2407" s="104"/>
      <c r="R2407" s="105"/>
      <c r="S2407" s="105"/>
      <c r="T2407" s="105"/>
      <c r="U2407" s="105"/>
      <c r="V2407" s="105"/>
      <c r="W2407" s="105"/>
      <c r="AD2407" s="106"/>
      <c r="AE2407" s="97"/>
      <c r="AF2407" s="97"/>
      <c r="AG2407" s="97"/>
      <c r="AH2407" s="97"/>
      <c r="AI2407" s="97"/>
      <c r="AJ2407" s="97"/>
      <c r="AK2407" s="97"/>
      <c r="AL2407" s="97"/>
      <c r="AM2407" s="97"/>
      <c r="AN2407" s="97"/>
      <c r="AO2407" s="97"/>
      <c r="AP2407" s="97"/>
      <c r="AQ2407" s="97"/>
    </row>
    <row r="2408" spans="2:43" s="101" customFormat="1" ht="15" customHeight="1">
      <c r="B2408" s="104"/>
      <c r="C2408" s="104"/>
      <c r="D2408" s="104"/>
      <c r="E2408" s="104"/>
      <c r="F2408" s="104"/>
      <c r="G2408" s="104"/>
      <c r="H2408" s="104"/>
      <c r="I2408" s="104"/>
      <c r="J2408" s="104"/>
      <c r="K2408" s="104"/>
      <c r="L2408" s="104"/>
      <c r="R2408" s="105"/>
      <c r="S2408" s="105"/>
      <c r="T2408" s="105"/>
      <c r="U2408" s="105"/>
      <c r="V2408" s="105"/>
      <c r="W2408" s="105"/>
      <c r="AD2408" s="106"/>
      <c r="AE2408" s="97"/>
      <c r="AF2408" s="97"/>
      <c r="AG2408" s="97"/>
      <c r="AH2408" s="97"/>
      <c r="AI2408" s="97"/>
      <c r="AJ2408" s="97"/>
      <c r="AK2408" s="97"/>
      <c r="AL2408" s="97"/>
      <c r="AM2408" s="97"/>
      <c r="AN2408" s="97"/>
      <c r="AO2408" s="97"/>
      <c r="AP2408" s="97"/>
      <c r="AQ2408" s="97"/>
    </row>
    <row r="2409" spans="2:43" s="101" customFormat="1" ht="15" customHeight="1">
      <c r="B2409" s="104"/>
      <c r="C2409" s="104"/>
      <c r="D2409" s="104"/>
      <c r="E2409" s="104"/>
      <c r="F2409" s="104"/>
      <c r="G2409" s="104"/>
      <c r="H2409" s="104"/>
      <c r="I2409" s="104"/>
      <c r="J2409" s="104"/>
      <c r="K2409" s="104"/>
      <c r="L2409" s="104"/>
      <c r="R2409" s="105"/>
      <c r="S2409" s="105"/>
      <c r="T2409" s="105"/>
      <c r="U2409" s="105"/>
      <c r="V2409" s="105"/>
      <c r="W2409" s="105"/>
      <c r="AD2409" s="106"/>
      <c r="AE2409" s="97"/>
      <c r="AF2409" s="97"/>
      <c r="AG2409" s="97"/>
      <c r="AH2409" s="97"/>
      <c r="AI2409" s="97"/>
      <c r="AJ2409" s="97"/>
      <c r="AK2409" s="97"/>
      <c r="AL2409" s="97"/>
      <c r="AM2409" s="97"/>
      <c r="AN2409" s="97"/>
      <c r="AO2409" s="97"/>
      <c r="AP2409" s="97"/>
      <c r="AQ2409" s="97"/>
    </row>
    <row r="2410" spans="2:43" s="101" customFormat="1" ht="15" customHeight="1">
      <c r="B2410" s="104"/>
      <c r="C2410" s="104"/>
      <c r="D2410" s="104"/>
      <c r="E2410" s="104"/>
      <c r="F2410" s="104"/>
      <c r="G2410" s="104"/>
      <c r="H2410" s="104"/>
      <c r="I2410" s="104"/>
      <c r="J2410" s="104"/>
      <c r="K2410" s="104"/>
      <c r="L2410" s="104"/>
      <c r="R2410" s="105"/>
      <c r="S2410" s="105"/>
      <c r="T2410" s="105"/>
      <c r="U2410" s="105"/>
      <c r="V2410" s="105"/>
      <c r="W2410" s="105"/>
      <c r="AD2410" s="106"/>
      <c r="AE2410" s="97"/>
      <c r="AF2410" s="97"/>
      <c r="AG2410" s="97"/>
      <c r="AH2410" s="97"/>
      <c r="AI2410" s="97"/>
      <c r="AJ2410" s="97"/>
      <c r="AK2410" s="97"/>
      <c r="AL2410" s="97"/>
      <c r="AM2410" s="97"/>
      <c r="AN2410" s="97"/>
      <c r="AO2410" s="97"/>
      <c r="AP2410" s="97"/>
      <c r="AQ2410" s="97"/>
    </row>
    <row r="2411" spans="2:43" s="101" customFormat="1" ht="15" customHeight="1">
      <c r="B2411" s="104"/>
      <c r="C2411" s="104"/>
      <c r="D2411" s="104"/>
      <c r="E2411" s="104"/>
      <c r="F2411" s="104"/>
      <c r="G2411" s="104"/>
      <c r="H2411" s="104"/>
      <c r="I2411" s="104"/>
      <c r="J2411" s="104"/>
      <c r="K2411" s="104"/>
      <c r="L2411" s="104"/>
      <c r="R2411" s="105"/>
      <c r="S2411" s="105"/>
      <c r="T2411" s="105"/>
      <c r="U2411" s="105"/>
      <c r="V2411" s="105"/>
      <c r="W2411" s="105"/>
      <c r="AD2411" s="106"/>
      <c r="AE2411" s="97"/>
      <c r="AF2411" s="97"/>
      <c r="AG2411" s="97"/>
      <c r="AH2411" s="97"/>
      <c r="AI2411" s="97"/>
      <c r="AJ2411" s="97"/>
      <c r="AK2411" s="97"/>
      <c r="AL2411" s="97"/>
      <c r="AM2411" s="97"/>
      <c r="AN2411" s="97"/>
      <c r="AO2411" s="97"/>
      <c r="AP2411" s="97"/>
      <c r="AQ2411" s="97"/>
    </row>
    <row r="2412" spans="2:43" s="101" customFormat="1" ht="15" customHeight="1">
      <c r="B2412" s="104"/>
      <c r="C2412" s="104"/>
      <c r="D2412" s="104"/>
      <c r="E2412" s="104"/>
      <c r="F2412" s="104"/>
      <c r="G2412" s="104"/>
      <c r="H2412" s="104"/>
      <c r="I2412" s="104"/>
      <c r="J2412" s="104"/>
      <c r="K2412" s="104"/>
      <c r="L2412" s="104"/>
      <c r="R2412" s="105"/>
      <c r="S2412" s="105"/>
      <c r="T2412" s="105"/>
      <c r="U2412" s="105"/>
      <c r="V2412" s="105"/>
      <c r="W2412" s="105"/>
      <c r="AD2412" s="106"/>
      <c r="AE2412" s="97"/>
      <c r="AF2412" s="97"/>
      <c r="AG2412" s="97"/>
      <c r="AH2412" s="97"/>
      <c r="AI2412" s="97"/>
      <c r="AJ2412" s="97"/>
      <c r="AK2412" s="97"/>
      <c r="AL2412" s="97"/>
      <c r="AM2412" s="97"/>
      <c r="AN2412" s="97"/>
      <c r="AO2412" s="97"/>
      <c r="AP2412" s="97"/>
      <c r="AQ2412" s="97"/>
    </row>
    <row r="2413" spans="2:43" s="101" customFormat="1" ht="15" customHeight="1">
      <c r="B2413" s="104"/>
      <c r="C2413" s="104"/>
      <c r="D2413" s="104"/>
      <c r="E2413" s="104"/>
      <c r="F2413" s="104"/>
      <c r="G2413" s="104"/>
      <c r="H2413" s="104"/>
      <c r="I2413" s="104"/>
      <c r="J2413" s="104"/>
      <c r="K2413" s="104"/>
      <c r="L2413" s="104"/>
      <c r="R2413" s="105"/>
      <c r="S2413" s="105"/>
      <c r="T2413" s="105"/>
      <c r="U2413" s="105"/>
      <c r="V2413" s="105"/>
      <c r="W2413" s="105"/>
      <c r="AD2413" s="106"/>
      <c r="AE2413" s="97"/>
      <c r="AF2413" s="97"/>
      <c r="AG2413" s="97"/>
      <c r="AH2413" s="97"/>
      <c r="AI2413" s="97"/>
      <c r="AJ2413" s="97"/>
      <c r="AK2413" s="97"/>
      <c r="AL2413" s="97"/>
      <c r="AM2413" s="97"/>
      <c r="AN2413" s="97"/>
      <c r="AO2413" s="97"/>
      <c r="AP2413" s="97"/>
      <c r="AQ2413" s="97"/>
    </row>
    <row r="2414" spans="2:43" s="101" customFormat="1" ht="15" customHeight="1">
      <c r="B2414" s="104"/>
      <c r="C2414" s="104"/>
      <c r="D2414" s="104"/>
      <c r="E2414" s="104"/>
      <c r="F2414" s="104"/>
      <c r="G2414" s="104"/>
      <c r="H2414" s="104"/>
      <c r="I2414" s="104"/>
      <c r="J2414" s="104"/>
      <c r="K2414" s="104"/>
      <c r="L2414" s="104"/>
      <c r="R2414" s="105"/>
      <c r="S2414" s="105"/>
      <c r="T2414" s="105"/>
      <c r="U2414" s="105"/>
      <c r="V2414" s="105"/>
      <c r="W2414" s="105"/>
      <c r="AD2414" s="106"/>
      <c r="AE2414" s="97"/>
      <c r="AF2414" s="97"/>
      <c r="AG2414" s="97"/>
      <c r="AH2414" s="97"/>
      <c r="AI2414" s="97"/>
      <c r="AJ2414" s="97"/>
      <c r="AK2414" s="97"/>
      <c r="AL2414" s="97"/>
      <c r="AM2414" s="97"/>
      <c r="AN2414" s="97"/>
      <c r="AO2414" s="97"/>
      <c r="AP2414" s="97"/>
      <c r="AQ2414" s="97"/>
    </row>
    <row r="2415" spans="2:43" s="101" customFormat="1" ht="15" customHeight="1">
      <c r="B2415" s="104"/>
      <c r="C2415" s="104"/>
      <c r="D2415" s="104"/>
      <c r="E2415" s="104"/>
      <c r="F2415" s="104"/>
      <c r="G2415" s="104"/>
      <c r="H2415" s="104"/>
      <c r="I2415" s="104"/>
      <c r="J2415" s="104"/>
      <c r="K2415" s="104"/>
      <c r="L2415" s="104"/>
      <c r="R2415" s="105"/>
      <c r="S2415" s="105"/>
      <c r="T2415" s="105"/>
      <c r="U2415" s="105"/>
      <c r="V2415" s="105"/>
      <c r="W2415" s="105"/>
      <c r="AD2415" s="106"/>
      <c r="AE2415" s="97"/>
      <c r="AF2415" s="97"/>
      <c r="AG2415" s="97"/>
      <c r="AH2415" s="97"/>
      <c r="AI2415" s="97"/>
      <c r="AJ2415" s="97"/>
      <c r="AK2415" s="97"/>
      <c r="AL2415" s="97"/>
      <c r="AM2415" s="97"/>
      <c r="AN2415" s="97"/>
      <c r="AO2415" s="97"/>
      <c r="AP2415" s="97"/>
      <c r="AQ2415" s="97"/>
    </row>
    <row r="2416" spans="2:43" s="101" customFormat="1" ht="15" customHeight="1">
      <c r="B2416" s="104"/>
      <c r="C2416" s="104"/>
      <c r="D2416" s="104"/>
      <c r="E2416" s="104"/>
      <c r="F2416" s="104"/>
      <c r="G2416" s="104"/>
      <c r="H2416" s="104"/>
      <c r="I2416" s="104"/>
      <c r="J2416" s="104"/>
      <c r="K2416" s="104"/>
      <c r="L2416" s="104"/>
      <c r="R2416" s="105"/>
      <c r="S2416" s="105"/>
      <c r="T2416" s="105"/>
      <c r="U2416" s="105"/>
      <c r="V2416" s="105"/>
      <c r="W2416" s="105"/>
      <c r="AD2416" s="106"/>
      <c r="AE2416" s="97"/>
      <c r="AF2416" s="97"/>
      <c r="AG2416" s="97"/>
      <c r="AH2416" s="97"/>
      <c r="AI2416" s="97"/>
      <c r="AJ2416" s="97"/>
      <c r="AK2416" s="97"/>
      <c r="AL2416" s="97"/>
      <c r="AM2416" s="97"/>
      <c r="AN2416" s="97"/>
      <c r="AO2416" s="97"/>
      <c r="AP2416" s="97"/>
      <c r="AQ2416" s="97"/>
    </row>
    <row r="2417" spans="2:43" s="101" customFormat="1" ht="15" customHeight="1">
      <c r="B2417" s="104"/>
      <c r="C2417" s="104"/>
      <c r="D2417" s="104"/>
      <c r="E2417" s="104"/>
      <c r="F2417" s="104"/>
      <c r="G2417" s="104"/>
      <c r="H2417" s="104"/>
      <c r="I2417" s="104"/>
      <c r="J2417" s="104"/>
      <c r="K2417" s="104"/>
      <c r="L2417" s="104"/>
      <c r="R2417" s="105"/>
      <c r="S2417" s="105"/>
      <c r="T2417" s="105"/>
      <c r="U2417" s="105"/>
      <c r="V2417" s="105"/>
      <c r="W2417" s="105"/>
      <c r="AD2417" s="106"/>
      <c r="AE2417" s="97"/>
      <c r="AF2417" s="97"/>
      <c r="AG2417" s="97"/>
      <c r="AH2417" s="97"/>
      <c r="AI2417" s="97"/>
      <c r="AJ2417" s="97"/>
      <c r="AK2417" s="97"/>
      <c r="AL2417" s="97"/>
      <c r="AM2417" s="97"/>
      <c r="AN2417" s="97"/>
      <c r="AO2417" s="97"/>
      <c r="AP2417" s="97"/>
      <c r="AQ2417" s="97"/>
    </row>
    <row r="2418" spans="2:43" s="101" customFormat="1" ht="15" customHeight="1">
      <c r="B2418" s="104"/>
      <c r="C2418" s="104"/>
      <c r="D2418" s="104"/>
      <c r="E2418" s="104"/>
      <c r="F2418" s="104"/>
      <c r="G2418" s="104"/>
      <c r="H2418" s="104"/>
      <c r="I2418" s="104"/>
      <c r="J2418" s="104"/>
      <c r="K2418" s="104"/>
      <c r="L2418" s="104"/>
      <c r="R2418" s="105"/>
      <c r="S2418" s="105"/>
      <c r="T2418" s="105"/>
      <c r="U2418" s="105"/>
      <c r="V2418" s="105"/>
      <c r="W2418" s="105"/>
      <c r="AD2418" s="106"/>
      <c r="AE2418" s="97"/>
      <c r="AF2418" s="97"/>
      <c r="AG2418" s="97"/>
      <c r="AH2418" s="97"/>
      <c r="AI2418" s="97"/>
      <c r="AJ2418" s="97"/>
      <c r="AK2418" s="97"/>
      <c r="AL2418" s="97"/>
      <c r="AM2418" s="97"/>
      <c r="AN2418" s="97"/>
      <c r="AO2418" s="97"/>
      <c r="AP2418" s="97"/>
      <c r="AQ2418" s="97"/>
    </row>
    <row r="2419" spans="2:43" s="101" customFormat="1" ht="15" customHeight="1">
      <c r="B2419" s="104"/>
      <c r="C2419" s="104"/>
      <c r="D2419" s="104"/>
      <c r="E2419" s="104"/>
      <c r="F2419" s="104"/>
      <c r="G2419" s="104"/>
      <c r="H2419" s="104"/>
      <c r="I2419" s="104"/>
      <c r="J2419" s="104"/>
      <c r="K2419" s="104"/>
      <c r="L2419" s="104"/>
      <c r="R2419" s="105"/>
      <c r="S2419" s="105"/>
      <c r="T2419" s="105"/>
      <c r="U2419" s="105"/>
      <c r="V2419" s="105"/>
      <c r="W2419" s="105"/>
      <c r="AD2419" s="106"/>
      <c r="AE2419" s="97"/>
      <c r="AF2419" s="97"/>
      <c r="AG2419" s="97"/>
      <c r="AH2419" s="97"/>
      <c r="AI2419" s="97"/>
      <c r="AJ2419" s="97"/>
      <c r="AK2419" s="97"/>
      <c r="AL2419" s="97"/>
      <c r="AM2419" s="97"/>
      <c r="AN2419" s="97"/>
      <c r="AO2419" s="97"/>
      <c r="AP2419" s="97"/>
      <c r="AQ2419" s="97"/>
    </row>
    <row r="2420" spans="2:43" s="101" customFormat="1" ht="15" customHeight="1">
      <c r="B2420" s="104"/>
      <c r="C2420" s="104"/>
      <c r="D2420" s="104"/>
      <c r="E2420" s="104"/>
      <c r="F2420" s="104"/>
      <c r="G2420" s="104"/>
      <c r="H2420" s="104"/>
      <c r="I2420" s="104"/>
      <c r="J2420" s="104"/>
      <c r="K2420" s="104"/>
      <c r="L2420" s="104"/>
      <c r="R2420" s="105"/>
      <c r="S2420" s="105"/>
      <c r="T2420" s="105"/>
      <c r="U2420" s="105"/>
      <c r="V2420" s="105"/>
      <c r="W2420" s="105"/>
      <c r="AD2420" s="106"/>
      <c r="AE2420" s="97"/>
      <c r="AF2420" s="97"/>
      <c r="AG2420" s="97"/>
      <c r="AH2420" s="97"/>
      <c r="AI2420" s="97"/>
      <c r="AJ2420" s="97"/>
      <c r="AK2420" s="97"/>
      <c r="AL2420" s="97"/>
      <c r="AM2420" s="97"/>
      <c r="AN2420" s="97"/>
      <c r="AO2420" s="97"/>
      <c r="AP2420" s="97"/>
      <c r="AQ2420" s="97"/>
    </row>
    <row r="2421" spans="2:43" s="101" customFormat="1" ht="15" customHeight="1">
      <c r="B2421" s="104"/>
      <c r="C2421" s="104"/>
      <c r="D2421" s="104"/>
      <c r="E2421" s="104"/>
      <c r="F2421" s="104"/>
      <c r="G2421" s="104"/>
      <c r="H2421" s="104"/>
      <c r="I2421" s="104"/>
      <c r="J2421" s="104"/>
      <c r="K2421" s="104"/>
      <c r="L2421" s="104"/>
      <c r="R2421" s="105"/>
      <c r="S2421" s="105"/>
      <c r="T2421" s="105"/>
      <c r="U2421" s="105"/>
      <c r="V2421" s="105"/>
      <c r="W2421" s="105"/>
      <c r="AD2421" s="106"/>
      <c r="AE2421" s="97"/>
      <c r="AF2421" s="97"/>
      <c r="AG2421" s="97"/>
      <c r="AH2421" s="97"/>
      <c r="AI2421" s="97"/>
      <c r="AJ2421" s="97"/>
      <c r="AK2421" s="97"/>
      <c r="AL2421" s="97"/>
      <c r="AM2421" s="97"/>
      <c r="AN2421" s="97"/>
      <c r="AO2421" s="97"/>
      <c r="AP2421" s="97"/>
      <c r="AQ2421" s="97"/>
    </row>
    <row r="2422" spans="2:43" s="101" customFormat="1" ht="15" customHeight="1">
      <c r="B2422" s="104"/>
      <c r="C2422" s="104"/>
      <c r="D2422" s="104"/>
      <c r="E2422" s="104"/>
      <c r="F2422" s="104"/>
      <c r="G2422" s="104"/>
      <c r="H2422" s="104"/>
      <c r="I2422" s="104"/>
      <c r="J2422" s="104"/>
      <c r="K2422" s="104"/>
      <c r="L2422" s="104"/>
      <c r="R2422" s="105"/>
      <c r="S2422" s="105"/>
      <c r="T2422" s="105"/>
      <c r="U2422" s="105"/>
      <c r="V2422" s="105"/>
      <c r="W2422" s="105"/>
      <c r="AD2422" s="106"/>
      <c r="AE2422" s="97"/>
      <c r="AF2422" s="97"/>
      <c r="AG2422" s="97"/>
      <c r="AH2422" s="97"/>
      <c r="AI2422" s="97"/>
      <c r="AJ2422" s="97"/>
      <c r="AK2422" s="97"/>
      <c r="AL2422" s="97"/>
      <c r="AM2422" s="97"/>
      <c r="AN2422" s="97"/>
      <c r="AO2422" s="97"/>
      <c r="AP2422" s="97"/>
      <c r="AQ2422" s="97"/>
    </row>
    <row r="2423" spans="2:43" s="101" customFormat="1" ht="15" customHeight="1">
      <c r="B2423" s="104"/>
      <c r="C2423" s="104"/>
      <c r="D2423" s="104"/>
      <c r="E2423" s="104"/>
      <c r="F2423" s="104"/>
      <c r="G2423" s="104"/>
      <c r="H2423" s="104"/>
      <c r="I2423" s="104"/>
      <c r="J2423" s="104"/>
      <c r="K2423" s="104"/>
      <c r="L2423" s="104"/>
      <c r="R2423" s="105"/>
      <c r="S2423" s="105"/>
      <c r="T2423" s="105"/>
      <c r="U2423" s="105"/>
      <c r="V2423" s="105"/>
      <c r="W2423" s="105"/>
      <c r="AD2423" s="106"/>
      <c r="AE2423" s="97"/>
      <c r="AF2423" s="97"/>
      <c r="AG2423" s="97"/>
      <c r="AH2423" s="97"/>
      <c r="AI2423" s="97"/>
      <c r="AJ2423" s="97"/>
      <c r="AK2423" s="97"/>
      <c r="AL2423" s="97"/>
      <c r="AM2423" s="97"/>
      <c r="AN2423" s="97"/>
      <c r="AO2423" s="97"/>
      <c r="AP2423" s="97"/>
      <c r="AQ2423" s="97"/>
    </row>
    <row r="2424" spans="2:43" s="101" customFormat="1" ht="15" customHeight="1">
      <c r="B2424" s="104"/>
      <c r="C2424" s="104"/>
      <c r="D2424" s="104"/>
      <c r="E2424" s="104"/>
      <c r="F2424" s="104"/>
      <c r="G2424" s="104"/>
      <c r="H2424" s="104"/>
      <c r="I2424" s="104"/>
      <c r="J2424" s="104"/>
      <c r="K2424" s="104"/>
      <c r="L2424" s="104"/>
      <c r="R2424" s="105"/>
      <c r="S2424" s="105"/>
      <c r="T2424" s="105"/>
      <c r="U2424" s="105"/>
      <c r="V2424" s="105"/>
      <c r="W2424" s="105"/>
      <c r="AD2424" s="106"/>
      <c r="AE2424" s="97"/>
      <c r="AF2424" s="97"/>
      <c r="AG2424" s="97"/>
      <c r="AH2424" s="97"/>
      <c r="AI2424" s="97"/>
      <c r="AJ2424" s="97"/>
      <c r="AK2424" s="97"/>
      <c r="AL2424" s="97"/>
      <c r="AM2424" s="97"/>
      <c r="AN2424" s="97"/>
      <c r="AO2424" s="97"/>
      <c r="AP2424" s="97"/>
      <c r="AQ2424" s="97"/>
    </row>
    <row r="2425" spans="2:43" s="101" customFormat="1" ht="15" customHeight="1">
      <c r="B2425" s="104"/>
      <c r="C2425" s="104"/>
      <c r="D2425" s="104"/>
      <c r="E2425" s="104"/>
      <c r="F2425" s="104"/>
      <c r="G2425" s="104"/>
      <c r="H2425" s="104"/>
      <c r="I2425" s="104"/>
      <c r="J2425" s="104"/>
      <c r="K2425" s="104"/>
      <c r="L2425" s="104"/>
      <c r="R2425" s="105"/>
      <c r="S2425" s="105"/>
      <c r="T2425" s="105"/>
      <c r="U2425" s="105"/>
      <c r="V2425" s="105"/>
      <c r="W2425" s="105"/>
      <c r="AD2425" s="106"/>
      <c r="AE2425" s="97"/>
      <c r="AF2425" s="97"/>
      <c r="AG2425" s="97"/>
      <c r="AH2425" s="97"/>
      <c r="AI2425" s="97"/>
      <c r="AJ2425" s="97"/>
      <c r="AK2425" s="97"/>
      <c r="AL2425" s="97"/>
      <c r="AM2425" s="97"/>
      <c r="AN2425" s="97"/>
      <c r="AO2425" s="97"/>
      <c r="AP2425" s="97"/>
      <c r="AQ2425" s="97"/>
    </row>
    <row r="2426" spans="2:43" s="101" customFormat="1" ht="15" customHeight="1">
      <c r="B2426" s="104"/>
      <c r="C2426" s="104"/>
      <c r="D2426" s="104"/>
      <c r="E2426" s="104"/>
      <c r="F2426" s="104"/>
      <c r="G2426" s="104"/>
      <c r="H2426" s="104"/>
      <c r="I2426" s="104"/>
      <c r="J2426" s="104"/>
      <c r="K2426" s="104"/>
      <c r="L2426" s="104"/>
      <c r="R2426" s="105"/>
      <c r="S2426" s="105"/>
      <c r="T2426" s="105"/>
      <c r="U2426" s="105"/>
      <c r="V2426" s="105"/>
      <c r="W2426" s="105"/>
      <c r="AD2426" s="106"/>
      <c r="AE2426" s="97"/>
      <c r="AF2426" s="97"/>
      <c r="AG2426" s="97"/>
      <c r="AH2426" s="97"/>
      <c r="AI2426" s="97"/>
      <c r="AJ2426" s="97"/>
      <c r="AK2426" s="97"/>
      <c r="AL2426" s="97"/>
      <c r="AM2426" s="97"/>
      <c r="AN2426" s="97"/>
      <c r="AO2426" s="97"/>
      <c r="AP2426" s="97"/>
      <c r="AQ2426" s="97"/>
    </row>
    <row r="2427" spans="2:43" s="101" customFormat="1" ht="15" customHeight="1">
      <c r="B2427" s="104"/>
      <c r="C2427" s="104"/>
      <c r="D2427" s="104"/>
      <c r="E2427" s="104"/>
      <c r="F2427" s="104"/>
      <c r="G2427" s="104"/>
      <c r="H2427" s="104"/>
      <c r="I2427" s="104"/>
      <c r="J2427" s="104"/>
      <c r="K2427" s="104"/>
      <c r="L2427" s="104"/>
      <c r="R2427" s="105"/>
      <c r="S2427" s="105"/>
      <c r="T2427" s="105"/>
      <c r="U2427" s="105"/>
      <c r="V2427" s="105"/>
      <c r="W2427" s="105"/>
      <c r="AD2427" s="106"/>
      <c r="AE2427" s="97"/>
      <c r="AF2427" s="97"/>
      <c r="AG2427" s="97"/>
      <c r="AH2427" s="97"/>
      <c r="AI2427" s="97"/>
      <c r="AJ2427" s="97"/>
      <c r="AK2427" s="97"/>
      <c r="AL2427" s="97"/>
      <c r="AM2427" s="97"/>
      <c r="AN2427" s="97"/>
      <c r="AO2427" s="97"/>
      <c r="AP2427" s="97"/>
      <c r="AQ2427" s="97"/>
    </row>
    <row r="2428" spans="2:43" s="101" customFormat="1" ht="15" customHeight="1">
      <c r="B2428" s="104"/>
      <c r="C2428" s="104"/>
      <c r="D2428" s="104"/>
      <c r="E2428" s="104"/>
      <c r="F2428" s="104"/>
      <c r="G2428" s="104"/>
      <c r="H2428" s="104"/>
      <c r="I2428" s="104"/>
      <c r="J2428" s="104"/>
      <c r="K2428" s="104"/>
      <c r="L2428" s="104"/>
      <c r="R2428" s="105"/>
      <c r="S2428" s="105"/>
      <c r="T2428" s="105"/>
      <c r="U2428" s="105"/>
      <c r="V2428" s="105"/>
      <c r="W2428" s="105"/>
      <c r="AD2428" s="106"/>
      <c r="AE2428" s="97"/>
      <c r="AF2428" s="97"/>
      <c r="AG2428" s="97"/>
      <c r="AH2428" s="97"/>
      <c r="AI2428" s="97"/>
      <c r="AJ2428" s="97"/>
      <c r="AK2428" s="97"/>
      <c r="AL2428" s="97"/>
      <c r="AM2428" s="97"/>
      <c r="AN2428" s="97"/>
      <c r="AO2428" s="97"/>
      <c r="AP2428" s="97"/>
      <c r="AQ2428" s="97"/>
    </row>
    <row r="2429" spans="2:43" s="101" customFormat="1" ht="15" customHeight="1">
      <c r="B2429" s="104"/>
      <c r="C2429" s="104"/>
      <c r="D2429" s="104"/>
      <c r="E2429" s="104"/>
      <c r="F2429" s="104"/>
      <c r="G2429" s="104"/>
      <c r="H2429" s="104"/>
      <c r="I2429" s="104"/>
      <c r="J2429" s="104"/>
      <c r="K2429" s="104"/>
      <c r="L2429" s="104"/>
      <c r="R2429" s="105"/>
      <c r="S2429" s="105"/>
      <c r="T2429" s="105"/>
      <c r="U2429" s="105"/>
      <c r="V2429" s="105"/>
      <c r="W2429" s="105"/>
      <c r="AD2429" s="106"/>
      <c r="AE2429" s="97"/>
      <c r="AF2429" s="97"/>
      <c r="AG2429" s="97"/>
      <c r="AH2429" s="97"/>
      <c r="AI2429" s="97"/>
      <c r="AJ2429" s="97"/>
      <c r="AK2429" s="97"/>
      <c r="AL2429" s="97"/>
      <c r="AM2429" s="97"/>
      <c r="AN2429" s="97"/>
      <c r="AO2429" s="97"/>
      <c r="AP2429" s="97"/>
      <c r="AQ2429" s="97"/>
    </row>
    <row r="2430" spans="2:43" s="101" customFormat="1" ht="15" customHeight="1">
      <c r="B2430" s="104"/>
      <c r="C2430" s="104"/>
      <c r="D2430" s="104"/>
      <c r="E2430" s="104"/>
      <c r="F2430" s="104"/>
      <c r="G2430" s="104"/>
      <c r="H2430" s="104"/>
      <c r="I2430" s="104"/>
      <c r="J2430" s="104"/>
      <c r="K2430" s="104"/>
      <c r="L2430" s="104"/>
      <c r="R2430" s="105"/>
      <c r="S2430" s="105"/>
      <c r="T2430" s="105"/>
      <c r="U2430" s="105"/>
      <c r="V2430" s="105"/>
      <c r="W2430" s="105"/>
      <c r="AD2430" s="106"/>
      <c r="AE2430" s="97"/>
      <c r="AF2430" s="97"/>
      <c r="AG2430" s="97"/>
      <c r="AH2430" s="97"/>
      <c r="AI2430" s="97"/>
      <c r="AJ2430" s="97"/>
      <c r="AK2430" s="97"/>
      <c r="AL2430" s="97"/>
      <c r="AM2430" s="97"/>
      <c r="AN2430" s="97"/>
      <c r="AO2430" s="97"/>
      <c r="AP2430" s="97"/>
      <c r="AQ2430" s="97"/>
    </row>
    <row r="2431" spans="2:43" s="101" customFormat="1" ht="15" customHeight="1">
      <c r="B2431" s="104"/>
      <c r="C2431" s="104"/>
      <c r="D2431" s="104"/>
      <c r="E2431" s="104"/>
      <c r="F2431" s="104"/>
      <c r="G2431" s="104"/>
      <c r="H2431" s="104"/>
      <c r="I2431" s="104"/>
      <c r="J2431" s="104"/>
      <c r="K2431" s="104"/>
      <c r="L2431" s="104"/>
      <c r="R2431" s="105"/>
      <c r="S2431" s="105"/>
      <c r="T2431" s="105"/>
      <c r="U2431" s="105"/>
      <c r="V2431" s="105"/>
      <c r="W2431" s="105"/>
      <c r="AD2431" s="106"/>
      <c r="AE2431" s="97"/>
      <c r="AF2431" s="97"/>
      <c r="AG2431" s="97"/>
      <c r="AH2431" s="97"/>
      <c r="AI2431" s="97"/>
      <c r="AJ2431" s="97"/>
      <c r="AK2431" s="97"/>
      <c r="AL2431" s="97"/>
      <c r="AM2431" s="97"/>
      <c r="AN2431" s="97"/>
      <c r="AO2431" s="97"/>
      <c r="AP2431" s="97"/>
      <c r="AQ2431" s="97"/>
    </row>
    <row r="2432" spans="2:43" s="101" customFormat="1" ht="15" customHeight="1">
      <c r="B2432" s="104"/>
      <c r="C2432" s="104"/>
      <c r="D2432" s="104"/>
      <c r="E2432" s="104"/>
      <c r="F2432" s="104"/>
      <c r="G2432" s="104"/>
      <c r="H2432" s="104"/>
      <c r="I2432" s="104"/>
      <c r="J2432" s="104"/>
      <c r="K2432" s="104"/>
      <c r="L2432" s="104"/>
      <c r="R2432" s="105"/>
      <c r="S2432" s="105"/>
      <c r="T2432" s="105"/>
      <c r="U2432" s="105"/>
      <c r="V2432" s="105"/>
      <c r="W2432" s="105"/>
      <c r="AD2432" s="106"/>
      <c r="AE2432" s="97"/>
      <c r="AF2432" s="97"/>
      <c r="AG2432" s="97"/>
      <c r="AH2432" s="97"/>
      <c r="AI2432" s="97"/>
      <c r="AJ2432" s="97"/>
      <c r="AK2432" s="97"/>
      <c r="AL2432" s="97"/>
      <c r="AM2432" s="97"/>
      <c r="AN2432" s="97"/>
      <c r="AO2432" s="97"/>
      <c r="AP2432" s="97"/>
      <c r="AQ2432" s="97"/>
    </row>
    <row r="2433" spans="2:43" s="101" customFormat="1" ht="15" customHeight="1">
      <c r="B2433" s="104"/>
      <c r="C2433" s="104"/>
      <c r="D2433" s="104"/>
      <c r="E2433" s="104"/>
      <c r="F2433" s="104"/>
      <c r="G2433" s="104"/>
      <c r="H2433" s="104"/>
      <c r="I2433" s="104"/>
      <c r="J2433" s="104"/>
      <c r="K2433" s="104"/>
      <c r="L2433" s="104"/>
      <c r="R2433" s="105"/>
      <c r="S2433" s="105"/>
      <c r="T2433" s="105"/>
      <c r="U2433" s="105"/>
      <c r="V2433" s="105"/>
      <c r="W2433" s="105"/>
      <c r="AD2433" s="106"/>
      <c r="AE2433" s="97"/>
      <c r="AF2433" s="97"/>
      <c r="AG2433" s="97"/>
      <c r="AH2433" s="97"/>
      <c r="AI2433" s="97"/>
      <c r="AJ2433" s="97"/>
      <c r="AK2433" s="97"/>
      <c r="AL2433" s="97"/>
      <c r="AM2433" s="97"/>
      <c r="AN2433" s="97"/>
      <c r="AO2433" s="97"/>
      <c r="AP2433" s="97"/>
      <c r="AQ2433" s="97"/>
    </row>
    <row r="2434" spans="2:43" s="101" customFormat="1" ht="15" customHeight="1">
      <c r="B2434" s="104"/>
      <c r="C2434" s="104"/>
      <c r="D2434" s="104"/>
      <c r="E2434" s="104"/>
      <c r="F2434" s="104"/>
      <c r="G2434" s="104"/>
      <c r="H2434" s="104"/>
      <c r="I2434" s="104"/>
      <c r="J2434" s="104"/>
      <c r="K2434" s="104"/>
      <c r="L2434" s="104"/>
      <c r="R2434" s="105"/>
      <c r="S2434" s="105"/>
      <c r="T2434" s="105"/>
      <c r="U2434" s="105"/>
      <c r="V2434" s="105"/>
      <c r="W2434" s="105"/>
      <c r="AD2434" s="106"/>
      <c r="AE2434" s="97"/>
      <c r="AF2434" s="97"/>
      <c r="AG2434" s="97"/>
      <c r="AH2434" s="97"/>
      <c r="AI2434" s="97"/>
      <c r="AJ2434" s="97"/>
      <c r="AK2434" s="97"/>
      <c r="AL2434" s="97"/>
      <c r="AM2434" s="97"/>
      <c r="AN2434" s="97"/>
      <c r="AO2434" s="97"/>
      <c r="AP2434" s="97"/>
      <c r="AQ2434" s="97"/>
    </row>
    <row r="2435" spans="2:43" s="101" customFormat="1" ht="15" customHeight="1">
      <c r="B2435" s="104"/>
      <c r="C2435" s="104"/>
      <c r="D2435" s="104"/>
      <c r="E2435" s="104"/>
      <c r="F2435" s="104"/>
      <c r="G2435" s="104"/>
      <c r="H2435" s="104"/>
      <c r="I2435" s="104"/>
      <c r="J2435" s="104"/>
      <c r="K2435" s="104"/>
      <c r="L2435" s="104"/>
      <c r="R2435" s="105"/>
      <c r="S2435" s="105"/>
      <c r="T2435" s="105"/>
      <c r="U2435" s="105"/>
      <c r="V2435" s="105"/>
      <c r="W2435" s="105"/>
      <c r="AD2435" s="106"/>
      <c r="AE2435" s="97"/>
      <c r="AF2435" s="97"/>
      <c r="AG2435" s="97"/>
      <c r="AH2435" s="97"/>
      <c r="AI2435" s="97"/>
      <c r="AJ2435" s="97"/>
      <c r="AK2435" s="97"/>
      <c r="AL2435" s="97"/>
      <c r="AM2435" s="97"/>
      <c r="AN2435" s="97"/>
      <c r="AO2435" s="97"/>
      <c r="AP2435" s="97"/>
      <c r="AQ2435" s="97"/>
    </row>
    <row r="2436" spans="2:43" s="101" customFormat="1" ht="15" customHeight="1">
      <c r="B2436" s="104"/>
      <c r="C2436" s="104"/>
      <c r="D2436" s="104"/>
      <c r="E2436" s="104"/>
      <c r="F2436" s="104"/>
      <c r="G2436" s="104"/>
      <c r="H2436" s="104"/>
      <c r="I2436" s="104"/>
      <c r="J2436" s="104"/>
      <c r="K2436" s="104"/>
      <c r="L2436" s="104"/>
      <c r="R2436" s="105"/>
      <c r="S2436" s="105"/>
      <c r="T2436" s="105"/>
      <c r="U2436" s="105"/>
      <c r="V2436" s="105"/>
      <c r="W2436" s="105"/>
      <c r="AD2436" s="106"/>
      <c r="AE2436" s="97"/>
      <c r="AF2436" s="97"/>
      <c r="AG2436" s="97"/>
      <c r="AH2436" s="97"/>
      <c r="AI2436" s="97"/>
      <c r="AJ2436" s="97"/>
      <c r="AK2436" s="97"/>
      <c r="AL2436" s="97"/>
      <c r="AM2436" s="97"/>
      <c r="AN2436" s="97"/>
      <c r="AO2436" s="97"/>
      <c r="AP2436" s="97"/>
      <c r="AQ2436" s="97"/>
    </row>
    <row r="2437" spans="2:43" s="101" customFormat="1" ht="15" customHeight="1">
      <c r="B2437" s="104"/>
      <c r="C2437" s="104"/>
      <c r="D2437" s="104"/>
      <c r="E2437" s="104"/>
      <c r="F2437" s="104"/>
      <c r="G2437" s="104"/>
      <c r="H2437" s="104"/>
      <c r="I2437" s="104"/>
      <c r="J2437" s="104"/>
      <c r="K2437" s="104"/>
      <c r="L2437" s="104"/>
      <c r="R2437" s="105"/>
      <c r="S2437" s="105"/>
      <c r="T2437" s="105"/>
      <c r="U2437" s="105"/>
      <c r="V2437" s="105"/>
      <c r="W2437" s="105"/>
      <c r="AD2437" s="106"/>
      <c r="AE2437" s="97"/>
      <c r="AF2437" s="97"/>
      <c r="AG2437" s="97"/>
      <c r="AH2437" s="97"/>
      <c r="AI2437" s="97"/>
      <c r="AJ2437" s="97"/>
      <c r="AK2437" s="97"/>
      <c r="AL2437" s="97"/>
      <c r="AM2437" s="97"/>
      <c r="AN2437" s="97"/>
      <c r="AO2437" s="97"/>
      <c r="AP2437" s="97"/>
      <c r="AQ2437" s="97"/>
    </row>
    <row r="2438" spans="2:43" s="101" customFormat="1" ht="15" customHeight="1">
      <c r="B2438" s="104"/>
      <c r="C2438" s="104"/>
      <c r="D2438" s="104"/>
      <c r="E2438" s="104"/>
      <c r="F2438" s="104"/>
      <c r="G2438" s="104"/>
      <c r="H2438" s="104"/>
      <c r="I2438" s="104"/>
      <c r="J2438" s="104"/>
      <c r="K2438" s="104"/>
      <c r="L2438" s="104"/>
      <c r="R2438" s="105"/>
      <c r="S2438" s="105"/>
      <c r="T2438" s="105"/>
      <c r="U2438" s="105"/>
      <c r="V2438" s="105"/>
      <c r="W2438" s="105"/>
      <c r="AD2438" s="106"/>
      <c r="AE2438" s="97"/>
      <c r="AF2438" s="97"/>
      <c r="AG2438" s="97"/>
      <c r="AH2438" s="97"/>
      <c r="AI2438" s="97"/>
      <c r="AJ2438" s="97"/>
      <c r="AK2438" s="97"/>
      <c r="AL2438" s="97"/>
      <c r="AM2438" s="97"/>
      <c r="AN2438" s="97"/>
      <c r="AO2438" s="97"/>
      <c r="AP2438" s="97"/>
      <c r="AQ2438" s="97"/>
    </row>
    <row r="2439" spans="2:43" s="101" customFormat="1" ht="15" customHeight="1">
      <c r="B2439" s="104"/>
      <c r="C2439" s="104"/>
      <c r="D2439" s="104"/>
      <c r="E2439" s="104"/>
      <c r="F2439" s="104"/>
      <c r="G2439" s="104"/>
      <c r="H2439" s="104"/>
      <c r="I2439" s="104"/>
      <c r="J2439" s="104"/>
      <c r="K2439" s="104"/>
      <c r="L2439" s="104"/>
      <c r="R2439" s="105"/>
      <c r="S2439" s="105"/>
      <c r="T2439" s="105"/>
      <c r="U2439" s="105"/>
      <c r="V2439" s="105"/>
      <c r="W2439" s="105"/>
      <c r="AD2439" s="106"/>
      <c r="AE2439" s="97"/>
      <c r="AF2439" s="97"/>
      <c r="AG2439" s="97"/>
      <c r="AH2439" s="97"/>
      <c r="AI2439" s="97"/>
      <c r="AJ2439" s="97"/>
      <c r="AK2439" s="97"/>
      <c r="AL2439" s="97"/>
      <c r="AM2439" s="97"/>
      <c r="AN2439" s="97"/>
      <c r="AO2439" s="97"/>
      <c r="AP2439" s="97"/>
      <c r="AQ2439" s="97"/>
    </row>
    <row r="2440" spans="2:43" s="101" customFormat="1" ht="15" customHeight="1">
      <c r="B2440" s="104"/>
      <c r="C2440" s="104"/>
      <c r="D2440" s="104"/>
      <c r="E2440" s="104"/>
      <c r="F2440" s="104"/>
      <c r="G2440" s="104"/>
      <c r="H2440" s="104"/>
      <c r="I2440" s="104"/>
      <c r="J2440" s="104"/>
      <c r="K2440" s="104"/>
      <c r="L2440" s="104"/>
      <c r="R2440" s="105"/>
      <c r="S2440" s="105"/>
      <c r="T2440" s="105"/>
      <c r="U2440" s="105"/>
      <c r="V2440" s="105"/>
      <c r="W2440" s="105"/>
      <c r="AD2440" s="106"/>
      <c r="AE2440" s="97"/>
      <c r="AF2440" s="97"/>
      <c r="AG2440" s="97"/>
      <c r="AH2440" s="97"/>
      <c r="AI2440" s="97"/>
      <c r="AJ2440" s="97"/>
      <c r="AK2440" s="97"/>
      <c r="AL2440" s="97"/>
      <c r="AM2440" s="97"/>
      <c r="AN2440" s="97"/>
      <c r="AO2440" s="97"/>
      <c r="AP2440" s="97"/>
      <c r="AQ2440" s="97"/>
    </row>
    <row r="2441" spans="2:43" s="101" customFormat="1" ht="15" customHeight="1">
      <c r="B2441" s="104"/>
      <c r="C2441" s="104"/>
      <c r="D2441" s="104"/>
      <c r="E2441" s="104"/>
      <c r="F2441" s="104"/>
      <c r="G2441" s="104"/>
      <c r="H2441" s="104"/>
      <c r="I2441" s="104"/>
      <c r="J2441" s="104"/>
      <c r="K2441" s="104"/>
      <c r="L2441" s="104"/>
      <c r="R2441" s="105"/>
      <c r="S2441" s="105"/>
      <c r="T2441" s="105"/>
      <c r="U2441" s="105"/>
      <c r="V2441" s="105"/>
      <c r="W2441" s="105"/>
      <c r="AD2441" s="106"/>
      <c r="AE2441" s="97"/>
      <c r="AF2441" s="97"/>
      <c r="AG2441" s="97"/>
      <c r="AH2441" s="97"/>
      <c r="AI2441" s="97"/>
      <c r="AJ2441" s="97"/>
      <c r="AK2441" s="97"/>
      <c r="AL2441" s="97"/>
      <c r="AM2441" s="97"/>
      <c r="AN2441" s="97"/>
      <c r="AO2441" s="97"/>
      <c r="AP2441" s="97"/>
      <c r="AQ2441" s="97"/>
    </row>
    <row r="2442" spans="2:43" s="101" customFormat="1" ht="15" customHeight="1">
      <c r="B2442" s="104"/>
      <c r="C2442" s="104"/>
      <c r="D2442" s="104"/>
      <c r="E2442" s="104"/>
      <c r="F2442" s="104"/>
      <c r="G2442" s="104"/>
      <c r="H2442" s="104"/>
      <c r="I2442" s="104"/>
      <c r="J2442" s="104"/>
      <c r="K2442" s="104"/>
      <c r="L2442" s="104"/>
      <c r="R2442" s="105"/>
      <c r="S2442" s="105"/>
      <c r="T2442" s="105"/>
      <c r="U2442" s="105"/>
      <c r="V2442" s="105"/>
      <c r="W2442" s="105"/>
      <c r="AD2442" s="106"/>
      <c r="AE2442" s="97"/>
      <c r="AF2442" s="97"/>
      <c r="AG2442" s="97"/>
      <c r="AH2442" s="97"/>
      <c r="AI2442" s="97"/>
      <c r="AJ2442" s="97"/>
      <c r="AK2442" s="97"/>
      <c r="AL2442" s="97"/>
      <c r="AM2442" s="97"/>
      <c r="AN2442" s="97"/>
      <c r="AO2442" s="97"/>
      <c r="AP2442" s="97"/>
      <c r="AQ2442" s="97"/>
    </row>
    <row r="2443" spans="2:43" s="101" customFormat="1" ht="15" customHeight="1">
      <c r="B2443" s="104"/>
      <c r="C2443" s="104"/>
      <c r="D2443" s="104"/>
      <c r="E2443" s="104"/>
      <c r="F2443" s="104"/>
      <c r="G2443" s="104"/>
      <c r="H2443" s="104"/>
      <c r="I2443" s="104"/>
      <c r="J2443" s="104"/>
      <c r="K2443" s="104"/>
      <c r="L2443" s="104"/>
      <c r="R2443" s="105"/>
      <c r="S2443" s="105"/>
      <c r="T2443" s="105"/>
      <c r="U2443" s="105"/>
      <c r="V2443" s="105"/>
      <c r="W2443" s="105"/>
      <c r="AD2443" s="106"/>
      <c r="AE2443" s="97"/>
      <c r="AF2443" s="97"/>
      <c r="AG2443" s="97"/>
      <c r="AH2443" s="97"/>
      <c r="AI2443" s="97"/>
      <c r="AJ2443" s="97"/>
      <c r="AK2443" s="97"/>
      <c r="AL2443" s="97"/>
      <c r="AM2443" s="97"/>
      <c r="AN2443" s="97"/>
      <c r="AO2443" s="97"/>
      <c r="AP2443" s="97"/>
      <c r="AQ2443" s="97"/>
    </row>
    <row r="2444" spans="2:43" s="101" customFormat="1" ht="15" customHeight="1">
      <c r="B2444" s="104"/>
      <c r="C2444" s="104"/>
      <c r="D2444" s="104"/>
      <c r="E2444" s="104"/>
      <c r="F2444" s="104"/>
      <c r="G2444" s="104"/>
      <c r="H2444" s="104"/>
      <c r="I2444" s="104"/>
      <c r="J2444" s="104"/>
      <c r="K2444" s="104"/>
      <c r="L2444" s="104"/>
      <c r="R2444" s="105"/>
      <c r="S2444" s="105"/>
      <c r="T2444" s="105"/>
      <c r="U2444" s="105"/>
      <c r="V2444" s="105"/>
      <c r="W2444" s="105"/>
      <c r="AD2444" s="106"/>
      <c r="AE2444" s="97"/>
      <c r="AF2444" s="97"/>
      <c r="AG2444" s="97"/>
      <c r="AH2444" s="97"/>
      <c r="AI2444" s="97"/>
      <c r="AJ2444" s="97"/>
      <c r="AK2444" s="97"/>
      <c r="AL2444" s="97"/>
      <c r="AM2444" s="97"/>
      <c r="AN2444" s="97"/>
      <c r="AO2444" s="97"/>
      <c r="AP2444" s="97"/>
      <c r="AQ2444" s="97"/>
    </row>
    <row r="2445" spans="2:43" s="101" customFormat="1" ht="15" customHeight="1">
      <c r="B2445" s="104"/>
      <c r="C2445" s="104"/>
      <c r="D2445" s="104"/>
      <c r="E2445" s="104"/>
      <c r="F2445" s="104"/>
      <c r="G2445" s="104"/>
      <c r="H2445" s="104"/>
      <c r="I2445" s="104"/>
      <c r="J2445" s="104"/>
      <c r="K2445" s="104"/>
      <c r="L2445" s="104"/>
      <c r="R2445" s="105"/>
      <c r="S2445" s="105"/>
      <c r="T2445" s="105"/>
      <c r="U2445" s="105"/>
      <c r="V2445" s="105"/>
      <c r="W2445" s="105"/>
      <c r="AD2445" s="106"/>
      <c r="AE2445" s="97"/>
      <c r="AF2445" s="97"/>
      <c r="AG2445" s="97"/>
      <c r="AH2445" s="97"/>
      <c r="AI2445" s="97"/>
      <c r="AJ2445" s="97"/>
      <c r="AK2445" s="97"/>
      <c r="AL2445" s="97"/>
      <c r="AM2445" s="97"/>
      <c r="AN2445" s="97"/>
      <c r="AO2445" s="97"/>
      <c r="AP2445" s="97"/>
      <c r="AQ2445" s="97"/>
    </row>
    <row r="2446" spans="2:43" s="101" customFormat="1" ht="15" customHeight="1">
      <c r="B2446" s="104"/>
      <c r="C2446" s="104"/>
      <c r="D2446" s="104"/>
      <c r="E2446" s="104"/>
      <c r="F2446" s="104"/>
      <c r="G2446" s="104"/>
      <c r="H2446" s="104"/>
      <c r="I2446" s="104"/>
      <c r="J2446" s="104"/>
      <c r="K2446" s="104"/>
      <c r="L2446" s="104"/>
      <c r="R2446" s="105"/>
      <c r="S2446" s="105"/>
      <c r="T2446" s="105"/>
      <c r="U2446" s="105"/>
      <c r="V2446" s="105"/>
      <c r="W2446" s="105"/>
      <c r="AD2446" s="106"/>
      <c r="AE2446" s="97"/>
      <c r="AF2446" s="97"/>
      <c r="AG2446" s="97"/>
      <c r="AH2446" s="97"/>
      <c r="AI2446" s="97"/>
      <c r="AJ2446" s="97"/>
      <c r="AK2446" s="97"/>
      <c r="AL2446" s="97"/>
      <c r="AM2446" s="97"/>
      <c r="AN2446" s="97"/>
      <c r="AO2446" s="97"/>
      <c r="AP2446" s="97"/>
      <c r="AQ2446" s="97"/>
    </row>
    <row r="2447" spans="2:43" s="101" customFormat="1" ht="15" customHeight="1">
      <c r="B2447" s="104"/>
      <c r="C2447" s="104"/>
      <c r="D2447" s="104"/>
      <c r="E2447" s="104"/>
      <c r="F2447" s="104"/>
      <c r="G2447" s="104"/>
      <c r="H2447" s="104"/>
      <c r="I2447" s="104"/>
      <c r="J2447" s="104"/>
      <c r="K2447" s="104"/>
      <c r="L2447" s="104"/>
      <c r="R2447" s="105"/>
      <c r="S2447" s="105"/>
      <c r="T2447" s="105"/>
      <c r="U2447" s="105"/>
      <c r="V2447" s="105"/>
      <c r="W2447" s="105"/>
      <c r="AD2447" s="106"/>
      <c r="AE2447" s="97"/>
      <c r="AF2447" s="97"/>
      <c r="AG2447" s="97"/>
      <c r="AH2447" s="97"/>
      <c r="AI2447" s="97"/>
      <c r="AJ2447" s="97"/>
      <c r="AK2447" s="97"/>
      <c r="AL2447" s="97"/>
      <c r="AM2447" s="97"/>
      <c r="AN2447" s="97"/>
      <c r="AO2447" s="97"/>
      <c r="AP2447" s="97"/>
      <c r="AQ2447" s="97"/>
    </row>
    <row r="2448" spans="2:43" s="101" customFormat="1" ht="15" customHeight="1">
      <c r="B2448" s="104"/>
      <c r="C2448" s="104"/>
      <c r="D2448" s="104"/>
      <c r="E2448" s="104"/>
      <c r="F2448" s="104"/>
      <c r="G2448" s="104"/>
      <c r="H2448" s="104"/>
      <c r="I2448" s="104"/>
      <c r="J2448" s="104"/>
      <c r="K2448" s="104"/>
      <c r="L2448" s="104"/>
      <c r="R2448" s="105"/>
      <c r="S2448" s="105"/>
      <c r="T2448" s="105"/>
      <c r="U2448" s="105"/>
      <c r="V2448" s="105"/>
      <c r="W2448" s="105"/>
      <c r="AD2448" s="106"/>
      <c r="AE2448" s="97"/>
      <c r="AF2448" s="97"/>
      <c r="AG2448" s="97"/>
      <c r="AH2448" s="97"/>
      <c r="AI2448" s="97"/>
      <c r="AJ2448" s="97"/>
      <c r="AK2448" s="97"/>
      <c r="AL2448" s="97"/>
      <c r="AM2448" s="97"/>
      <c r="AN2448" s="97"/>
      <c r="AO2448" s="97"/>
      <c r="AP2448" s="97"/>
      <c r="AQ2448" s="97"/>
    </row>
    <row r="2449" spans="2:43" s="101" customFormat="1" ht="15" customHeight="1">
      <c r="B2449" s="104"/>
      <c r="C2449" s="104"/>
      <c r="D2449" s="104"/>
      <c r="E2449" s="104"/>
      <c r="F2449" s="104"/>
      <c r="G2449" s="104"/>
      <c r="H2449" s="104"/>
      <c r="I2449" s="104"/>
      <c r="J2449" s="104"/>
      <c r="K2449" s="104"/>
      <c r="L2449" s="104"/>
      <c r="R2449" s="105"/>
      <c r="S2449" s="105"/>
      <c r="T2449" s="105"/>
      <c r="U2449" s="105"/>
      <c r="V2449" s="105"/>
      <c r="W2449" s="105"/>
      <c r="AD2449" s="106"/>
      <c r="AE2449" s="97"/>
      <c r="AF2449" s="97"/>
      <c r="AG2449" s="97"/>
      <c r="AH2449" s="97"/>
      <c r="AI2449" s="97"/>
      <c r="AJ2449" s="97"/>
      <c r="AK2449" s="97"/>
      <c r="AL2449" s="97"/>
      <c r="AM2449" s="97"/>
      <c r="AN2449" s="97"/>
      <c r="AO2449" s="97"/>
      <c r="AP2449" s="97"/>
      <c r="AQ2449" s="97"/>
    </row>
    <row r="2450" spans="2:43" s="101" customFormat="1" ht="15" customHeight="1">
      <c r="B2450" s="104"/>
      <c r="C2450" s="104"/>
      <c r="D2450" s="104"/>
      <c r="E2450" s="104"/>
      <c r="F2450" s="104"/>
      <c r="G2450" s="104"/>
      <c r="H2450" s="104"/>
      <c r="I2450" s="104"/>
      <c r="J2450" s="104"/>
      <c r="K2450" s="104"/>
      <c r="L2450" s="104"/>
      <c r="R2450" s="105"/>
      <c r="S2450" s="105"/>
      <c r="T2450" s="105"/>
      <c r="U2450" s="105"/>
      <c r="V2450" s="105"/>
      <c r="W2450" s="105"/>
      <c r="AD2450" s="106"/>
      <c r="AE2450" s="97"/>
      <c r="AF2450" s="97"/>
      <c r="AG2450" s="97"/>
      <c r="AH2450" s="97"/>
      <c r="AI2450" s="97"/>
      <c r="AJ2450" s="97"/>
      <c r="AK2450" s="97"/>
      <c r="AL2450" s="97"/>
      <c r="AM2450" s="97"/>
      <c r="AN2450" s="97"/>
      <c r="AO2450" s="97"/>
      <c r="AP2450" s="97"/>
      <c r="AQ2450" s="97"/>
    </row>
    <row r="2451" spans="2:43" s="101" customFormat="1" ht="15" customHeight="1">
      <c r="B2451" s="104"/>
      <c r="C2451" s="104"/>
      <c r="D2451" s="104"/>
      <c r="E2451" s="104"/>
      <c r="F2451" s="104"/>
      <c r="G2451" s="104"/>
      <c r="H2451" s="104"/>
      <c r="I2451" s="104"/>
      <c r="J2451" s="104"/>
      <c r="K2451" s="104"/>
      <c r="L2451" s="104"/>
      <c r="R2451" s="105"/>
      <c r="S2451" s="105"/>
      <c r="T2451" s="105"/>
      <c r="U2451" s="105"/>
      <c r="V2451" s="105"/>
      <c r="W2451" s="105"/>
      <c r="AD2451" s="106"/>
      <c r="AE2451" s="97"/>
      <c r="AF2451" s="97"/>
      <c r="AG2451" s="97"/>
      <c r="AH2451" s="97"/>
      <c r="AI2451" s="97"/>
      <c r="AJ2451" s="97"/>
      <c r="AK2451" s="97"/>
      <c r="AL2451" s="97"/>
      <c r="AM2451" s="97"/>
      <c r="AN2451" s="97"/>
      <c r="AO2451" s="97"/>
      <c r="AP2451" s="97"/>
      <c r="AQ2451" s="97"/>
    </row>
    <row r="2452" spans="2:43" s="101" customFormat="1" ht="15" customHeight="1">
      <c r="B2452" s="104"/>
      <c r="C2452" s="104"/>
      <c r="D2452" s="104"/>
      <c r="E2452" s="104"/>
      <c r="F2452" s="104"/>
      <c r="G2452" s="104"/>
      <c r="H2452" s="104"/>
      <c r="I2452" s="104"/>
      <c r="J2452" s="104"/>
      <c r="K2452" s="104"/>
      <c r="L2452" s="104"/>
      <c r="R2452" s="105"/>
      <c r="S2452" s="105"/>
      <c r="T2452" s="105"/>
      <c r="U2452" s="105"/>
      <c r="V2452" s="105"/>
      <c r="W2452" s="105"/>
      <c r="AD2452" s="106"/>
      <c r="AE2452" s="97"/>
      <c r="AF2452" s="97"/>
      <c r="AG2452" s="97"/>
      <c r="AH2452" s="97"/>
      <c r="AI2452" s="97"/>
      <c r="AJ2452" s="97"/>
      <c r="AK2452" s="97"/>
      <c r="AL2452" s="97"/>
      <c r="AM2452" s="97"/>
      <c r="AN2452" s="97"/>
      <c r="AO2452" s="97"/>
      <c r="AP2452" s="97"/>
      <c r="AQ2452" s="97"/>
    </row>
    <row r="2453" spans="2:43" s="101" customFormat="1" ht="15" customHeight="1">
      <c r="B2453" s="104"/>
      <c r="C2453" s="104"/>
      <c r="D2453" s="104"/>
      <c r="E2453" s="104"/>
      <c r="F2453" s="104"/>
      <c r="G2453" s="104"/>
      <c r="H2453" s="104"/>
      <c r="I2453" s="104"/>
      <c r="J2453" s="104"/>
      <c r="K2453" s="104"/>
      <c r="L2453" s="104"/>
      <c r="R2453" s="105"/>
      <c r="S2453" s="105"/>
      <c r="T2453" s="105"/>
      <c r="U2453" s="105"/>
      <c r="V2453" s="105"/>
      <c r="W2453" s="105"/>
      <c r="AD2453" s="106"/>
      <c r="AE2453" s="97"/>
      <c r="AF2453" s="97"/>
      <c r="AG2453" s="97"/>
      <c r="AH2453" s="97"/>
      <c r="AI2453" s="97"/>
      <c r="AJ2453" s="97"/>
      <c r="AK2453" s="97"/>
      <c r="AL2453" s="97"/>
      <c r="AM2453" s="97"/>
      <c r="AN2453" s="97"/>
      <c r="AO2453" s="97"/>
      <c r="AP2453" s="97"/>
      <c r="AQ2453" s="97"/>
    </row>
    <row r="2454" spans="2:43" s="101" customFormat="1" ht="15" customHeight="1">
      <c r="B2454" s="104"/>
      <c r="C2454" s="104"/>
      <c r="D2454" s="104"/>
      <c r="E2454" s="104"/>
      <c r="F2454" s="104"/>
      <c r="G2454" s="104"/>
      <c r="H2454" s="104"/>
      <c r="I2454" s="104"/>
      <c r="J2454" s="104"/>
      <c r="K2454" s="104"/>
      <c r="L2454" s="104"/>
      <c r="R2454" s="105"/>
      <c r="S2454" s="105"/>
      <c r="T2454" s="105"/>
      <c r="U2454" s="105"/>
      <c r="V2454" s="105"/>
      <c r="W2454" s="105"/>
      <c r="AD2454" s="106"/>
      <c r="AE2454" s="97"/>
      <c r="AF2454" s="97"/>
      <c r="AG2454" s="97"/>
      <c r="AH2454" s="97"/>
      <c r="AI2454" s="97"/>
      <c r="AJ2454" s="97"/>
      <c r="AK2454" s="97"/>
      <c r="AL2454" s="97"/>
      <c r="AM2454" s="97"/>
      <c r="AN2454" s="97"/>
      <c r="AO2454" s="97"/>
      <c r="AP2454" s="97"/>
      <c r="AQ2454" s="97"/>
    </row>
    <row r="2455" spans="2:43" s="101" customFormat="1" ht="15" customHeight="1">
      <c r="B2455" s="104"/>
      <c r="C2455" s="104"/>
      <c r="D2455" s="104"/>
      <c r="E2455" s="104"/>
      <c r="F2455" s="104"/>
      <c r="G2455" s="104"/>
      <c r="H2455" s="104"/>
      <c r="I2455" s="104"/>
      <c r="J2455" s="104"/>
      <c r="K2455" s="104"/>
      <c r="L2455" s="104"/>
      <c r="R2455" s="105"/>
      <c r="S2455" s="105"/>
      <c r="T2455" s="105"/>
      <c r="U2455" s="105"/>
      <c r="V2455" s="105"/>
      <c r="W2455" s="105"/>
      <c r="AD2455" s="106"/>
      <c r="AE2455" s="97"/>
      <c r="AF2455" s="97"/>
      <c r="AG2455" s="97"/>
      <c r="AH2455" s="97"/>
      <c r="AI2455" s="97"/>
      <c r="AJ2455" s="97"/>
      <c r="AK2455" s="97"/>
      <c r="AL2455" s="97"/>
      <c r="AM2455" s="97"/>
      <c r="AN2455" s="97"/>
      <c r="AO2455" s="97"/>
      <c r="AP2455" s="97"/>
      <c r="AQ2455" s="97"/>
    </row>
    <row r="2456" spans="2:43" s="101" customFormat="1" ht="15" customHeight="1">
      <c r="B2456" s="104"/>
      <c r="C2456" s="104"/>
      <c r="D2456" s="104"/>
      <c r="E2456" s="104"/>
      <c r="F2456" s="104"/>
      <c r="G2456" s="104"/>
      <c r="H2456" s="104"/>
      <c r="I2456" s="104"/>
      <c r="J2456" s="104"/>
      <c r="K2456" s="104"/>
      <c r="L2456" s="104"/>
      <c r="R2456" s="105"/>
      <c r="S2456" s="105"/>
      <c r="T2456" s="105"/>
      <c r="U2456" s="105"/>
      <c r="V2456" s="105"/>
      <c r="W2456" s="105"/>
      <c r="AD2456" s="106"/>
      <c r="AE2456" s="97"/>
      <c r="AF2456" s="97"/>
      <c r="AG2456" s="97"/>
      <c r="AH2456" s="97"/>
      <c r="AI2456" s="97"/>
      <c r="AJ2456" s="97"/>
      <c r="AK2456" s="97"/>
      <c r="AL2456" s="97"/>
      <c r="AM2456" s="97"/>
      <c r="AN2456" s="97"/>
      <c r="AO2456" s="97"/>
      <c r="AP2456" s="97"/>
      <c r="AQ2456" s="97"/>
    </row>
    <row r="2457" spans="2:43" s="101" customFormat="1" ht="15" customHeight="1">
      <c r="B2457" s="104"/>
      <c r="C2457" s="104"/>
      <c r="D2457" s="104"/>
      <c r="E2457" s="104"/>
      <c r="F2457" s="104"/>
      <c r="G2457" s="104"/>
      <c r="H2457" s="104"/>
      <c r="I2457" s="104"/>
      <c r="J2457" s="104"/>
      <c r="K2457" s="104"/>
      <c r="L2457" s="104"/>
      <c r="R2457" s="105"/>
      <c r="S2457" s="105"/>
      <c r="T2457" s="105"/>
      <c r="U2457" s="105"/>
      <c r="V2457" s="105"/>
      <c r="W2457" s="105"/>
      <c r="AD2457" s="106"/>
      <c r="AE2457" s="97"/>
      <c r="AF2457" s="97"/>
      <c r="AG2457" s="97"/>
      <c r="AH2457" s="97"/>
      <c r="AI2457" s="97"/>
      <c r="AJ2457" s="97"/>
      <c r="AK2457" s="97"/>
      <c r="AL2457" s="97"/>
      <c r="AM2457" s="97"/>
      <c r="AN2457" s="97"/>
      <c r="AO2457" s="97"/>
      <c r="AP2457" s="97"/>
      <c r="AQ2457" s="97"/>
    </row>
    <row r="2458" spans="2:43" s="101" customFormat="1" ht="15" customHeight="1">
      <c r="B2458" s="104"/>
      <c r="C2458" s="104"/>
      <c r="D2458" s="104"/>
      <c r="E2458" s="104"/>
      <c r="F2458" s="104"/>
      <c r="G2458" s="104"/>
      <c r="H2458" s="104"/>
      <c r="I2458" s="104"/>
      <c r="J2458" s="104"/>
      <c r="K2458" s="104"/>
      <c r="L2458" s="104"/>
      <c r="R2458" s="105"/>
      <c r="S2458" s="105"/>
      <c r="T2458" s="105"/>
      <c r="U2458" s="105"/>
      <c r="V2458" s="105"/>
      <c r="W2458" s="105"/>
      <c r="AD2458" s="106"/>
      <c r="AE2458" s="97"/>
      <c r="AF2458" s="97"/>
      <c r="AG2458" s="97"/>
      <c r="AH2458" s="97"/>
      <c r="AI2458" s="97"/>
      <c r="AJ2458" s="97"/>
      <c r="AK2458" s="97"/>
      <c r="AL2458" s="97"/>
      <c r="AM2458" s="97"/>
      <c r="AN2458" s="97"/>
      <c r="AO2458" s="97"/>
      <c r="AP2458" s="97"/>
      <c r="AQ2458" s="97"/>
    </row>
    <row r="2459" spans="2:43" s="101" customFormat="1" ht="15" customHeight="1">
      <c r="B2459" s="104"/>
      <c r="C2459" s="104"/>
      <c r="D2459" s="104"/>
      <c r="E2459" s="104"/>
      <c r="F2459" s="104"/>
      <c r="G2459" s="104"/>
      <c r="H2459" s="104"/>
      <c r="I2459" s="104"/>
      <c r="J2459" s="104"/>
      <c r="K2459" s="104"/>
      <c r="L2459" s="104"/>
      <c r="R2459" s="105"/>
      <c r="S2459" s="105"/>
      <c r="T2459" s="105"/>
      <c r="U2459" s="105"/>
      <c r="V2459" s="105"/>
      <c r="W2459" s="105"/>
      <c r="AD2459" s="106"/>
      <c r="AE2459" s="97"/>
      <c r="AF2459" s="97"/>
      <c r="AG2459" s="97"/>
      <c r="AH2459" s="97"/>
      <c r="AI2459" s="97"/>
      <c r="AJ2459" s="97"/>
      <c r="AK2459" s="97"/>
      <c r="AL2459" s="97"/>
      <c r="AM2459" s="97"/>
      <c r="AN2459" s="97"/>
      <c r="AO2459" s="97"/>
      <c r="AP2459" s="97"/>
      <c r="AQ2459" s="97"/>
    </row>
    <row r="2460" spans="2:43" s="101" customFormat="1" ht="15" customHeight="1">
      <c r="B2460" s="104"/>
      <c r="C2460" s="104"/>
      <c r="D2460" s="104"/>
      <c r="E2460" s="104"/>
      <c r="F2460" s="104"/>
      <c r="G2460" s="104"/>
      <c r="H2460" s="104"/>
      <c r="I2460" s="104"/>
      <c r="J2460" s="104"/>
      <c r="K2460" s="104"/>
      <c r="L2460" s="104"/>
      <c r="R2460" s="105"/>
      <c r="S2460" s="105"/>
      <c r="T2460" s="105"/>
      <c r="U2460" s="105"/>
      <c r="V2460" s="105"/>
      <c r="W2460" s="105"/>
      <c r="AD2460" s="106"/>
      <c r="AE2460" s="97"/>
      <c r="AF2460" s="97"/>
      <c r="AG2460" s="97"/>
      <c r="AH2460" s="97"/>
      <c r="AI2460" s="97"/>
      <c r="AJ2460" s="97"/>
      <c r="AK2460" s="97"/>
      <c r="AL2460" s="97"/>
      <c r="AM2460" s="97"/>
      <c r="AN2460" s="97"/>
      <c r="AO2460" s="97"/>
      <c r="AP2460" s="97"/>
      <c r="AQ2460" s="97"/>
    </row>
    <row r="2461" spans="2:43" s="101" customFormat="1" ht="15" customHeight="1">
      <c r="B2461" s="104"/>
      <c r="C2461" s="104"/>
      <c r="D2461" s="104"/>
      <c r="E2461" s="104"/>
      <c r="F2461" s="104"/>
      <c r="G2461" s="104"/>
      <c r="H2461" s="104"/>
      <c r="I2461" s="104"/>
      <c r="J2461" s="104"/>
      <c r="K2461" s="104"/>
      <c r="L2461" s="104"/>
      <c r="R2461" s="105"/>
      <c r="S2461" s="105"/>
      <c r="T2461" s="105"/>
      <c r="U2461" s="105"/>
      <c r="V2461" s="105"/>
      <c r="W2461" s="105"/>
      <c r="AD2461" s="106"/>
      <c r="AE2461" s="97"/>
      <c r="AF2461" s="97"/>
      <c r="AG2461" s="97"/>
      <c r="AH2461" s="97"/>
      <c r="AI2461" s="97"/>
      <c r="AJ2461" s="97"/>
      <c r="AK2461" s="97"/>
      <c r="AL2461" s="97"/>
      <c r="AM2461" s="97"/>
      <c r="AN2461" s="97"/>
      <c r="AO2461" s="97"/>
      <c r="AP2461" s="97"/>
      <c r="AQ2461" s="97"/>
    </row>
    <row r="2462" spans="2:43" s="101" customFormat="1" ht="15" customHeight="1">
      <c r="B2462" s="104"/>
      <c r="C2462" s="104"/>
      <c r="D2462" s="104"/>
      <c r="E2462" s="104"/>
      <c r="F2462" s="104"/>
      <c r="G2462" s="104"/>
      <c r="H2462" s="104"/>
      <c r="I2462" s="104"/>
      <c r="J2462" s="104"/>
      <c r="K2462" s="104"/>
      <c r="L2462" s="104"/>
      <c r="R2462" s="105"/>
      <c r="S2462" s="105"/>
      <c r="T2462" s="105"/>
      <c r="U2462" s="105"/>
      <c r="V2462" s="105"/>
      <c r="W2462" s="105"/>
      <c r="AD2462" s="106"/>
      <c r="AE2462" s="97"/>
      <c r="AF2462" s="97"/>
      <c r="AG2462" s="97"/>
      <c r="AH2462" s="97"/>
      <c r="AI2462" s="97"/>
      <c r="AJ2462" s="97"/>
      <c r="AK2462" s="97"/>
      <c r="AL2462" s="97"/>
      <c r="AM2462" s="97"/>
      <c r="AN2462" s="97"/>
      <c r="AO2462" s="97"/>
      <c r="AP2462" s="97"/>
      <c r="AQ2462" s="97"/>
    </row>
    <row r="2463" spans="2:43" s="101" customFormat="1" ht="15" customHeight="1">
      <c r="B2463" s="104"/>
      <c r="C2463" s="104"/>
      <c r="D2463" s="104"/>
      <c r="E2463" s="104"/>
      <c r="F2463" s="104"/>
      <c r="G2463" s="104"/>
      <c r="H2463" s="104"/>
      <c r="I2463" s="104"/>
      <c r="J2463" s="104"/>
      <c r="K2463" s="104"/>
      <c r="L2463" s="104"/>
      <c r="R2463" s="105"/>
      <c r="S2463" s="105"/>
      <c r="T2463" s="105"/>
      <c r="U2463" s="105"/>
      <c r="V2463" s="105"/>
      <c r="W2463" s="105"/>
      <c r="AD2463" s="106"/>
      <c r="AE2463" s="97"/>
      <c r="AF2463" s="97"/>
      <c r="AG2463" s="97"/>
      <c r="AH2463" s="97"/>
      <c r="AI2463" s="97"/>
      <c r="AJ2463" s="97"/>
      <c r="AK2463" s="97"/>
      <c r="AL2463" s="97"/>
      <c r="AM2463" s="97"/>
      <c r="AN2463" s="97"/>
      <c r="AO2463" s="97"/>
      <c r="AP2463" s="97"/>
      <c r="AQ2463" s="97"/>
    </row>
    <row r="2464" spans="2:43" s="101" customFormat="1" ht="15" customHeight="1">
      <c r="B2464" s="104"/>
      <c r="C2464" s="104"/>
      <c r="D2464" s="104"/>
      <c r="E2464" s="104"/>
      <c r="F2464" s="104"/>
      <c r="G2464" s="104"/>
      <c r="H2464" s="104"/>
      <c r="I2464" s="104"/>
      <c r="J2464" s="104"/>
      <c r="K2464" s="104"/>
      <c r="L2464" s="104"/>
      <c r="R2464" s="105"/>
      <c r="S2464" s="105"/>
      <c r="T2464" s="105"/>
      <c r="U2464" s="105"/>
      <c r="V2464" s="105"/>
      <c r="W2464" s="105"/>
      <c r="AD2464" s="106"/>
      <c r="AE2464" s="97"/>
      <c r="AF2464" s="97"/>
      <c r="AG2464" s="97"/>
      <c r="AH2464" s="97"/>
      <c r="AI2464" s="97"/>
      <c r="AJ2464" s="97"/>
      <c r="AK2464" s="97"/>
      <c r="AL2464" s="97"/>
      <c r="AM2464" s="97"/>
      <c r="AN2464" s="97"/>
      <c r="AO2464" s="97"/>
      <c r="AP2464" s="97"/>
      <c r="AQ2464" s="97"/>
    </row>
    <row r="2465" spans="2:43" s="101" customFormat="1" ht="15" customHeight="1">
      <c r="B2465" s="104"/>
      <c r="C2465" s="104"/>
      <c r="D2465" s="104"/>
      <c r="E2465" s="104"/>
      <c r="F2465" s="104"/>
      <c r="G2465" s="104"/>
      <c r="H2465" s="104"/>
      <c r="I2465" s="104"/>
      <c r="J2465" s="104"/>
      <c r="K2465" s="104"/>
      <c r="L2465" s="104"/>
      <c r="R2465" s="105"/>
      <c r="S2465" s="105"/>
      <c r="T2465" s="105"/>
      <c r="U2465" s="105"/>
      <c r="V2465" s="105"/>
      <c r="W2465" s="105"/>
      <c r="AD2465" s="106"/>
      <c r="AE2465" s="97"/>
      <c r="AF2465" s="97"/>
      <c r="AG2465" s="97"/>
      <c r="AH2465" s="97"/>
      <c r="AI2465" s="97"/>
      <c r="AJ2465" s="97"/>
      <c r="AK2465" s="97"/>
      <c r="AL2465" s="97"/>
      <c r="AM2465" s="97"/>
      <c r="AN2465" s="97"/>
      <c r="AO2465" s="97"/>
      <c r="AP2465" s="97"/>
      <c r="AQ2465" s="97"/>
    </row>
    <row r="2466" spans="2:43" s="101" customFormat="1" ht="15" customHeight="1">
      <c r="B2466" s="104"/>
      <c r="C2466" s="104"/>
      <c r="D2466" s="104"/>
      <c r="E2466" s="104"/>
      <c r="F2466" s="104"/>
      <c r="G2466" s="104"/>
      <c r="H2466" s="104"/>
      <c r="I2466" s="104"/>
      <c r="J2466" s="104"/>
      <c r="K2466" s="104"/>
      <c r="L2466" s="104"/>
      <c r="R2466" s="105"/>
      <c r="S2466" s="105"/>
      <c r="T2466" s="105"/>
      <c r="U2466" s="105"/>
      <c r="V2466" s="105"/>
      <c r="W2466" s="105"/>
      <c r="AD2466" s="106"/>
      <c r="AE2466" s="97"/>
      <c r="AF2466" s="97"/>
      <c r="AG2466" s="97"/>
      <c r="AH2466" s="97"/>
      <c r="AI2466" s="97"/>
      <c r="AJ2466" s="97"/>
      <c r="AK2466" s="97"/>
      <c r="AL2466" s="97"/>
      <c r="AM2466" s="97"/>
      <c r="AN2466" s="97"/>
      <c r="AO2466" s="97"/>
      <c r="AP2466" s="97"/>
      <c r="AQ2466" s="97"/>
    </row>
    <row r="2467" spans="2:43" s="101" customFormat="1" ht="15" customHeight="1">
      <c r="B2467" s="104"/>
      <c r="C2467" s="104"/>
      <c r="D2467" s="104"/>
      <c r="E2467" s="104"/>
      <c r="F2467" s="104"/>
      <c r="G2467" s="104"/>
      <c r="H2467" s="104"/>
      <c r="I2467" s="104"/>
      <c r="J2467" s="104"/>
      <c r="K2467" s="104"/>
      <c r="L2467" s="104"/>
      <c r="R2467" s="105"/>
      <c r="S2467" s="105"/>
      <c r="T2467" s="105"/>
      <c r="U2467" s="105"/>
      <c r="V2467" s="105"/>
      <c r="W2467" s="105"/>
      <c r="AD2467" s="106"/>
      <c r="AE2467" s="97"/>
      <c r="AF2467" s="97"/>
      <c r="AG2467" s="97"/>
      <c r="AH2467" s="97"/>
      <c r="AI2467" s="97"/>
      <c r="AJ2467" s="97"/>
      <c r="AK2467" s="97"/>
      <c r="AL2467" s="97"/>
      <c r="AM2467" s="97"/>
      <c r="AN2467" s="97"/>
      <c r="AO2467" s="97"/>
      <c r="AP2467" s="97"/>
      <c r="AQ2467" s="97"/>
    </row>
    <row r="2468" spans="2:43" s="101" customFormat="1" ht="15" customHeight="1">
      <c r="B2468" s="104"/>
      <c r="C2468" s="104"/>
      <c r="D2468" s="104"/>
      <c r="E2468" s="104"/>
      <c r="F2468" s="104"/>
      <c r="G2468" s="104"/>
      <c r="H2468" s="104"/>
      <c r="I2468" s="104"/>
      <c r="J2468" s="104"/>
      <c r="K2468" s="104"/>
      <c r="L2468" s="104"/>
      <c r="R2468" s="105"/>
      <c r="S2468" s="105"/>
      <c r="T2468" s="105"/>
      <c r="U2468" s="105"/>
      <c r="V2468" s="105"/>
      <c r="W2468" s="105"/>
      <c r="AD2468" s="106"/>
      <c r="AE2468" s="97"/>
      <c r="AF2468" s="97"/>
      <c r="AG2468" s="97"/>
      <c r="AH2468" s="97"/>
      <c r="AI2468" s="97"/>
      <c r="AJ2468" s="97"/>
      <c r="AK2468" s="97"/>
      <c r="AL2468" s="97"/>
      <c r="AM2468" s="97"/>
      <c r="AN2468" s="97"/>
      <c r="AO2468" s="97"/>
      <c r="AP2468" s="97"/>
      <c r="AQ2468" s="97"/>
    </row>
    <row r="2469" spans="2:43" s="101" customFormat="1" ht="15" customHeight="1">
      <c r="B2469" s="104"/>
      <c r="C2469" s="104"/>
      <c r="D2469" s="104"/>
      <c r="E2469" s="104"/>
      <c r="F2469" s="104"/>
      <c r="G2469" s="104"/>
      <c r="H2469" s="104"/>
      <c r="I2469" s="104"/>
      <c r="J2469" s="104"/>
      <c r="K2469" s="104"/>
      <c r="L2469" s="104"/>
      <c r="R2469" s="105"/>
      <c r="S2469" s="105"/>
      <c r="T2469" s="105"/>
      <c r="U2469" s="105"/>
      <c r="V2469" s="105"/>
      <c r="W2469" s="105"/>
      <c r="AD2469" s="106"/>
      <c r="AE2469" s="97"/>
      <c r="AF2469" s="97"/>
      <c r="AG2469" s="97"/>
      <c r="AH2469" s="97"/>
      <c r="AI2469" s="97"/>
      <c r="AJ2469" s="97"/>
      <c r="AK2469" s="97"/>
      <c r="AL2469" s="97"/>
      <c r="AM2469" s="97"/>
      <c r="AN2469" s="97"/>
      <c r="AO2469" s="97"/>
      <c r="AP2469" s="97"/>
      <c r="AQ2469" s="97"/>
    </row>
    <row r="2470" spans="2:43" s="101" customFormat="1" ht="15" customHeight="1">
      <c r="B2470" s="104"/>
      <c r="C2470" s="104"/>
      <c r="D2470" s="104"/>
      <c r="E2470" s="104"/>
      <c r="F2470" s="104"/>
      <c r="G2470" s="104"/>
      <c r="H2470" s="104"/>
      <c r="I2470" s="104"/>
      <c r="J2470" s="104"/>
      <c r="K2470" s="104"/>
      <c r="L2470" s="104"/>
      <c r="R2470" s="105"/>
      <c r="S2470" s="105"/>
      <c r="T2470" s="105"/>
      <c r="U2470" s="105"/>
      <c r="V2470" s="105"/>
      <c r="W2470" s="105"/>
      <c r="AD2470" s="106"/>
      <c r="AE2470" s="97"/>
      <c r="AF2470" s="97"/>
      <c r="AG2470" s="97"/>
      <c r="AH2470" s="97"/>
      <c r="AI2470" s="97"/>
      <c r="AJ2470" s="97"/>
      <c r="AK2470" s="97"/>
      <c r="AL2470" s="97"/>
      <c r="AM2470" s="97"/>
      <c r="AN2470" s="97"/>
      <c r="AO2470" s="97"/>
      <c r="AP2470" s="97"/>
      <c r="AQ2470" s="97"/>
    </row>
    <row r="2471" spans="2:43" s="101" customFormat="1" ht="15" customHeight="1">
      <c r="B2471" s="104"/>
      <c r="C2471" s="104"/>
      <c r="D2471" s="104"/>
      <c r="E2471" s="104"/>
      <c r="F2471" s="104"/>
      <c r="G2471" s="104"/>
      <c r="H2471" s="104"/>
      <c r="I2471" s="104"/>
      <c r="J2471" s="104"/>
      <c r="K2471" s="104"/>
      <c r="L2471" s="104"/>
      <c r="R2471" s="105"/>
      <c r="S2471" s="105"/>
      <c r="T2471" s="105"/>
      <c r="U2471" s="105"/>
      <c r="V2471" s="105"/>
      <c r="W2471" s="105"/>
      <c r="AD2471" s="106"/>
      <c r="AE2471" s="97"/>
      <c r="AF2471" s="97"/>
      <c r="AG2471" s="97"/>
      <c r="AH2471" s="97"/>
      <c r="AI2471" s="97"/>
      <c r="AJ2471" s="97"/>
      <c r="AK2471" s="97"/>
      <c r="AL2471" s="97"/>
      <c r="AM2471" s="97"/>
      <c r="AN2471" s="97"/>
      <c r="AO2471" s="97"/>
      <c r="AP2471" s="97"/>
      <c r="AQ2471" s="97"/>
    </row>
    <row r="2472" spans="2:43" s="101" customFormat="1" ht="15" customHeight="1">
      <c r="B2472" s="104"/>
      <c r="C2472" s="104"/>
      <c r="D2472" s="104"/>
      <c r="E2472" s="104"/>
      <c r="F2472" s="104"/>
      <c r="G2472" s="104"/>
      <c r="H2472" s="104"/>
      <c r="I2472" s="104"/>
      <c r="J2472" s="104"/>
      <c r="K2472" s="104"/>
      <c r="L2472" s="104"/>
      <c r="R2472" s="105"/>
      <c r="S2472" s="105"/>
      <c r="T2472" s="105"/>
      <c r="U2472" s="105"/>
      <c r="V2472" s="105"/>
      <c r="W2472" s="105"/>
      <c r="AD2472" s="106"/>
      <c r="AE2472" s="97"/>
      <c r="AF2472" s="97"/>
      <c r="AG2472" s="97"/>
      <c r="AH2472" s="97"/>
      <c r="AI2472" s="97"/>
      <c r="AJ2472" s="97"/>
      <c r="AK2472" s="97"/>
      <c r="AL2472" s="97"/>
      <c r="AM2472" s="97"/>
      <c r="AN2472" s="97"/>
      <c r="AO2472" s="97"/>
      <c r="AP2472" s="97"/>
      <c r="AQ2472" s="97"/>
    </row>
    <row r="2473" spans="2:43" s="101" customFormat="1" ht="15" customHeight="1">
      <c r="B2473" s="104"/>
      <c r="C2473" s="104"/>
      <c r="D2473" s="104"/>
      <c r="E2473" s="104"/>
      <c r="F2473" s="104"/>
      <c r="G2473" s="104"/>
      <c r="H2473" s="104"/>
      <c r="I2473" s="104"/>
      <c r="J2473" s="104"/>
      <c r="K2473" s="104"/>
      <c r="L2473" s="104"/>
      <c r="R2473" s="105"/>
      <c r="S2473" s="105"/>
      <c r="T2473" s="105"/>
      <c r="U2473" s="105"/>
      <c r="V2473" s="105"/>
      <c r="W2473" s="105"/>
      <c r="AD2473" s="106"/>
      <c r="AE2473" s="97"/>
      <c r="AF2473" s="97"/>
      <c r="AG2473" s="97"/>
      <c r="AH2473" s="97"/>
      <c r="AI2473" s="97"/>
      <c r="AJ2473" s="97"/>
      <c r="AK2473" s="97"/>
      <c r="AL2473" s="97"/>
      <c r="AM2473" s="97"/>
      <c r="AN2473" s="97"/>
      <c r="AO2473" s="97"/>
      <c r="AP2473" s="97"/>
      <c r="AQ2473" s="97"/>
    </row>
    <row r="2474" spans="2:43" s="101" customFormat="1" ht="15" customHeight="1">
      <c r="B2474" s="104"/>
      <c r="C2474" s="104"/>
      <c r="D2474" s="104"/>
      <c r="E2474" s="104"/>
      <c r="F2474" s="104"/>
      <c r="G2474" s="104"/>
      <c r="H2474" s="104"/>
      <c r="I2474" s="104"/>
      <c r="J2474" s="104"/>
      <c r="K2474" s="104"/>
      <c r="L2474" s="104"/>
      <c r="R2474" s="105"/>
      <c r="S2474" s="105"/>
      <c r="T2474" s="105"/>
      <c r="U2474" s="105"/>
      <c r="V2474" s="105"/>
      <c r="W2474" s="105"/>
      <c r="AD2474" s="106"/>
      <c r="AE2474" s="97"/>
      <c r="AF2474" s="97"/>
      <c r="AG2474" s="97"/>
      <c r="AH2474" s="97"/>
      <c r="AI2474" s="97"/>
      <c r="AJ2474" s="97"/>
      <c r="AK2474" s="97"/>
      <c r="AL2474" s="97"/>
      <c r="AM2474" s="97"/>
      <c r="AN2474" s="97"/>
      <c r="AO2474" s="97"/>
      <c r="AP2474" s="97"/>
      <c r="AQ2474" s="97"/>
    </row>
    <row r="2475" spans="2:43" s="101" customFormat="1" ht="15" customHeight="1">
      <c r="B2475" s="104"/>
      <c r="C2475" s="104"/>
      <c r="D2475" s="104"/>
      <c r="E2475" s="104"/>
      <c r="F2475" s="104"/>
      <c r="G2475" s="104"/>
      <c r="H2475" s="104"/>
      <c r="I2475" s="104"/>
      <c r="J2475" s="104"/>
      <c r="K2475" s="104"/>
      <c r="L2475" s="104"/>
      <c r="R2475" s="105"/>
      <c r="S2475" s="105"/>
      <c r="T2475" s="105"/>
      <c r="U2475" s="105"/>
      <c r="V2475" s="105"/>
      <c r="W2475" s="105"/>
      <c r="AD2475" s="106"/>
      <c r="AE2475" s="97"/>
      <c r="AF2475" s="97"/>
      <c r="AG2475" s="97"/>
      <c r="AH2475" s="97"/>
      <c r="AI2475" s="97"/>
      <c r="AJ2475" s="97"/>
      <c r="AK2475" s="97"/>
      <c r="AL2475" s="97"/>
      <c r="AM2475" s="97"/>
      <c r="AN2475" s="97"/>
      <c r="AO2475" s="97"/>
      <c r="AP2475" s="97"/>
      <c r="AQ2475" s="97"/>
    </row>
    <row r="2476" spans="2:43" s="101" customFormat="1" ht="15" customHeight="1">
      <c r="B2476" s="104"/>
      <c r="C2476" s="104"/>
      <c r="D2476" s="104"/>
      <c r="E2476" s="104"/>
      <c r="F2476" s="104"/>
      <c r="G2476" s="104"/>
      <c r="H2476" s="104"/>
      <c r="I2476" s="104"/>
      <c r="J2476" s="104"/>
      <c r="K2476" s="104"/>
      <c r="L2476" s="104"/>
      <c r="R2476" s="105"/>
      <c r="S2476" s="105"/>
      <c r="T2476" s="105"/>
      <c r="U2476" s="105"/>
      <c r="V2476" s="105"/>
      <c r="W2476" s="105"/>
      <c r="AD2476" s="106"/>
      <c r="AE2476" s="97"/>
      <c r="AF2476" s="97"/>
      <c r="AG2476" s="97"/>
      <c r="AH2476" s="97"/>
      <c r="AI2476" s="97"/>
      <c r="AJ2476" s="97"/>
      <c r="AK2476" s="97"/>
      <c r="AL2476" s="97"/>
      <c r="AM2476" s="97"/>
      <c r="AN2476" s="97"/>
      <c r="AO2476" s="97"/>
      <c r="AP2476" s="97"/>
      <c r="AQ2476" s="97"/>
    </row>
    <row r="2477" spans="2:43" s="101" customFormat="1" ht="15" customHeight="1">
      <c r="B2477" s="104"/>
      <c r="C2477" s="104"/>
      <c r="D2477" s="104"/>
      <c r="E2477" s="104"/>
      <c r="F2477" s="104"/>
      <c r="G2477" s="104"/>
      <c r="H2477" s="104"/>
      <c r="I2477" s="104"/>
      <c r="J2477" s="104"/>
      <c r="K2477" s="104"/>
      <c r="L2477" s="104"/>
      <c r="R2477" s="105"/>
      <c r="S2477" s="105"/>
      <c r="T2477" s="105"/>
      <c r="U2477" s="105"/>
      <c r="V2477" s="105"/>
      <c r="W2477" s="105"/>
      <c r="AD2477" s="106"/>
      <c r="AE2477" s="97"/>
      <c r="AF2477" s="97"/>
      <c r="AG2477" s="97"/>
      <c r="AH2477" s="97"/>
      <c r="AI2477" s="97"/>
      <c r="AJ2477" s="97"/>
      <c r="AK2477" s="97"/>
      <c r="AL2477" s="97"/>
      <c r="AM2477" s="97"/>
      <c r="AN2477" s="97"/>
      <c r="AO2477" s="97"/>
      <c r="AP2477" s="97"/>
      <c r="AQ2477" s="97"/>
    </row>
    <row r="2478" spans="2:43" s="101" customFormat="1" ht="15" customHeight="1">
      <c r="B2478" s="104"/>
      <c r="C2478" s="104"/>
      <c r="D2478" s="104"/>
      <c r="E2478" s="104"/>
      <c r="F2478" s="104"/>
      <c r="G2478" s="104"/>
      <c r="H2478" s="104"/>
      <c r="I2478" s="104"/>
      <c r="J2478" s="104"/>
      <c r="K2478" s="104"/>
      <c r="L2478" s="104"/>
      <c r="R2478" s="105"/>
      <c r="S2478" s="105"/>
      <c r="T2478" s="105"/>
      <c r="U2478" s="105"/>
      <c r="V2478" s="105"/>
      <c r="W2478" s="105"/>
      <c r="AD2478" s="106"/>
      <c r="AE2478" s="97"/>
      <c r="AF2478" s="97"/>
      <c r="AG2478" s="97"/>
      <c r="AH2478" s="97"/>
      <c r="AI2478" s="97"/>
      <c r="AJ2478" s="97"/>
      <c r="AK2478" s="97"/>
      <c r="AL2478" s="97"/>
      <c r="AM2478" s="97"/>
      <c r="AN2478" s="97"/>
      <c r="AO2478" s="97"/>
      <c r="AP2478" s="97"/>
      <c r="AQ2478" s="97"/>
    </row>
    <row r="2479" spans="2:43" s="101" customFormat="1" ht="15" customHeight="1">
      <c r="B2479" s="104"/>
      <c r="C2479" s="104"/>
      <c r="D2479" s="104"/>
      <c r="E2479" s="104"/>
      <c r="F2479" s="104"/>
      <c r="G2479" s="104"/>
      <c r="H2479" s="104"/>
      <c r="I2479" s="104"/>
      <c r="J2479" s="104"/>
      <c r="K2479" s="104"/>
      <c r="L2479" s="104"/>
      <c r="R2479" s="105"/>
      <c r="S2479" s="105"/>
      <c r="T2479" s="105"/>
      <c r="U2479" s="105"/>
      <c r="V2479" s="105"/>
      <c r="W2479" s="105"/>
      <c r="AD2479" s="106"/>
      <c r="AE2479" s="97"/>
      <c r="AF2479" s="97"/>
      <c r="AG2479" s="97"/>
      <c r="AH2479" s="97"/>
      <c r="AI2479" s="97"/>
      <c r="AJ2479" s="97"/>
      <c r="AK2479" s="97"/>
      <c r="AL2479" s="97"/>
      <c r="AM2479" s="97"/>
      <c r="AN2479" s="97"/>
      <c r="AO2479" s="97"/>
      <c r="AP2479" s="97"/>
      <c r="AQ2479" s="97"/>
    </row>
    <row r="2480" spans="2:43" s="101" customFormat="1" ht="15" customHeight="1">
      <c r="B2480" s="104"/>
      <c r="C2480" s="104"/>
      <c r="D2480" s="104"/>
      <c r="E2480" s="104"/>
      <c r="F2480" s="104"/>
      <c r="G2480" s="104"/>
      <c r="H2480" s="104"/>
      <c r="I2480" s="104"/>
      <c r="J2480" s="104"/>
      <c r="K2480" s="104"/>
      <c r="L2480" s="104"/>
      <c r="R2480" s="105"/>
      <c r="S2480" s="105"/>
      <c r="T2480" s="105"/>
      <c r="U2480" s="105"/>
      <c r="V2480" s="105"/>
      <c r="W2480" s="105"/>
      <c r="AD2480" s="106"/>
      <c r="AE2480" s="97"/>
      <c r="AF2480" s="97"/>
      <c r="AG2480" s="97"/>
      <c r="AH2480" s="97"/>
      <c r="AI2480" s="97"/>
      <c r="AJ2480" s="97"/>
      <c r="AK2480" s="97"/>
      <c r="AL2480" s="97"/>
      <c r="AM2480" s="97"/>
      <c r="AN2480" s="97"/>
      <c r="AO2480" s="97"/>
      <c r="AP2480" s="97"/>
      <c r="AQ2480" s="97"/>
    </row>
    <row r="2481" spans="2:43" s="101" customFormat="1" ht="15" customHeight="1">
      <c r="B2481" s="104"/>
      <c r="C2481" s="104"/>
      <c r="D2481" s="104"/>
      <c r="E2481" s="104"/>
      <c r="F2481" s="104"/>
      <c r="G2481" s="104"/>
      <c r="H2481" s="104"/>
      <c r="I2481" s="104"/>
      <c r="J2481" s="104"/>
      <c r="K2481" s="104"/>
      <c r="L2481" s="104"/>
      <c r="R2481" s="105"/>
      <c r="S2481" s="105"/>
      <c r="T2481" s="105"/>
      <c r="U2481" s="105"/>
      <c r="V2481" s="105"/>
      <c r="W2481" s="105"/>
      <c r="AD2481" s="106"/>
      <c r="AE2481" s="97"/>
      <c r="AF2481" s="97"/>
      <c r="AG2481" s="97"/>
      <c r="AH2481" s="97"/>
      <c r="AI2481" s="97"/>
      <c r="AJ2481" s="97"/>
      <c r="AK2481" s="97"/>
      <c r="AL2481" s="97"/>
      <c r="AM2481" s="97"/>
      <c r="AN2481" s="97"/>
      <c r="AO2481" s="97"/>
      <c r="AP2481" s="97"/>
      <c r="AQ2481" s="97"/>
    </row>
    <row r="2482" spans="2:43" s="101" customFormat="1" ht="15" customHeight="1">
      <c r="B2482" s="104"/>
      <c r="C2482" s="104"/>
      <c r="D2482" s="104"/>
      <c r="E2482" s="104"/>
      <c r="F2482" s="104"/>
      <c r="G2482" s="104"/>
      <c r="H2482" s="104"/>
      <c r="I2482" s="104"/>
      <c r="J2482" s="104"/>
      <c r="K2482" s="104"/>
      <c r="L2482" s="104"/>
      <c r="R2482" s="105"/>
      <c r="S2482" s="105"/>
      <c r="T2482" s="105"/>
      <c r="U2482" s="105"/>
      <c r="V2482" s="105"/>
      <c r="W2482" s="105"/>
      <c r="AD2482" s="106"/>
      <c r="AE2482" s="97"/>
      <c r="AF2482" s="97"/>
      <c r="AG2482" s="97"/>
      <c r="AH2482" s="97"/>
      <c r="AI2482" s="97"/>
      <c r="AJ2482" s="97"/>
      <c r="AK2482" s="97"/>
      <c r="AL2482" s="97"/>
      <c r="AM2482" s="97"/>
      <c r="AN2482" s="97"/>
      <c r="AO2482" s="97"/>
      <c r="AP2482" s="97"/>
      <c r="AQ2482" s="97"/>
    </row>
    <row r="2483" spans="2:43" s="101" customFormat="1" ht="15" customHeight="1">
      <c r="B2483" s="104"/>
      <c r="C2483" s="104"/>
      <c r="D2483" s="104"/>
      <c r="E2483" s="104"/>
      <c r="F2483" s="104"/>
      <c r="G2483" s="104"/>
      <c r="H2483" s="104"/>
      <c r="I2483" s="104"/>
      <c r="J2483" s="104"/>
      <c r="K2483" s="104"/>
      <c r="L2483" s="104"/>
      <c r="R2483" s="105"/>
      <c r="S2483" s="105"/>
      <c r="T2483" s="105"/>
      <c r="U2483" s="105"/>
      <c r="V2483" s="105"/>
      <c r="W2483" s="105"/>
      <c r="AD2483" s="106"/>
      <c r="AE2483" s="97"/>
      <c r="AF2483" s="97"/>
      <c r="AG2483" s="97"/>
      <c r="AH2483" s="97"/>
      <c r="AI2483" s="97"/>
      <c r="AJ2483" s="97"/>
      <c r="AK2483" s="97"/>
      <c r="AL2483" s="97"/>
      <c r="AM2483" s="97"/>
      <c r="AN2483" s="97"/>
      <c r="AO2483" s="97"/>
      <c r="AP2483" s="97"/>
      <c r="AQ2483" s="97"/>
    </row>
    <row r="2484" spans="2:43" s="101" customFormat="1" ht="15" customHeight="1">
      <c r="B2484" s="104"/>
      <c r="C2484" s="104"/>
      <c r="D2484" s="104"/>
      <c r="E2484" s="104"/>
      <c r="F2484" s="104"/>
      <c r="G2484" s="104"/>
      <c r="H2484" s="104"/>
      <c r="I2484" s="104"/>
      <c r="J2484" s="104"/>
      <c r="K2484" s="104"/>
      <c r="L2484" s="104"/>
      <c r="R2484" s="105"/>
      <c r="S2484" s="105"/>
      <c r="T2484" s="105"/>
      <c r="U2484" s="105"/>
      <c r="V2484" s="105"/>
      <c r="W2484" s="105"/>
      <c r="AD2484" s="106"/>
      <c r="AE2484" s="97"/>
      <c r="AF2484" s="97"/>
      <c r="AG2484" s="97"/>
      <c r="AH2484" s="97"/>
      <c r="AI2484" s="97"/>
      <c r="AJ2484" s="97"/>
      <c r="AK2484" s="97"/>
      <c r="AL2484" s="97"/>
      <c r="AM2484" s="97"/>
      <c r="AN2484" s="97"/>
      <c r="AO2484" s="97"/>
      <c r="AP2484" s="97"/>
      <c r="AQ2484" s="97"/>
    </row>
    <row r="2485" spans="2:43" s="101" customFormat="1" ht="15" customHeight="1">
      <c r="B2485" s="104"/>
      <c r="C2485" s="104"/>
      <c r="D2485" s="104"/>
      <c r="E2485" s="104"/>
      <c r="F2485" s="104"/>
      <c r="G2485" s="104"/>
      <c r="H2485" s="104"/>
      <c r="I2485" s="104"/>
      <c r="J2485" s="104"/>
      <c r="K2485" s="104"/>
      <c r="L2485" s="104"/>
      <c r="R2485" s="105"/>
      <c r="S2485" s="105"/>
      <c r="T2485" s="105"/>
      <c r="U2485" s="105"/>
      <c r="V2485" s="105"/>
      <c r="W2485" s="105"/>
      <c r="AD2485" s="106"/>
      <c r="AE2485" s="97"/>
      <c r="AF2485" s="97"/>
      <c r="AG2485" s="97"/>
      <c r="AH2485" s="97"/>
      <c r="AI2485" s="97"/>
      <c r="AJ2485" s="97"/>
      <c r="AK2485" s="97"/>
      <c r="AL2485" s="97"/>
      <c r="AM2485" s="97"/>
      <c r="AN2485" s="97"/>
      <c r="AO2485" s="97"/>
      <c r="AP2485" s="97"/>
      <c r="AQ2485" s="97"/>
    </row>
    <row r="2486" spans="2:43" s="101" customFormat="1" ht="15" customHeight="1">
      <c r="B2486" s="104"/>
      <c r="C2486" s="104"/>
      <c r="D2486" s="104"/>
      <c r="E2486" s="104"/>
      <c r="F2486" s="104"/>
      <c r="G2486" s="104"/>
      <c r="H2486" s="104"/>
      <c r="I2486" s="104"/>
      <c r="J2486" s="104"/>
      <c r="K2486" s="104"/>
      <c r="L2486" s="104"/>
      <c r="R2486" s="105"/>
      <c r="S2486" s="105"/>
      <c r="T2486" s="105"/>
      <c r="U2486" s="105"/>
      <c r="V2486" s="105"/>
      <c r="W2486" s="105"/>
      <c r="AD2486" s="106"/>
      <c r="AE2486" s="97"/>
      <c r="AF2486" s="97"/>
      <c r="AG2486" s="97"/>
      <c r="AH2486" s="97"/>
      <c r="AI2486" s="97"/>
      <c r="AJ2486" s="97"/>
      <c r="AK2486" s="97"/>
      <c r="AL2486" s="97"/>
      <c r="AM2486" s="97"/>
      <c r="AN2486" s="97"/>
      <c r="AO2486" s="97"/>
      <c r="AP2486" s="97"/>
      <c r="AQ2486" s="97"/>
    </row>
    <row r="2487" spans="2:43" s="101" customFormat="1" ht="15" customHeight="1">
      <c r="B2487" s="104"/>
      <c r="C2487" s="104"/>
      <c r="D2487" s="104"/>
      <c r="E2487" s="104"/>
      <c r="F2487" s="104"/>
      <c r="G2487" s="104"/>
      <c r="H2487" s="104"/>
      <c r="I2487" s="104"/>
      <c r="J2487" s="104"/>
      <c r="K2487" s="104"/>
      <c r="L2487" s="104"/>
      <c r="R2487" s="105"/>
      <c r="S2487" s="105"/>
      <c r="T2487" s="105"/>
      <c r="U2487" s="105"/>
      <c r="V2487" s="105"/>
      <c r="W2487" s="105"/>
      <c r="AD2487" s="106"/>
      <c r="AE2487" s="97"/>
      <c r="AF2487" s="97"/>
      <c r="AG2487" s="97"/>
      <c r="AH2487" s="97"/>
      <c r="AI2487" s="97"/>
      <c r="AJ2487" s="97"/>
      <c r="AK2487" s="97"/>
      <c r="AL2487" s="97"/>
      <c r="AM2487" s="97"/>
      <c r="AN2487" s="97"/>
      <c r="AO2487" s="97"/>
      <c r="AP2487" s="97"/>
      <c r="AQ2487" s="97"/>
    </row>
    <row r="2488" spans="2:43" s="101" customFormat="1" ht="15" customHeight="1">
      <c r="B2488" s="104"/>
      <c r="C2488" s="104"/>
      <c r="D2488" s="104"/>
      <c r="E2488" s="104"/>
      <c r="F2488" s="104"/>
      <c r="G2488" s="104"/>
      <c r="H2488" s="104"/>
      <c r="I2488" s="104"/>
      <c r="J2488" s="104"/>
      <c r="K2488" s="104"/>
      <c r="L2488" s="104"/>
      <c r="R2488" s="105"/>
      <c r="S2488" s="105"/>
      <c r="T2488" s="105"/>
      <c r="U2488" s="105"/>
      <c r="V2488" s="105"/>
      <c r="W2488" s="105"/>
      <c r="AD2488" s="106"/>
      <c r="AE2488" s="97"/>
      <c r="AF2488" s="97"/>
      <c r="AG2488" s="97"/>
      <c r="AH2488" s="97"/>
      <c r="AI2488" s="97"/>
      <c r="AJ2488" s="97"/>
      <c r="AK2488" s="97"/>
      <c r="AL2488" s="97"/>
      <c r="AM2488" s="97"/>
      <c r="AN2488" s="97"/>
      <c r="AO2488" s="97"/>
      <c r="AP2488" s="97"/>
      <c r="AQ2488" s="97"/>
    </row>
    <row r="2489" spans="2:43" s="101" customFormat="1" ht="15" customHeight="1">
      <c r="B2489" s="104"/>
      <c r="C2489" s="104"/>
      <c r="D2489" s="104"/>
      <c r="E2489" s="104"/>
      <c r="F2489" s="104"/>
      <c r="G2489" s="104"/>
      <c r="H2489" s="104"/>
      <c r="I2489" s="104"/>
      <c r="J2489" s="104"/>
      <c r="K2489" s="104"/>
      <c r="L2489" s="104"/>
      <c r="R2489" s="105"/>
      <c r="S2489" s="105"/>
      <c r="T2489" s="105"/>
      <c r="U2489" s="105"/>
      <c r="V2489" s="105"/>
      <c r="W2489" s="105"/>
      <c r="AD2489" s="106"/>
      <c r="AE2489" s="97"/>
      <c r="AF2489" s="97"/>
      <c r="AG2489" s="97"/>
      <c r="AH2489" s="97"/>
      <c r="AI2489" s="97"/>
      <c r="AJ2489" s="97"/>
      <c r="AK2489" s="97"/>
      <c r="AL2489" s="97"/>
      <c r="AM2489" s="97"/>
      <c r="AN2489" s="97"/>
      <c r="AO2489" s="97"/>
      <c r="AP2489" s="97"/>
      <c r="AQ2489" s="97"/>
    </row>
    <row r="2490" spans="2:43" s="101" customFormat="1" ht="15" customHeight="1">
      <c r="B2490" s="104"/>
      <c r="C2490" s="104"/>
      <c r="D2490" s="104"/>
      <c r="E2490" s="104"/>
      <c r="F2490" s="104"/>
      <c r="G2490" s="104"/>
      <c r="H2490" s="104"/>
      <c r="I2490" s="104"/>
      <c r="J2490" s="104"/>
      <c r="K2490" s="104"/>
      <c r="L2490" s="104"/>
      <c r="R2490" s="105"/>
      <c r="S2490" s="105"/>
      <c r="T2490" s="105"/>
      <c r="U2490" s="105"/>
      <c r="V2490" s="105"/>
      <c r="W2490" s="105"/>
      <c r="AD2490" s="106"/>
      <c r="AE2490" s="97"/>
      <c r="AF2490" s="97"/>
      <c r="AG2490" s="97"/>
      <c r="AH2490" s="97"/>
      <c r="AI2490" s="97"/>
      <c r="AJ2490" s="97"/>
      <c r="AK2490" s="97"/>
      <c r="AL2490" s="97"/>
      <c r="AM2490" s="97"/>
      <c r="AN2490" s="97"/>
      <c r="AO2490" s="97"/>
      <c r="AP2490" s="97"/>
      <c r="AQ2490" s="97"/>
    </row>
    <row r="2491" spans="2:43" s="101" customFormat="1" ht="15" customHeight="1">
      <c r="B2491" s="104"/>
      <c r="C2491" s="104"/>
      <c r="D2491" s="104"/>
      <c r="E2491" s="104"/>
      <c r="F2491" s="104"/>
      <c r="G2491" s="104"/>
      <c r="H2491" s="104"/>
      <c r="I2491" s="104"/>
      <c r="J2491" s="104"/>
      <c r="K2491" s="104"/>
      <c r="L2491" s="104"/>
      <c r="R2491" s="105"/>
      <c r="S2491" s="105"/>
      <c r="T2491" s="105"/>
      <c r="U2491" s="105"/>
      <c r="V2491" s="105"/>
      <c r="W2491" s="105"/>
      <c r="AD2491" s="106"/>
      <c r="AE2491" s="97"/>
      <c r="AF2491" s="97"/>
      <c r="AG2491" s="97"/>
      <c r="AH2491" s="97"/>
      <c r="AI2491" s="97"/>
      <c r="AJ2491" s="97"/>
      <c r="AK2491" s="97"/>
      <c r="AL2491" s="97"/>
      <c r="AM2491" s="97"/>
      <c r="AN2491" s="97"/>
      <c r="AO2491" s="97"/>
      <c r="AP2491" s="97"/>
      <c r="AQ2491" s="97"/>
    </row>
    <row r="2492" spans="2:43" s="101" customFormat="1" ht="15" customHeight="1">
      <c r="B2492" s="104"/>
      <c r="C2492" s="104"/>
      <c r="D2492" s="104"/>
      <c r="E2492" s="104"/>
      <c r="F2492" s="104"/>
      <c r="G2492" s="104"/>
      <c r="H2492" s="104"/>
      <c r="I2492" s="104"/>
      <c r="J2492" s="104"/>
      <c r="K2492" s="104"/>
      <c r="L2492" s="104"/>
      <c r="R2492" s="105"/>
      <c r="S2492" s="105"/>
      <c r="T2492" s="105"/>
      <c r="U2492" s="105"/>
      <c r="V2492" s="105"/>
      <c r="W2492" s="105"/>
      <c r="AD2492" s="106"/>
      <c r="AE2492" s="97"/>
      <c r="AF2492" s="97"/>
      <c r="AG2492" s="97"/>
      <c r="AH2492" s="97"/>
      <c r="AI2492" s="97"/>
      <c r="AJ2492" s="97"/>
      <c r="AK2492" s="97"/>
      <c r="AL2492" s="97"/>
      <c r="AM2492" s="97"/>
      <c r="AN2492" s="97"/>
      <c r="AO2492" s="97"/>
      <c r="AP2492" s="97"/>
      <c r="AQ2492" s="97"/>
    </row>
    <row r="2493" spans="2:43" s="101" customFormat="1" ht="15" customHeight="1">
      <c r="B2493" s="104"/>
      <c r="C2493" s="104"/>
      <c r="D2493" s="104"/>
      <c r="E2493" s="104"/>
      <c r="F2493" s="104"/>
      <c r="G2493" s="104"/>
      <c r="H2493" s="104"/>
      <c r="I2493" s="104"/>
      <c r="J2493" s="104"/>
      <c r="K2493" s="104"/>
      <c r="L2493" s="104"/>
      <c r="R2493" s="105"/>
      <c r="S2493" s="105"/>
      <c r="T2493" s="105"/>
      <c r="U2493" s="105"/>
      <c r="V2493" s="105"/>
      <c r="W2493" s="105"/>
      <c r="AD2493" s="106"/>
      <c r="AE2493" s="97"/>
      <c r="AF2493" s="97"/>
      <c r="AG2493" s="97"/>
      <c r="AH2493" s="97"/>
      <c r="AI2493" s="97"/>
      <c r="AJ2493" s="97"/>
      <c r="AK2493" s="97"/>
      <c r="AL2493" s="97"/>
      <c r="AM2493" s="97"/>
      <c r="AN2493" s="97"/>
      <c r="AO2493" s="97"/>
      <c r="AP2493" s="97"/>
      <c r="AQ2493" s="97"/>
    </row>
    <row r="2494" spans="2:43" s="101" customFormat="1" ht="15" customHeight="1">
      <c r="B2494" s="104"/>
      <c r="C2494" s="104"/>
      <c r="D2494" s="104"/>
      <c r="E2494" s="104"/>
      <c r="F2494" s="104"/>
      <c r="G2494" s="104"/>
      <c r="H2494" s="104"/>
      <c r="I2494" s="104"/>
      <c r="J2494" s="104"/>
      <c r="K2494" s="104"/>
      <c r="L2494" s="104"/>
      <c r="R2494" s="105"/>
      <c r="S2494" s="105"/>
      <c r="T2494" s="105"/>
      <c r="U2494" s="105"/>
      <c r="V2494" s="105"/>
      <c r="W2494" s="105"/>
      <c r="AD2494" s="106"/>
      <c r="AE2494" s="97"/>
      <c r="AF2494" s="97"/>
      <c r="AG2494" s="97"/>
      <c r="AH2494" s="97"/>
      <c r="AI2494" s="97"/>
      <c r="AJ2494" s="97"/>
      <c r="AK2494" s="97"/>
      <c r="AL2494" s="97"/>
      <c r="AM2494" s="97"/>
      <c r="AN2494" s="97"/>
      <c r="AO2494" s="97"/>
      <c r="AP2494" s="97"/>
      <c r="AQ2494" s="97"/>
    </row>
    <row r="2495" spans="2:43" s="101" customFormat="1" ht="15" customHeight="1">
      <c r="B2495" s="104"/>
      <c r="C2495" s="104"/>
      <c r="D2495" s="104"/>
      <c r="E2495" s="104"/>
      <c r="F2495" s="104"/>
      <c r="G2495" s="104"/>
      <c r="H2495" s="104"/>
      <c r="I2495" s="104"/>
      <c r="J2495" s="104"/>
      <c r="K2495" s="104"/>
      <c r="L2495" s="104"/>
      <c r="R2495" s="105"/>
      <c r="S2495" s="105"/>
      <c r="T2495" s="105"/>
      <c r="U2495" s="105"/>
      <c r="V2495" s="105"/>
      <c r="W2495" s="105"/>
      <c r="AD2495" s="106"/>
      <c r="AE2495" s="97"/>
      <c r="AF2495" s="97"/>
      <c r="AG2495" s="97"/>
      <c r="AH2495" s="97"/>
      <c r="AI2495" s="97"/>
      <c r="AJ2495" s="97"/>
      <c r="AK2495" s="97"/>
      <c r="AL2495" s="97"/>
      <c r="AM2495" s="97"/>
      <c r="AN2495" s="97"/>
      <c r="AO2495" s="97"/>
      <c r="AP2495" s="97"/>
      <c r="AQ2495" s="97"/>
    </row>
    <row r="2496" spans="2:43" s="101" customFormat="1" ht="15" customHeight="1">
      <c r="B2496" s="104"/>
      <c r="C2496" s="104"/>
      <c r="D2496" s="104"/>
      <c r="E2496" s="104"/>
      <c r="F2496" s="104"/>
      <c r="G2496" s="104"/>
      <c r="H2496" s="104"/>
      <c r="I2496" s="104"/>
      <c r="J2496" s="104"/>
      <c r="K2496" s="104"/>
      <c r="L2496" s="104"/>
      <c r="R2496" s="105"/>
      <c r="S2496" s="105"/>
      <c r="T2496" s="105"/>
      <c r="U2496" s="105"/>
      <c r="V2496" s="105"/>
      <c r="W2496" s="105"/>
      <c r="AD2496" s="106"/>
      <c r="AE2496" s="97"/>
      <c r="AF2496" s="97"/>
      <c r="AG2496" s="97"/>
      <c r="AH2496" s="97"/>
      <c r="AI2496" s="97"/>
      <c r="AJ2496" s="97"/>
      <c r="AK2496" s="97"/>
      <c r="AL2496" s="97"/>
      <c r="AM2496" s="97"/>
      <c r="AN2496" s="97"/>
      <c r="AO2496" s="97"/>
      <c r="AP2496" s="97"/>
      <c r="AQ2496" s="97"/>
    </row>
    <row r="2497" spans="2:43" s="101" customFormat="1" ht="15" customHeight="1">
      <c r="B2497" s="104"/>
      <c r="C2497" s="104"/>
      <c r="D2497" s="104"/>
      <c r="E2497" s="104"/>
      <c r="F2497" s="104"/>
      <c r="G2497" s="104"/>
      <c r="H2497" s="104"/>
      <c r="I2497" s="104"/>
      <c r="J2497" s="104"/>
      <c r="K2497" s="104"/>
      <c r="L2497" s="104"/>
      <c r="R2497" s="105"/>
      <c r="S2497" s="105"/>
      <c r="T2497" s="105"/>
      <c r="U2497" s="105"/>
      <c r="V2497" s="105"/>
      <c r="W2497" s="105"/>
      <c r="AD2497" s="106"/>
      <c r="AE2497" s="97"/>
      <c r="AF2497" s="97"/>
      <c r="AG2497" s="97"/>
      <c r="AH2497" s="97"/>
      <c r="AI2497" s="97"/>
      <c r="AJ2497" s="97"/>
      <c r="AK2497" s="97"/>
      <c r="AL2497" s="97"/>
      <c r="AM2497" s="97"/>
      <c r="AN2497" s="97"/>
      <c r="AO2497" s="97"/>
      <c r="AP2497" s="97"/>
      <c r="AQ2497" s="97"/>
    </row>
    <row r="2498" spans="2:43" s="101" customFormat="1" ht="15" customHeight="1">
      <c r="B2498" s="104"/>
      <c r="C2498" s="104"/>
      <c r="D2498" s="104"/>
      <c r="E2498" s="104"/>
      <c r="F2498" s="104"/>
      <c r="G2498" s="104"/>
      <c r="H2498" s="104"/>
      <c r="I2498" s="104"/>
      <c r="J2498" s="104"/>
      <c r="K2498" s="104"/>
      <c r="L2498" s="104"/>
      <c r="R2498" s="105"/>
      <c r="S2498" s="105"/>
      <c r="T2498" s="105"/>
      <c r="U2498" s="105"/>
      <c r="V2498" s="105"/>
      <c r="W2498" s="105"/>
      <c r="AD2498" s="106"/>
      <c r="AE2498" s="97"/>
      <c r="AF2498" s="97"/>
      <c r="AG2498" s="97"/>
      <c r="AH2498" s="97"/>
      <c r="AI2498" s="97"/>
      <c r="AJ2498" s="97"/>
      <c r="AK2498" s="97"/>
      <c r="AL2498" s="97"/>
      <c r="AM2498" s="97"/>
      <c r="AN2498" s="97"/>
      <c r="AO2498" s="97"/>
      <c r="AP2498" s="97"/>
      <c r="AQ2498" s="97"/>
    </row>
    <row r="2499" spans="2:43" s="101" customFormat="1" ht="15" customHeight="1">
      <c r="B2499" s="104"/>
      <c r="C2499" s="104"/>
      <c r="D2499" s="104"/>
      <c r="E2499" s="104"/>
      <c r="F2499" s="104"/>
      <c r="G2499" s="104"/>
      <c r="H2499" s="104"/>
      <c r="I2499" s="104"/>
      <c r="J2499" s="104"/>
      <c r="K2499" s="104"/>
      <c r="L2499" s="104"/>
      <c r="R2499" s="105"/>
      <c r="S2499" s="105"/>
      <c r="T2499" s="105"/>
      <c r="U2499" s="105"/>
      <c r="V2499" s="105"/>
      <c r="W2499" s="105"/>
      <c r="AD2499" s="106"/>
      <c r="AE2499" s="97"/>
      <c r="AF2499" s="97"/>
      <c r="AG2499" s="97"/>
      <c r="AH2499" s="97"/>
      <c r="AI2499" s="97"/>
      <c r="AJ2499" s="97"/>
      <c r="AK2499" s="97"/>
      <c r="AL2499" s="97"/>
      <c r="AM2499" s="97"/>
      <c r="AN2499" s="97"/>
      <c r="AO2499" s="97"/>
      <c r="AP2499" s="97"/>
      <c r="AQ2499" s="97"/>
    </row>
  </sheetData>
  <autoFilter ref="A1:AT946" xr:uid="{00000000-0001-0000-0000-000000000000}"/>
  <customSheetViews>
    <customSheetView guid="{921AAFD7-7C4B-4614-9C9A-77DACA3CCA6D}" filter="1" showAutoFilter="1">
      <pageMargins left="0" right="0" top="0" bottom="0" header="0" footer="0"/>
      <autoFilter ref="A1:AM944" xr:uid="{0E16EDE1-E6F7-4848-BA06-D86D570346F3}"/>
      <extLst>
        <ext uri="GoogleSheetsCustomDataVersion1">
          <go:sheetsCustomData xmlns:go="http://customooxmlschemas.google.com/" filterViewId="101458590"/>
        </ext>
      </extLst>
    </customSheetView>
    <customSheetView guid="{BCB86DEE-B7B1-48D6-A47E-5B0F9FFD598E}" filter="1" showAutoFilter="1">
      <pageMargins left="0" right="0" top="0" bottom="0" header="0" footer="0"/>
      <autoFilter ref="A1:AL944" xr:uid="{41F25F96-F9E8-4F6A-B9F1-217B9E92530B}"/>
      <extLst>
        <ext uri="GoogleSheetsCustomDataVersion1">
          <go:sheetsCustomData xmlns:go="http://customooxmlschemas.google.com/" filterViewId="1128085271"/>
        </ext>
      </extLst>
    </customSheetView>
    <customSheetView guid="{1EBB1FB8-75B0-49DC-BEB8-5026E8042333}" filter="1" showAutoFilter="1">
      <pageMargins left="0" right="0" top="0" bottom="0" header="0" footer="0"/>
      <autoFilter ref="A1:AM944" xr:uid="{7715640C-F5D9-4C8C-B9F8-8F4E84B82A44}"/>
      <extLst>
        <ext uri="GoogleSheetsCustomDataVersion1">
          <go:sheetsCustomData xmlns:go="http://customooxmlschemas.google.com/" filterViewId="1513969808"/>
        </ext>
      </extLst>
    </customSheetView>
    <customSheetView guid="{9436B938-40B6-48AB-8C73-DD8EEDDB25C6}" filter="1" showAutoFilter="1">
      <pageMargins left="0" right="0" top="0" bottom="0" header="0" footer="0"/>
      <autoFilter ref="A1:AM944" xr:uid="{61FD9923-7008-4FA1-9900-9EA101D3277F}"/>
      <extLst>
        <ext uri="GoogleSheetsCustomDataVersion1">
          <go:sheetsCustomData xmlns:go="http://customooxmlschemas.google.com/" filterViewId="160655144"/>
        </ext>
      </extLst>
    </customSheetView>
    <customSheetView guid="{50E2F8D3-9D2F-4CEC-ACB4-738E1F6D1C6A}" filter="1" showAutoFilter="1">
      <pageMargins left="0" right="0" top="0" bottom="0" header="0" footer="0"/>
      <autoFilter ref="A1:AM944" xr:uid="{88C86896-D208-4BDE-BE76-2828E2BC0F3B}"/>
      <extLst>
        <ext uri="GoogleSheetsCustomDataVersion1">
          <go:sheetsCustomData xmlns:go="http://customooxmlschemas.google.com/" filterViewId="182829804"/>
        </ext>
      </extLst>
    </customSheetView>
    <customSheetView guid="{61C14A71-9F2A-4E11-A2DA-E64B60C72A24}" filter="1" showAutoFilter="1">
      <pageMargins left="0" right="0" top="0" bottom="0" header="0" footer="0"/>
      <autoFilter ref="A1:AM944" xr:uid="{DBE96AD7-5CEC-4091-8701-D786A4D848B2}"/>
      <extLst>
        <ext uri="GoogleSheetsCustomDataVersion1">
          <go:sheetsCustomData xmlns:go="http://customooxmlschemas.google.com/" filterViewId="1994175471"/>
        </ext>
      </extLst>
    </customSheetView>
    <customSheetView guid="{F7E9035C-8979-4E64-952D-3E767D906E09}" filter="1" showAutoFilter="1">
      <pageMargins left="0" right="0" top="0" bottom="0" header="0" footer="0"/>
      <autoFilter ref="A1:AL944" xr:uid="{8E840C70-0C99-41CC-8D0F-AEC07CD36BD6}"/>
      <extLst>
        <ext uri="GoogleSheetsCustomDataVersion1">
          <go:sheetsCustomData xmlns:go="http://customooxmlschemas.google.com/" filterViewId="2077661305"/>
        </ext>
      </extLst>
    </customSheetView>
    <customSheetView guid="{0FEA493A-7C97-4455-B009-583CC402ED72}" filter="1" showAutoFilter="1">
      <pageMargins left="0" right="0" top="0" bottom="0" header="0" footer="0"/>
      <autoFilter ref="A1:AM944" xr:uid="{47019344-F600-4F81-A6B2-88B8B29CA142}"/>
      <extLst>
        <ext uri="GoogleSheetsCustomDataVersion1">
          <go:sheetsCustomData xmlns:go="http://customooxmlschemas.google.com/" filterViewId="209170338"/>
        </ext>
      </extLst>
    </customSheetView>
    <customSheetView guid="{2EE925B3-6CBA-404A-BD9C-1E117D26E35A}" filter="1" showAutoFilter="1">
      <pageMargins left="0" right="0" top="0" bottom="0" header="0" footer="0"/>
      <autoFilter ref="A1:AM944" xr:uid="{7FB5095B-1E4A-4404-A164-BD0B592E625B}"/>
      <extLst>
        <ext uri="GoogleSheetsCustomDataVersion1">
          <go:sheetsCustomData xmlns:go="http://customooxmlschemas.google.com/" filterViewId="268726225"/>
        </ext>
      </extLst>
    </customSheetView>
    <customSheetView guid="{337C65DB-F5DE-4747-9A59-333F7E3381F3}" filter="1" showAutoFilter="1">
      <pageMargins left="0" right="0" top="0" bottom="0" header="0" footer="0"/>
      <autoFilter ref="A1:AM944" xr:uid="{E86DFBB9-44E1-4084-8475-35E41A924DC6}"/>
      <extLst>
        <ext uri="GoogleSheetsCustomDataVersion1">
          <go:sheetsCustomData xmlns:go="http://customooxmlschemas.google.com/" filterViewId="282750994"/>
        </ext>
      </extLst>
    </customSheetView>
    <customSheetView guid="{D8304AB6-282F-40AB-A43C-B53C33B5E314}" filter="1" showAutoFilter="1">
      <pageMargins left="0" right="0" top="0" bottom="0" header="0" footer="0"/>
      <autoFilter ref="A1:AM944" xr:uid="{E6A3FBCD-6CAA-4992-A356-0392740C4440}"/>
      <extLst>
        <ext uri="GoogleSheetsCustomDataVersion1">
          <go:sheetsCustomData xmlns:go="http://customooxmlschemas.google.com/" filterViewId="376941098"/>
        </ext>
      </extLst>
    </customSheetView>
    <customSheetView guid="{E70766BC-F28F-4865-BE13-4166DBC2F7FF}" filter="1" showAutoFilter="1">
      <pageMargins left="0" right="0" top="0" bottom="0" header="0" footer="0"/>
      <autoFilter ref="A1:AM944" xr:uid="{6D7815D1-D42C-4457-B1F4-EAB426BB84CB}"/>
      <extLst>
        <ext uri="GoogleSheetsCustomDataVersion1">
          <go:sheetsCustomData xmlns:go="http://customooxmlschemas.google.com/" filterViewId="578330257"/>
        </ext>
      </extLst>
    </customSheetView>
    <customSheetView guid="{2EE925B3-6CBA-404A-BD9C-1E117D26E35A}" filter="1" showAutoFilter="1">
      <pageMargins left="0" right="0" top="0" bottom="0" header="0" footer="0"/>
      <autoFilter ref="A1:AL944" xr:uid="{3BE6D8AC-772D-4461-8531-E34994D2FC26}"/>
      <extLst>
        <ext uri="GoogleSheetsCustomDataVersion1">
          <go:sheetsCustomData xmlns:go="http://customooxmlschemas.google.com/" filterViewId="739978922"/>
        </ext>
      </extLst>
    </customSheetView>
    <customSheetView guid="{3E7DFF99-E9F2-49BE-819A-39C2FE8E4332}" filter="1" showAutoFilter="1">
      <pageMargins left="0" right="0" top="0" bottom="0" header="0" footer="0"/>
      <autoFilter ref="A1:AM823" xr:uid="{6196AE5A-94A3-4431-9856-C7660A5FAAE3}"/>
      <extLst>
        <ext uri="GoogleSheetsCustomDataVersion1">
          <go:sheetsCustomData xmlns:go="http://customooxmlschemas.google.com/" filterViewId="978598710"/>
        </ext>
      </extLst>
    </customSheetView>
  </customSheetViews>
  <mergeCells count="1">
    <mergeCell ref="AS841:AT841"/>
  </mergeCells>
  <phoneticPr fontId="14" type="noConversion"/>
  <dataValidations count="17">
    <dataValidation type="list" allowBlank="1" showInputMessage="1" showErrorMessage="1" sqref="AM2:AM7 AM9 AM11 AM13 AM15 AM21 AM23 AM25 AM29 AM34:AM35 AM31:AM32 AM43:AM44 AM37:AM38 AM40:AM41 AM54 AM56 AM58 AM60 AM62 AM27 AM64 AM66 AM80 AM68 AM70 AM72 AM74 AM76 AM78 AM82 AM86 AM84 AM88 AM92 AM94 AM118 AM120 AM122 AM124 AM126 AM128 AM130 AM132 AM134 AM136 AM138 AM140 AM168 AM342 AM344 AM142 AM144 AM146 AM17 AM19 AM90 AM148:AM166 AM170:AM340 AM96:AM116 K2:L1018" xr:uid="{7F1AE11F-6661-46C9-82F9-3F39E1B16D95}">
      <formula1>"--, yes, no"</formula1>
    </dataValidation>
    <dataValidation type="list" allowBlank="1" showInputMessage="1" showErrorMessage="1" sqref="O39:O40 O42:O43 O33:O34 O36:O37 O45:O104 O2:O31" xr:uid="{C18C907D-8E16-4BA7-8496-F14C573C040F}">
      <formula1>"--,usual care, resistance training, theraband, functional, wbv, walking, cycling, areobic+resistance, aerobic+resistance+stretching, resistance+balance, stretching, balance, virtual reality, wii"</formula1>
    </dataValidation>
    <dataValidation type="list" allowBlank="1" showInputMessage="1" showErrorMessage="1" sqref="P185:P186 P217:P218 P237:P238 P243:P244 P270:P272 P291:P293 P330:P331 P336:P337 P342:P343 P372:P373 P377:P378 P425:P426 P433:P434 P443:P444 P461:P462 P467:P468 P471:P472 P479:P480 P523:P524 P579:P580 P595:P596 P617:P618 P635:P636 P679:P681 P685:P686 P705:P706 P771:P772 P777:P778 P805:P806 P832:P833 P840:P841 P947 P2:P138" xr:uid="{D22A04BA-96F9-4D3E-947A-CAF958430E81}">
      <formula1>"--, physical function, cognition, quality of life, dependence, physical activity, fall"</formula1>
    </dataValidation>
    <dataValidation type="list" allowBlank="1" showInputMessage="1" showErrorMessage="1" sqref="AN2:AN7 AN9 AN11 AN13 AN15 AN148:AN166 AN21 AN23 AN25 AN31:AN32 AN34:AN35 AN37:AN38 AN40:AN41 AN43:AN44 AN46 AN48 AN50 AN52 AN54 AN56 AN58 AN60 AN62 AN27 AN29 AN64 AN66 AN68 AN70 AN72 AN74 AN76 AN78 AN80 AN82 AN84 AN86 AN88 AN94 AN92 AN118 AN120 AN122 AN126 AN128 AN124 AN130 AN132 AN134 AN136 AN138 AN140 AN344 AN168 AN342 AN142 AN144 AN146 AN17 AN19 AN90 AN170:AN340 AN96:AN116" xr:uid="{BCC85BF2-3E7B-424C-A67E-5F886A0DF78F}">
      <formula1>"--, lineal, estable,flexible,no"</formula1>
    </dataValidation>
    <dataValidation type="list" allowBlank="1" showInputMessage="1" showErrorMessage="1" sqref="AP2:AP7 AP9 AP11 AP13 AP15 AP21 AP23 AP25 AP31:AP32 AP34:AP35 AP37:AP38 AP40:AP41 AP43:AP52 AP54 AP56 AP58 AP60 AP62 AP27 AP29 AP64 AP66 AP68 AP70 AP72 AP74 AP76 AP78 AP80 AP82 AP84 AP86 AP88 AP94 AP96 AP98 AP100 AP102 AP118 AP120 AP122 AP126 AP367 AP369 AP371 AP373:AP390 AP392 AP394 AP396 AP398 AP400 AP402 AP404 AP406 AP408 AP410 AP412 AP648 AP646 AP650 AP652 AP654 AP656 AP658 AP665:AP666 AP668:AP669 AP671:AP672 AP674:AP675 AP660 AP662:AP663 AP677:AP678 AP680:AP681 AP683:AP684 AP124 AP92 AP17 AP19 AP90 AP644 AP861 AP855 AP857 AP859 AP853 AP920 AP863 AP869 AP871 AP873 AP875 AP877:AP881 AP883:AP884 AP886:AP887 AP889:AP890 AP892:AP893 AP898 AP895:AP896 AP904 AP906 AP908 AP910 AP912 AP867 AP900 AP902 AP918 AP865 AP914 AP916 AP104:AP116 AP686:AP817 AP414:AP642 AP128:AP365" xr:uid="{356C7DF7-B74A-48C3-84CC-3B9B6D73AE67}">
      <formula1>"--, physiotherapist, exercise professional, nurse, caregiver, researcher, physical therapist,no"</formula1>
    </dataValidation>
    <dataValidation type="list" allowBlank="1" showInputMessage="1" showErrorMessage="1" sqref="AO2:AO7 AO9 AO11 AO13 AO15 AO800 AO21 AO23 AO25 AO31:AO32 AO34:AO35 AO37:AO38 AO40:AO41 AO43:AO44 AO46 AO48 AO50 AO52 AO54 AO56 AO58 AO60 AO62 AO27 AO29 AO64 AO66 AO68 AO70 AO72 AO74 AO76 AO78 AO80 AO82 AO84 AO86 AO88 AO94 AO96 AO98 AO100 AO102 AO118 AO120 AO122 AO126 AO723 AO367 AO369 AO371 AO373:AO390 AO392 AO394 AO396 AO398 AO400 AO402 AO404 AO406 AO408 AO410 AO412 AO502 AO593 AO595 AO597 AO599 AO601 AO603 AO605 AO607 AO618 AO620 AO622 AO624 AO626 AO628 AO630 AO632 AO634:AO642 AO648 AO646 AO650 AO652 AO654 AO656 AO658 AO660 AO677:AO678 AO680:AO681 AO683:AO684 AO686:AO687 AO689 AO691 AO693 AO695 AO697 AO699 AO701 AO703 AO705 AO707 AO709 AO711 AO713 AO715 AO717 AO719 AO721 AO124 AO739 AO741 AO743 AO745 AO747 AO749 AO751 AO753 AO755 AO757 AO761 AO763 AO765 AO767 AO769 AO771 AO773 AO92 AO777 AO782 AO779 AO785 AO788 AO791 AO794 AO797 AO17 AO19 AO90 AO644 AO504 AO506 AO759 AO803 AO805 AO807 AO809 AO812 AO815 AO104:AO116 AO725:AO737 AO508:AO591 AO414:AO500 AO128:AO365" xr:uid="{2649D62F-A26A-4C04-B686-93E8178FEB86}">
      <formula1>"--,fully,partly,unsupervised, no"</formula1>
    </dataValidation>
    <dataValidation type="list" allowBlank="1" showInputMessage="1" showErrorMessage="1" sqref="P239:P242 P245:P269 P273:P290 P344:P371 P374:P376 P435:P442 P445:P460 P469:P470 P581:P594 P597:P616 P619:P634 P687:P704 P948:P1079 P807:P817 P779:P804 P773:P776 P707:P770 P682:P684 P637:P678 P525:P578 P481:P522 P473:P478 P463:P466 P427:P432 P379:P424 P338:P341 P332:P335 P294:P329 P219:P236 P187:P216 P139:P184" xr:uid="{37210A3E-C5A4-41EB-A0BB-4EF94C0A631C}">
      <formula1>"--, physical function, cognition, quality of life, dependence, physical activity, fall, fear fall, depression"</formula1>
    </dataValidation>
    <dataValidation type="list" allowBlank="1" showInputMessage="1" showErrorMessage="1" sqref="O32 O35 O38 O41 O44 O131 O133 O135 O137 O139 O105:O129" xr:uid="{C20F101B-04B9-49FE-BE15-A82D4EC96D67}">
      <formula1>"--,usual care, resistance training, theraband, functional, wbv, walking, cycling, areobic+resistance, aerobic+resistance+stretching, resistance+balance, stretching, balance, virtual reality, wii, resistance+balance+aerobic"</formula1>
    </dataValidation>
    <dataValidation type="list" allowBlank="1" showInputMessage="1" showErrorMessage="1" sqref="O130 O132 O134 O136 O138 O947:O1062 O807:O817 O140:O197" xr:uid="{23CA0AB5-B255-4823-B107-429566D83659}">
      <formula1>"--,usual care, resistance training, theraband, functional, wbv, walking, cycling, areobic+resistance, aerobic+resistance+stretching, resistance+balance, stretching, balance, virtual reality, wii, resistance+balance+aerobic, wbv+exergame"</formula1>
    </dataValidation>
    <dataValidation type="list" allowBlank="1" showInputMessage="1" showErrorMessage="1" sqref="O264:O265 O267:O268 O270:O271 O273:O274 O276:O277 O279:O280 O282:O283 O285:O286 O288:O289 O291:O292 O198:O262" xr:uid="{30468FFB-D4D0-40EE-B542-6BBA6DF28AE8}">
      <formula1>"--,usual care, resistance training, theraband, functional, wbv, walking, cycling, areobic+resistance, aerobic+resistance+stretching, resistance+balance, stretching, balance, virtual reality, wii, resistance+balance+aerobic, wbv+exergame, balance"</formula1>
    </dataValidation>
    <dataValidation type="list" allowBlank="1" showInputMessage="1" showErrorMessage="1" sqref="O263 O266 O269 O272 O275 O278 O281 O284 O287 O290 O461 O463 O527 O559 O561 O563 O565 O679 O682 O685 O567 O575 O573 O571 O569 O849:O850 O864 O818 O934 O936 O540:O542 O544:O546 O548:O550 O552:O554 O510 O512 O514 O520 O516 O518 O938:O946 O866:O932 O852:O862 O820:O847 O727:O806 O687:O725 O645:O676 O577:O643 O556:O557 O529:O538 O522:O525 O465:O508 O293:O459" xr:uid="{568F02A3-190A-4B44-B78E-59D8D20128D5}">
      <formula1>"--,usual care, resistance training, theraband, functional, wbv, walking, cycling, areobic+resistance, aerobic+resistance+stretching, resistance+balance, stretching, balance, virtual reality, wii, resistance+balance+aerobic, wbv+exergame, balance, dance"</formula1>
    </dataValidation>
    <dataValidation type="list" allowBlank="1" showInputMessage="1" showErrorMessage="1" sqref="C830 C820 C822 C824 C826 C828 E2:E1018" xr:uid="{9D77F95C-1711-42DA-AB2F-11BAF46FF29C}">
      <formula1>"--, healthy, mci, dementia"</formula1>
    </dataValidation>
    <dataValidation type="list" allowBlank="1" showInputMessage="1" showErrorMessage="1" sqref="F947:F1018 F943 F945 F2:F941" xr:uid="{84A76B4A-8D16-405F-A76A-C6454B27B1BE}">
      <formula1>"--, alzheimer, vascular, mixed, parkinson-dementia, dementia, healthy, mci"</formula1>
    </dataValidation>
    <dataValidation type="list" allowBlank="1" showInputMessage="1" showErrorMessage="1" sqref="P834:P839 P818:P831 P842:P946" xr:uid="{9FABB1C8-60BB-470C-B5B2-FD007682FCDF}">
      <formula1>"--, physical function, cognition, quality of life, dependence, physical activity, fall, fear fall"</formula1>
    </dataValidation>
    <dataValidation type="list" allowBlank="1" showInputMessage="1" showErrorMessage="1" sqref="N511:O511 O509 N515:O515 O513 N512:N514 O521 O519 O517 N516:N1018 N2:N510" xr:uid="{A7710EDE-D633-4D26-8086-DE28B7B8C5DD}">
      <formula1>"--,usual care, resistance, aerobic, multicomponent, mind body, stretching, balance, exergame"</formula1>
    </dataValidation>
    <dataValidation type="list" allowBlank="1" showInputMessage="1" showErrorMessage="1" sqref="M2:M1018" xr:uid="{904E1B9A-CA5B-4744-A110-FF53A5751565}">
      <formula1>"--,usual care, exercise"</formula1>
    </dataValidation>
    <dataValidation type="list" allowBlank="1" showInputMessage="1" showErrorMessage="1" sqref="I2:I1018" xr:uid="{CC762FF6-EDDA-4983-B238-2EC831356E50}">
      <formula1>"--, healthy, pre-frail, frail, na"</formula1>
    </dataValidation>
  </dataValidations>
  <pageMargins left="0.7" right="0.7"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U83"/>
  <sheetViews>
    <sheetView topLeftCell="A63" zoomScale="70" zoomScaleNormal="70" workbookViewId="0">
      <selection activeCell="A77" sqref="A77:D83"/>
    </sheetView>
  </sheetViews>
  <sheetFormatPr baseColWidth="10" defaultColWidth="14.42578125" defaultRowHeight="15.6" customHeight="1"/>
  <cols>
    <col min="1" max="1" width="25.42578125" style="10" customWidth="1"/>
    <col min="2" max="2" width="55.7109375" customWidth="1"/>
    <col min="5" max="5" width="19" customWidth="1"/>
    <col min="6" max="6" width="58.28515625" customWidth="1"/>
    <col min="13" max="13" width="20.85546875" customWidth="1"/>
  </cols>
  <sheetData>
    <row r="1" spans="1:16" ht="15.6" customHeight="1">
      <c r="A1" s="27" t="s">
        <v>733</v>
      </c>
      <c r="B1" s="28" t="s">
        <v>734</v>
      </c>
      <c r="C1" s="4"/>
      <c r="E1" s="32" t="s">
        <v>17</v>
      </c>
      <c r="F1" s="18" t="s">
        <v>735</v>
      </c>
      <c r="M1" s="34" t="s">
        <v>736</v>
      </c>
      <c r="N1" s="310" t="s">
        <v>737</v>
      </c>
    </row>
    <row r="2" spans="1:16" ht="15.6" customHeight="1">
      <c r="A2" s="30" t="s">
        <v>738</v>
      </c>
      <c r="B2" s="18" t="s">
        <v>739</v>
      </c>
      <c r="C2" s="2"/>
      <c r="E2" s="32" t="s">
        <v>18</v>
      </c>
      <c r="F2" s="18" t="s">
        <v>740</v>
      </c>
      <c r="M2" s="35" t="s">
        <v>30</v>
      </c>
      <c r="N2" s="18" t="s">
        <v>741</v>
      </c>
    </row>
    <row r="3" spans="1:16" ht="15.6" customHeight="1">
      <c r="A3" s="30" t="s">
        <v>742</v>
      </c>
      <c r="B3" s="18" t="s">
        <v>743</v>
      </c>
      <c r="C3" s="2"/>
      <c r="E3" s="32" t="s">
        <v>19</v>
      </c>
      <c r="F3" s="310" t="s">
        <v>744</v>
      </c>
      <c r="G3" s="10"/>
      <c r="H3" s="10"/>
      <c r="I3" s="10"/>
      <c r="J3" s="10"/>
      <c r="K3" s="10"/>
      <c r="L3" s="10"/>
      <c r="M3" s="35" t="s">
        <v>31</v>
      </c>
      <c r="N3" s="18" t="s">
        <v>745</v>
      </c>
    </row>
    <row r="4" spans="1:16" ht="15.6" customHeight="1">
      <c r="A4" s="30" t="s">
        <v>746</v>
      </c>
      <c r="B4" s="18" t="s">
        <v>747</v>
      </c>
      <c r="C4" s="2"/>
      <c r="E4" s="32" t="s">
        <v>20</v>
      </c>
      <c r="F4" s="18" t="s">
        <v>748</v>
      </c>
      <c r="M4" s="35" t="s">
        <v>32</v>
      </c>
      <c r="N4" s="18" t="s">
        <v>749</v>
      </c>
    </row>
    <row r="5" spans="1:16" ht="15.6" customHeight="1">
      <c r="A5" s="31" t="s">
        <v>750</v>
      </c>
      <c r="B5" s="42" t="s">
        <v>751</v>
      </c>
      <c r="C5" s="2"/>
      <c r="E5" s="32" t="s">
        <v>21</v>
      </c>
      <c r="F5" s="310" t="s">
        <v>752</v>
      </c>
      <c r="M5" s="35" t="s">
        <v>33</v>
      </c>
      <c r="N5" s="18" t="s">
        <v>753</v>
      </c>
    </row>
    <row r="6" spans="1:16" ht="15.6" customHeight="1">
      <c r="A6" s="318" t="s">
        <v>4</v>
      </c>
      <c r="B6" s="23" t="s">
        <v>45</v>
      </c>
      <c r="C6" s="2"/>
      <c r="E6" s="32" t="s">
        <v>22</v>
      </c>
      <c r="F6" s="18" t="s">
        <v>754</v>
      </c>
      <c r="M6" s="35" t="s">
        <v>35</v>
      </c>
      <c r="N6" s="18" t="s">
        <v>755</v>
      </c>
    </row>
    <row r="7" spans="1:16" ht="15.6" customHeight="1">
      <c r="A7" s="319"/>
      <c r="B7" s="24" t="s">
        <v>97</v>
      </c>
      <c r="C7" s="2"/>
      <c r="E7" s="2"/>
      <c r="M7" s="35" t="s">
        <v>756</v>
      </c>
      <c r="N7" s="18" t="s">
        <v>757</v>
      </c>
    </row>
    <row r="8" spans="1:16" ht="15.6" customHeight="1">
      <c r="A8" s="320"/>
      <c r="B8" s="25" t="s">
        <v>758</v>
      </c>
      <c r="C8" s="2"/>
      <c r="E8" s="32" t="s">
        <v>23</v>
      </c>
      <c r="F8" s="310" t="s">
        <v>759</v>
      </c>
      <c r="M8" s="34" t="s">
        <v>37</v>
      </c>
      <c r="N8" s="18" t="s">
        <v>760</v>
      </c>
      <c r="P8" s="311" t="s">
        <v>761</v>
      </c>
    </row>
    <row r="9" spans="1:16" ht="15.6" customHeight="1">
      <c r="A9" s="318" t="s">
        <v>5</v>
      </c>
      <c r="B9" s="23" t="s">
        <v>762</v>
      </c>
      <c r="C9" s="2"/>
      <c r="E9" s="32" t="s">
        <v>24</v>
      </c>
      <c r="F9" s="310" t="s">
        <v>763</v>
      </c>
      <c r="M9" s="321" t="s">
        <v>38</v>
      </c>
      <c r="N9" s="18" t="s">
        <v>48</v>
      </c>
    </row>
    <row r="10" spans="1:16" ht="15.6" customHeight="1">
      <c r="A10" s="319"/>
      <c r="B10" s="26" t="s">
        <v>764</v>
      </c>
      <c r="C10" s="2"/>
      <c r="E10" s="32" t="s">
        <v>25</v>
      </c>
      <c r="F10" s="18" t="s">
        <v>765</v>
      </c>
      <c r="M10" s="322"/>
      <c r="N10" s="18" t="s">
        <v>49</v>
      </c>
    </row>
    <row r="11" spans="1:16" ht="15.6" customHeight="1">
      <c r="A11" s="319"/>
      <c r="B11" s="312" t="s">
        <v>565</v>
      </c>
      <c r="C11" s="2"/>
      <c r="E11" s="32" t="s">
        <v>26</v>
      </c>
      <c r="F11" s="18" t="s">
        <v>766</v>
      </c>
      <c r="M11" s="324" t="s">
        <v>767</v>
      </c>
      <c r="N11" s="18" t="s">
        <v>768</v>
      </c>
    </row>
    <row r="12" spans="1:16" ht="15.6" customHeight="1">
      <c r="A12" s="319"/>
      <c r="B12" s="312" t="s">
        <v>769</v>
      </c>
      <c r="C12" s="2"/>
      <c r="E12" s="32" t="s">
        <v>27</v>
      </c>
      <c r="F12" s="18" t="s">
        <v>770</v>
      </c>
      <c r="M12" s="325"/>
      <c r="N12" s="18" t="s">
        <v>771</v>
      </c>
    </row>
    <row r="13" spans="1:16" ht="15.6" customHeight="1">
      <c r="A13" s="319"/>
      <c r="B13" s="312" t="s">
        <v>758</v>
      </c>
      <c r="C13" s="2"/>
      <c r="E13" s="32" t="s">
        <v>772</v>
      </c>
      <c r="F13" s="18" t="s">
        <v>773</v>
      </c>
      <c r="M13" s="325"/>
      <c r="N13" s="18" t="s">
        <v>658</v>
      </c>
    </row>
    <row r="14" spans="1:16" ht="15.6" customHeight="1">
      <c r="A14" s="319"/>
      <c r="B14" s="24" t="s">
        <v>45</v>
      </c>
      <c r="C14" s="2"/>
      <c r="M14" s="326"/>
      <c r="N14" s="18" t="s">
        <v>49</v>
      </c>
    </row>
    <row r="15" spans="1:16" ht="15.6" customHeight="1">
      <c r="A15" s="320"/>
      <c r="B15" s="313" t="s">
        <v>774</v>
      </c>
      <c r="C15" s="2"/>
      <c r="M15" s="321" t="s">
        <v>40</v>
      </c>
      <c r="N15" s="18" t="s">
        <v>61</v>
      </c>
    </row>
    <row r="16" spans="1:16" ht="15.6" customHeight="1">
      <c r="A16" s="30" t="s">
        <v>775</v>
      </c>
      <c r="B16" s="18" t="s">
        <v>776</v>
      </c>
      <c r="C16" s="2"/>
      <c r="M16" s="323"/>
      <c r="N16" s="18" t="s">
        <v>255</v>
      </c>
    </row>
    <row r="17" spans="1:14" ht="15.6" customHeight="1">
      <c r="A17" s="318" t="s">
        <v>8</v>
      </c>
      <c r="B17" s="23" t="s">
        <v>45</v>
      </c>
      <c r="C17" s="2"/>
      <c r="M17" s="323"/>
      <c r="N17" s="18" t="s">
        <v>506</v>
      </c>
    </row>
    <row r="18" spans="1:14" ht="15.6" customHeight="1">
      <c r="A18" s="319"/>
      <c r="B18" s="24" t="s">
        <v>98</v>
      </c>
      <c r="C18" s="2"/>
      <c r="M18" s="322"/>
      <c r="N18" s="18" t="s">
        <v>49</v>
      </c>
    </row>
    <row r="19" spans="1:14" ht="15.6" customHeight="1">
      <c r="A19" s="319"/>
      <c r="B19" s="24" t="s">
        <v>145</v>
      </c>
      <c r="C19" s="2"/>
      <c r="M19" s="327" t="s">
        <v>41</v>
      </c>
      <c r="N19" s="310" t="s">
        <v>155</v>
      </c>
    </row>
    <row r="20" spans="1:14" ht="15.6" customHeight="1">
      <c r="A20" s="320"/>
      <c r="B20" s="25" t="s">
        <v>53</v>
      </c>
      <c r="C20" s="2"/>
      <c r="M20" s="327"/>
      <c r="N20" s="19" t="s">
        <v>173</v>
      </c>
    </row>
    <row r="21" spans="1:14" ht="15.6" customHeight="1">
      <c r="A21" s="30" t="s">
        <v>9</v>
      </c>
      <c r="B21" s="18" t="s">
        <v>777</v>
      </c>
      <c r="C21" s="2"/>
      <c r="M21" s="327"/>
      <c r="N21" s="19" t="s">
        <v>413</v>
      </c>
    </row>
    <row r="22" spans="1:14" ht="15.6" customHeight="1">
      <c r="A22" s="30" t="s">
        <v>10</v>
      </c>
      <c r="B22" s="18" t="s">
        <v>778</v>
      </c>
      <c r="C22" s="2"/>
      <c r="M22" s="327"/>
      <c r="N22" s="19" t="s">
        <v>684</v>
      </c>
    </row>
    <row r="23" spans="1:14" ht="15.6" customHeight="1">
      <c r="A23" s="30" t="s">
        <v>779</v>
      </c>
      <c r="B23" s="18" t="s">
        <v>780</v>
      </c>
      <c r="C23" s="2"/>
      <c r="M23" s="327"/>
      <c r="N23" s="19" t="s">
        <v>62</v>
      </c>
    </row>
    <row r="24" spans="1:14" ht="15.6" customHeight="1">
      <c r="A24" s="21"/>
      <c r="B24" s="20"/>
      <c r="C24" s="2"/>
      <c r="M24" s="327"/>
      <c r="N24" s="310" t="s">
        <v>128</v>
      </c>
    </row>
    <row r="25" spans="1:14" ht="15.6" customHeight="1">
      <c r="C25" s="2"/>
      <c r="M25" s="327"/>
      <c r="N25" s="310" t="s">
        <v>49</v>
      </c>
    </row>
    <row r="26" spans="1:14" ht="15.6" customHeight="1">
      <c r="C26" s="2"/>
      <c r="M26" s="33" t="s">
        <v>781</v>
      </c>
      <c r="N26" s="310" t="s">
        <v>782</v>
      </c>
    </row>
    <row r="27" spans="1:14" ht="15.6" customHeight="1">
      <c r="C27" s="2"/>
    </row>
    <row r="28" spans="1:14" ht="15.6" customHeight="1">
      <c r="C28" s="2"/>
    </row>
    <row r="29" spans="1:14" ht="15.6" customHeight="1">
      <c r="C29" s="2"/>
    </row>
    <row r="30" spans="1:14" ht="15.6" customHeight="1">
      <c r="A30" s="1"/>
      <c r="B30" s="2"/>
      <c r="C30" s="2"/>
    </row>
    <row r="31" spans="1:14" ht="15.6" customHeight="1">
      <c r="C31" s="2"/>
    </row>
    <row r="32" spans="1:14" ht="15.6" customHeight="1">
      <c r="A32" s="1"/>
      <c r="B32" s="2"/>
    </row>
    <row r="33" spans="1:21" ht="15.6" customHeight="1">
      <c r="A33" s="1"/>
      <c r="B33" s="2"/>
    </row>
    <row r="34" spans="1:21" ht="15.6" customHeight="1">
      <c r="A34" s="1" t="s">
        <v>783</v>
      </c>
      <c r="H34" s="2" t="s">
        <v>784</v>
      </c>
    </row>
    <row r="35" spans="1:21" ht="15.6" customHeight="1">
      <c r="A35" s="328" t="s">
        <v>12</v>
      </c>
      <c r="B35" s="18" t="s">
        <v>785</v>
      </c>
      <c r="E35" s="39" t="s">
        <v>15</v>
      </c>
      <c r="F35" s="39" t="s">
        <v>16</v>
      </c>
      <c r="H35" s="40" t="s">
        <v>15</v>
      </c>
      <c r="I35" s="40" t="s">
        <v>16</v>
      </c>
      <c r="K35" s="40" t="s">
        <v>15</v>
      </c>
      <c r="L35" s="40" t="s">
        <v>16</v>
      </c>
      <c r="N35" s="40" t="s">
        <v>15</v>
      </c>
      <c r="O35" s="40" t="s">
        <v>16</v>
      </c>
      <c r="Q35" s="40" t="s">
        <v>15</v>
      </c>
      <c r="R35" s="40" t="s">
        <v>16</v>
      </c>
      <c r="T35" s="40" t="s">
        <v>15</v>
      </c>
      <c r="U35" s="40" t="s">
        <v>16</v>
      </c>
    </row>
    <row r="36" spans="1:21" ht="15.6" customHeight="1">
      <c r="A36" s="329"/>
      <c r="B36" s="18" t="s">
        <v>56</v>
      </c>
      <c r="E36" s="2" t="s">
        <v>51</v>
      </c>
      <c r="F36" s="2" t="s">
        <v>786</v>
      </c>
      <c r="H36" s="2" t="s">
        <v>94</v>
      </c>
      <c r="I36" s="2" t="s">
        <v>787</v>
      </c>
      <c r="K36" s="2" t="s">
        <v>70</v>
      </c>
      <c r="L36" s="2" t="s">
        <v>71</v>
      </c>
      <c r="N36" s="2" t="s">
        <v>72</v>
      </c>
      <c r="O36" s="2" t="s">
        <v>788</v>
      </c>
      <c r="Q36" s="2" t="s">
        <v>88</v>
      </c>
      <c r="R36" s="19" t="s">
        <v>789</v>
      </c>
      <c r="T36" s="2" t="s">
        <v>86</v>
      </c>
      <c r="U36" s="2" t="s">
        <v>790</v>
      </c>
    </row>
    <row r="37" spans="1:21" ht="15.6" customHeight="1">
      <c r="A37" s="1"/>
      <c r="B37" s="2"/>
      <c r="F37" s="2" t="s">
        <v>791</v>
      </c>
      <c r="I37" s="2" t="s">
        <v>792</v>
      </c>
      <c r="L37" s="311" t="s">
        <v>793</v>
      </c>
      <c r="O37" s="314" t="s">
        <v>794</v>
      </c>
      <c r="R37" s="19" t="s">
        <v>795</v>
      </c>
      <c r="U37" s="2"/>
    </row>
    <row r="38" spans="1:21" ht="15.6" customHeight="1">
      <c r="A38" s="333" t="s">
        <v>13</v>
      </c>
      <c r="B38" s="36" t="s">
        <v>57</v>
      </c>
      <c r="F38" s="2" t="s">
        <v>796</v>
      </c>
      <c r="O38" s="22"/>
      <c r="R38" s="19" t="s">
        <v>797</v>
      </c>
      <c r="T38" s="311" t="s">
        <v>197</v>
      </c>
      <c r="U38" s="311" t="s">
        <v>198</v>
      </c>
    </row>
    <row r="39" spans="1:21" ht="15.6" customHeight="1">
      <c r="A39" s="333"/>
      <c r="B39" s="36" t="s">
        <v>162</v>
      </c>
      <c r="F39" s="20" t="s">
        <v>798</v>
      </c>
    </row>
    <row r="40" spans="1:21" ht="15.6" customHeight="1">
      <c r="A40" s="333"/>
      <c r="B40" s="36" t="s">
        <v>76</v>
      </c>
      <c r="F40" t="s">
        <v>64</v>
      </c>
      <c r="L40" t="s">
        <v>799</v>
      </c>
      <c r="O40" t="s">
        <v>800</v>
      </c>
    </row>
    <row r="41" spans="1:21" ht="15.6" customHeight="1">
      <c r="A41" s="333"/>
      <c r="B41" s="36" t="s">
        <v>410</v>
      </c>
      <c r="F41" s="20" t="s">
        <v>67</v>
      </c>
      <c r="O41" s="311" t="s">
        <v>801</v>
      </c>
    </row>
    <row r="42" spans="1:21" ht="15.6" customHeight="1">
      <c r="A42" s="333"/>
      <c r="B42" s="36" t="s">
        <v>532</v>
      </c>
      <c r="F42" s="20" t="s">
        <v>802</v>
      </c>
    </row>
    <row r="43" spans="1:21" ht="15.6" customHeight="1">
      <c r="A43" s="333"/>
      <c r="B43" s="36" t="s">
        <v>233</v>
      </c>
    </row>
    <row r="44" spans="1:21" ht="15.6" customHeight="1">
      <c r="A44" s="333"/>
      <c r="B44" s="36" t="s">
        <v>152</v>
      </c>
      <c r="F44" t="s">
        <v>803</v>
      </c>
      <c r="L44" s="311" t="s">
        <v>804</v>
      </c>
    </row>
    <row r="45" spans="1:21" ht="15.6" customHeight="1">
      <c r="A45" s="333"/>
      <c r="B45" s="36" t="s">
        <v>50</v>
      </c>
      <c r="F45" t="s">
        <v>805</v>
      </c>
    </row>
    <row r="47" spans="1:21" ht="15.6" customHeight="1">
      <c r="A47" s="41" t="s">
        <v>14</v>
      </c>
      <c r="F47" s="311" t="s">
        <v>806</v>
      </c>
    </row>
    <row r="48" spans="1:21" ht="15.6" customHeight="1">
      <c r="A48" s="330" t="s">
        <v>57</v>
      </c>
      <c r="B48" s="2" t="s">
        <v>126</v>
      </c>
      <c r="F48" s="314" t="s">
        <v>83</v>
      </c>
      <c r="O48" t="s">
        <v>807</v>
      </c>
    </row>
    <row r="49" spans="1:12" ht="15.6" customHeight="1">
      <c r="A49" s="331"/>
      <c r="B49" s="2" t="s">
        <v>147</v>
      </c>
    </row>
    <row r="50" spans="1:12" ht="15.6" customHeight="1">
      <c r="A50" s="331"/>
      <c r="B50" s="20" t="s">
        <v>208</v>
      </c>
      <c r="H50" s="311" t="s">
        <v>808</v>
      </c>
    </row>
    <row r="51" spans="1:12" ht="15.6" customHeight="1">
      <c r="A51" s="331"/>
      <c r="B51" s="2" t="s">
        <v>58</v>
      </c>
      <c r="F51" t="s">
        <v>809</v>
      </c>
    </row>
    <row r="52" spans="1:12" ht="15.6" customHeight="1">
      <c r="B52" s="2"/>
      <c r="F52" t="s">
        <v>810</v>
      </c>
      <c r="I52" s="29" t="s">
        <v>7</v>
      </c>
      <c r="J52" s="20" t="s">
        <v>811</v>
      </c>
      <c r="L52" s="311" t="s">
        <v>812</v>
      </c>
    </row>
    <row r="53" spans="1:12" ht="15.6" customHeight="1">
      <c r="A53" s="332" t="s">
        <v>162</v>
      </c>
      <c r="B53" s="2" t="s">
        <v>163</v>
      </c>
    </row>
    <row r="54" spans="1:12" ht="15.6" customHeight="1">
      <c r="A54" s="332"/>
      <c r="B54" s="2" t="s">
        <v>319</v>
      </c>
    </row>
    <row r="55" spans="1:12" ht="15.6" customHeight="1">
      <c r="A55" s="332"/>
      <c r="B55" s="2" t="s">
        <v>614</v>
      </c>
    </row>
    <row r="57" spans="1:12" ht="15.6" customHeight="1">
      <c r="A57" s="332" t="s">
        <v>76</v>
      </c>
      <c r="B57" s="2" t="s">
        <v>813</v>
      </c>
    </row>
    <row r="58" spans="1:12" ht="15.6" customHeight="1">
      <c r="A58" s="332"/>
      <c r="B58" s="2" t="s">
        <v>814</v>
      </c>
      <c r="E58" s="311"/>
    </row>
    <row r="59" spans="1:12" ht="15.6" customHeight="1">
      <c r="A59" s="332"/>
      <c r="B59" s="2" t="s">
        <v>815</v>
      </c>
    </row>
    <row r="60" spans="1:12" ht="15.6" customHeight="1">
      <c r="B60" s="2" t="s">
        <v>297</v>
      </c>
      <c r="E60" s="2"/>
      <c r="F60" s="2"/>
      <c r="G60" s="311"/>
    </row>
    <row r="61" spans="1:12" ht="15.6" customHeight="1">
      <c r="B61" s="2" t="s">
        <v>816</v>
      </c>
      <c r="E61" s="2"/>
      <c r="F61" s="2"/>
      <c r="G61" s="311"/>
    </row>
    <row r="62" spans="1:12" ht="15.6" customHeight="1">
      <c r="A62" s="37" t="s">
        <v>532</v>
      </c>
      <c r="F62" s="2"/>
    </row>
    <row r="63" spans="1:12" ht="15.6" customHeight="1">
      <c r="A63" s="38"/>
      <c r="F63" s="2"/>
    </row>
    <row r="64" spans="1:12" ht="15.6" customHeight="1">
      <c r="A64" s="37" t="s">
        <v>233</v>
      </c>
      <c r="F64" s="20"/>
    </row>
    <row r="66" spans="1:6" ht="15.6" customHeight="1">
      <c r="A66" s="332" t="s">
        <v>152</v>
      </c>
      <c r="B66" s="2" t="s">
        <v>153</v>
      </c>
      <c r="F66" s="20"/>
    </row>
    <row r="67" spans="1:6" ht="15.6" customHeight="1">
      <c r="A67" s="332"/>
      <c r="B67" s="2" t="s">
        <v>202</v>
      </c>
      <c r="F67" s="20"/>
    </row>
    <row r="69" spans="1:6" ht="15.6" customHeight="1">
      <c r="A69" s="304" t="s">
        <v>50</v>
      </c>
    </row>
    <row r="71" spans="1:6" ht="15.6" customHeight="1">
      <c r="A71" s="316" t="s">
        <v>410</v>
      </c>
      <c r="B71" t="s">
        <v>411</v>
      </c>
    </row>
    <row r="72" spans="1:6" ht="15.6" customHeight="1">
      <c r="A72" s="317"/>
      <c r="B72" s="311" t="s">
        <v>468</v>
      </c>
      <c r="F72" s="311"/>
    </row>
    <row r="73" spans="1:6" ht="15.6" customHeight="1">
      <c r="A73" s="317"/>
      <c r="B73" s="311" t="s">
        <v>488</v>
      </c>
      <c r="F73" s="314"/>
    </row>
    <row r="74" spans="1:6" ht="15.6" customHeight="1">
      <c r="B74" t="s">
        <v>817</v>
      </c>
    </row>
    <row r="77" spans="1:6" ht="15.6" customHeight="1">
      <c r="A77" s="10" t="s">
        <v>818</v>
      </c>
    </row>
    <row r="78" spans="1:6" ht="15.6" customHeight="1">
      <c r="A78" s="10" t="s">
        <v>819</v>
      </c>
      <c r="B78" t="s">
        <v>820</v>
      </c>
      <c r="C78">
        <v>219060</v>
      </c>
      <c r="D78">
        <v>2.5</v>
      </c>
    </row>
    <row r="79" spans="1:6" ht="15.6" customHeight="1">
      <c r="A79" s="10" t="s">
        <v>821</v>
      </c>
      <c r="C79">
        <v>205160</v>
      </c>
      <c r="D79">
        <v>3</v>
      </c>
    </row>
    <row r="80" spans="1:6" ht="15.6" customHeight="1">
      <c r="A80" s="10" t="s">
        <v>822</v>
      </c>
      <c r="C80" s="282">
        <v>205460</v>
      </c>
      <c r="D80">
        <v>4.3</v>
      </c>
    </row>
    <row r="81" spans="1:4" ht="15.6" customHeight="1">
      <c r="A81" s="10" t="s">
        <v>823</v>
      </c>
      <c r="B81" t="s">
        <v>824</v>
      </c>
      <c r="C81">
        <v>211360</v>
      </c>
      <c r="D81">
        <v>3.5</v>
      </c>
    </row>
    <row r="82" spans="1:4" ht="15.6" customHeight="1">
      <c r="A82" s="10" t="s">
        <v>825</v>
      </c>
      <c r="C82">
        <v>1715360</v>
      </c>
      <c r="D82">
        <v>3.8</v>
      </c>
    </row>
    <row r="83" spans="1:4" ht="15.6" customHeight="1">
      <c r="A83" s="10" t="s">
        <v>826</v>
      </c>
      <c r="B83" t="s">
        <v>824</v>
      </c>
      <c r="C83">
        <v>211360</v>
      </c>
      <c r="D83">
        <v>3.5</v>
      </c>
    </row>
  </sheetData>
  <mergeCells count="14">
    <mergeCell ref="A71:A73"/>
    <mergeCell ref="A6:A8"/>
    <mergeCell ref="A9:A15"/>
    <mergeCell ref="A17:A20"/>
    <mergeCell ref="M9:M10"/>
    <mergeCell ref="M15:M18"/>
    <mergeCell ref="M11:M14"/>
    <mergeCell ref="M19:M25"/>
    <mergeCell ref="A35:A36"/>
    <mergeCell ref="A48:A51"/>
    <mergeCell ref="A57:A59"/>
    <mergeCell ref="A66:A67"/>
    <mergeCell ref="A53:A55"/>
    <mergeCell ref="A38:A45"/>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74"/>
  <sheetViews>
    <sheetView topLeftCell="A38" workbookViewId="0">
      <selection activeCell="D64" sqref="D64"/>
    </sheetView>
  </sheetViews>
  <sheetFormatPr baseColWidth="10" defaultColWidth="14.42578125" defaultRowHeight="15" customHeight="1"/>
  <cols>
    <col min="2" max="2" width="46.42578125" customWidth="1"/>
    <col min="3" max="3" width="40" customWidth="1"/>
    <col min="4" max="4" width="33.7109375" customWidth="1"/>
    <col min="5" max="5" width="37.28515625" customWidth="1"/>
    <col min="7" max="7" width="42" customWidth="1"/>
    <col min="8" max="8" width="39.42578125" customWidth="1"/>
    <col min="9" max="9" width="21.42578125" customWidth="1"/>
    <col min="10" max="10" width="43.42578125" customWidth="1"/>
  </cols>
  <sheetData>
    <row r="1" spans="1:14" ht="15" customHeight="1">
      <c r="A1" s="5"/>
      <c r="B1" s="5"/>
      <c r="C1" s="5"/>
      <c r="D1" s="5"/>
      <c r="E1" s="5"/>
      <c r="F1" s="5"/>
      <c r="G1" s="5"/>
      <c r="H1" s="5"/>
      <c r="I1" s="5"/>
      <c r="J1" s="5"/>
      <c r="K1" s="5"/>
      <c r="L1" s="5"/>
      <c r="M1" s="5"/>
      <c r="N1" s="5"/>
    </row>
    <row r="2" spans="1:14" ht="15" customHeight="1">
      <c r="A2" s="5"/>
      <c r="B2" s="5"/>
      <c r="C2" s="5"/>
      <c r="D2" s="5"/>
      <c r="E2" s="5"/>
      <c r="F2" s="5"/>
      <c r="G2" s="5"/>
      <c r="H2" s="5"/>
      <c r="I2" s="5"/>
      <c r="J2" s="5"/>
      <c r="K2" s="5"/>
      <c r="L2" s="5"/>
      <c r="M2" s="5"/>
      <c r="N2" s="5"/>
    </row>
    <row r="3" spans="1:14" ht="15" customHeight="1">
      <c r="A3" s="5"/>
      <c r="B3" s="6" t="s">
        <v>827</v>
      </c>
      <c r="C3" s="6" t="s">
        <v>828</v>
      </c>
      <c r="D3" s="6" t="s">
        <v>829</v>
      </c>
      <c r="E3" s="7" t="s">
        <v>830</v>
      </c>
      <c r="F3" s="5"/>
      <c r="G3" s="6" t="s">
        <v>827</v>
      </c>
      <c r="H3" s="6" t="s">
        <v>828</v>
      </c>
      <c r="I3" s="6" t="s">
        <v>829</v>
      </c>
      <c r="J3" s="7" t="s">
        <v>830</v>
      </c>
      <c r="K3" s="5"/>
      <c r="L3" s="5"/>
      <c r="M3" s="5"/>
      <c r="N3" s="5"/>
    </row>
    <row r="4" spans="1:14" ht="15" customHeight="1">
      <c r="A4" s="5"/>
      <c r="B4" s="7" t="s">
        <v>831</v>
      </c>
      <c r="C4" s="5" t="s">
        <v>832</v>
      </c>
      <c r="D4" s="5" t="s">
        <v>833</v>
      </c>
      <c r="E4" s="5"/>
      <c r="F4" s="5"/>
      <c r="G4" s="7" t="s">
        <v>834</v>
      </c>
      <c r="H4" s="5" t="s">
        <v>835</v>
      </c>
      <c r="I4" s="5" t="s">
        <v>833</v>
      </c>
      <c r="J4" s="5"/>
      <c r="K4" s="5"/>
      <c r="L4" s="5"/>
      <c r="M4" s="5"/>
      <c r="N4" s="5"/>
    </row>
    <row r="5" spans="1:14" ht="15" customHeight="1">
      <c r="A5" s="5"/>
      <c r="B5" s="5"/>
      <c r="C5" s="5" t="s">
        <v>836</v>
      </c>
      <c r="D5" s="5" t="s">
        <v>833</v>
      </c>
      <c r="E5" s="5"/>
      <c r="F5" s="5"/>
      <c r="G5" s="5"/>
      <c r="H5" s="5" t="s">
        <v>837</v>
      </c>
      <c r="I5" s="5" t="s">
        <v>833</v>
      </c>
      <c r="J5" s="5"/>
      <c r="K5" s="5"/>
      <c r="L5" s="5"/>
      <c r="M5" s="5"/>
      <c r="N5" s="5"/>
    </row>
    <row r="6" spans="1:14" ht="15" customHeight="1">
      <c r="A6" s="5"/>
      <c r="B6" s="5"/>
      <c r="C6" s="5" t="s">
        <v>838</v>
      </c>
      <c r="D6" s="5" t="s">
        <v>839</v>
      </c>
      <c r="E6" s="5"/>
      <c r="F6" s="5"/>
      <c r="G6" s="5"/>
      <c r="H6" s="5" t="s">
        <v>840</v>
      </c>
      <c r="I6" s="5" t="s">
        <v>833</v>
      </c>
      <c r="J6" s="5"/>
      <c r="K6" s="5"/>
      <c r="L6" s="5"/>
      <c r="M6" s="5"/>
      <c r="N6" s="5"/>
    </row>
    <row r="7" spans="1:14" ht="15" customHeight="1">
      <c r="A7" s="5"/>
      <c r="B7" s="5"/>
      <c r="C7" s="5" t="s">
        <v>841</v>
      </c>
      <c r="D7" s="5" t="s">
        <v>833</v>
      </c>
      <c r="E7" s="5"/>
      <c r="F7" s="5"/>
      <c r="G7" s="5"/>
      <c r="H7" s="5" t="s">
        <v>842</v>
      </c>
      <c r="I7" s="5" t="s">
        <v>839</v>
      </c>
      <c r="K7" s="5"/>
      <c r="L7" s="5"/>
      <c r="M7" s="5"/>
      <c r="N7" s="5"/>
    </row>
    <row r="8" spans="1:14" ht="15" customHeight="1">
      <c r="A8" s="5"/>
      <c r="C8" s="5" t="s">
        <v>843</v>
      </c>
      <c r="D8" s="5" t="s">
        <v>833</v>
      </c>
      <c r="E8" s="5"/>
      <c r="F8" s="5"/>
      <c r="G8" s="5"/>
      <c r="H8" s="5" t="s">
        <v>844</v>
      </c>
      <c r="I8" s="5" t="s">
        <v>833</v>
      </c>
      <c r="K8" s="5"/>
      <c r="L8" s="5"/>
      <c r="M8" s="5"/>
      <c r="N8" s="5"/>
    </row>
    <row r="9" spans="1:14" ht="15" customHeight="1">
      <c r="A9" s="5"/>
      <c r="C9" s="5" t="s">
        <v>845</v>
      </c>
      <c r="D9" s="5" t="s">
        <v>839</v>
      </c>
      <c r="E9" s="5"/>
      <c r="F9" s="5"/>
      <c r="G9" s="5"/>
      <c r="H9" s="3" t="s">
        <v>846</v>
      </c>
      <c r="I9" s="5" t="s">
        <v>839</v>
      </c>
      <c r="J9" s="5"/>
      <c r="K9" s="5"/>
      <c r="L9" s="5"/>
      <c r="M9" s="5"/>
      <c r="N9" s="5"/>
    </row>
    <row r="10" spans="1:14" ht="15" customHeight="1">
      <c r="A10" s="5"/>
      <c r="C10" s="5" t="s">
        <v>847</v>
      </c>
      <c r="D10" s="5" t="s">
        <v>833</v>
      </c>
      <c r="E10" s="5"/>
      <c r="F10" s="5"/>
      <c r="G10" s="5"/>
      <c r="H10" s="3" t="s">
        <v>848</v>
      </c>
      <c r="I10" s="5" t="s">
        <v>833</v>
      </c>
      <c r="J10" s="5"/>
      <c r="K10" s="5"/>
      <c r="L10" s="5"/>
      <c r="M10" s="5"/>
      <c r="N10" s="5"/>
    </row>
    <row r="11" spans="1:14" ht="15" customHeight="1">
      <c r="A11" s="5"/>
      <c r="C11" s="5" t="s">
        <v>849</v>
      </c>
      <c r="D11" s="5" t="s">
        <v>833</v>
      </c>
      <c r="E11" s="5"/>
      <c r="F11" s="5"/>
      <c r="G11" s="5"/>
      <c r="H11" s="5" t="s">
        <v>850</v>
      </c>
      <c r="I11" s="5" t="s">
        <v>839</v>
      </c>
      <c r="J11" s="5"/>
      <c r="K11" s="5"/>
      <c r="L11" s="5"/>
      <c r="M11" s="5"/>
      <c r="N11" s="5"/>
    </row>
    <row r="12" spans="1:14" ht="15" customHeight="1">
      <c r="A12" s="5"/>
      <c r="C12" s="5" t="s">
        <v>851</v>
      </c>
      <c r="D12" s="5" t="s">
        <v>839</v>
      </c>
      <c r="E12" s="5"/>
      <c r="F12" s="5"/>
      <c r="G12" s="5"/>
      <c r="H12" s="5" t="s">
        <v>852</v>
      </c>
      <c r="I12" s="5" t="s">
        <v>833</v>
      </c>
      <c r="J12" s="5"/>
      <c r="K12" s="5"/>
      <c r="L12" s="5"/>
      <c r="M12" s="5"/>
      <c r="N12" s="5"/>
    </row>
    <row r="13" spans="1:14" ht="15" customHeight="1">
      <c r="A13" s="5"/>
      <c r="B13" s="5"/>
      <c r="C13" s="3" t="s">
        <v>853</v>
      </c>
      <c r="D13" s="5" t="s">
        <v>839</v>
      </c>
      <c r="E13" s="5"/>
      <c r="F13" s="5"/>
      <c r="G13" s="5"/>
      <c r="H13" s="5"/>
      <c r="I13" s="5"/>
      <c r="J13" s="5"/>
      <c r="K13" s="5"/>
      <c r="L13" s="5"/>
      <c r="M13" s="5"/>
      <c r="N13" s="5"/>
    </row>
    <row r="14" spans="1:14" ht="15" customHeight="1">
      <c r="A14" s="5"/>
      <c r="B14" s="5"/>
      <c r="C14" s="3" t="s">
        <v>854</v>
      </c>
      <c r="D14" s="5" t="s">
        <v>839</v>
      </c>
      <c r="E14" s="5"/>
      <c r="F14" s="5"/>
      <c r="G14" s="5"/>
      <c r="H14" s="3"/>
      <c r="I14" s="5"/>
      <c r="J14" s="5"/>
      <c r="K14" s="5"/>
      <c r="L14" s="5"/>
      <c r="M14" s="5"/>
      <c r="N14" s="5"/>
    </row>
    <row r="15" spans="1:14" ht="15" customHeight="1">
      <c r="A15" s="5"/>
      <c r="B15" s="5"/>
      <c r="C15" s="3" t="s">
        <v>855</v>
      </c>
      <c r="D15" s="5" t="s">
        <v>839</v>
      </c>
      <c r="E15" s="5"/>
      <c r="F15" s="5"/>
      <c r="G15" s="5"/>
      <c r="H15" s="3"/>
      <c r="I15" s="5"/>
      <c r="J15" s="5"/>
      <c r="K15" s="5"/>
      <c r="L15" s="5"/>
      <c r="M15" s="5"/>
      <c r="N15" s="5"/>
    </row>
    <row r="16" spans="1:14" ht="15" customHeight="1">
      <c r="A16" s="5"/>
      <c r="B16" s="5"/>
      <c r="C16" s="3" t="s">
        <v>856</v>
      </c>
      <c r="D16" s="5" t="s">
        <v>839</v>
      </c>
      <c r="E16" s="5"/>
      <c r="F16" s="5"/>
      <c r="G16" s="5"/>
      <c r="H16" s="5"/>
      <c r="I16" s="5"/>
      <c r="J16" s="5"/>
      <c r="K16" s="5"/>
      <c r="L16" s="5"/>
      <c r="M16" s="5"/>
      <c r="N16" s="5"/>
    </row>
    <row r="17" spans="1:14" ht="15" customHeight="1">
      <c r="A17" s="5"/>
      <c r="B17" s="5"/>
      <c r="C17" s="3" t="s">
        <v>857</v>
      </c>
      <c r="D17" s="5" t="s">
        <v>839</v>
      </c>
      <c r="E17" s="5"/>
      <c r="F17" s="5"/>
      <c r="G17" s="5"/>
      <c r="H17" s="5"/>
      <c r="I17" s="5"/>
      <c r="J17" s="5"/>
      <c r="K17" s="5"/>
      <c r="L17" s="5"/>
      <c r="M17" s="5"/>
      <c r="N17" s="5"/>
    </row>
    <row r="18" spans="1:14" ht="15" customHeight="1">
      <c r="A18" s="5"/>
      <c r="C18" s="3" t="s">
        <v>858</v>
      </c>
      <c r="D18" s="5" t="s">
        <v>833</v>
      </c>
      <c r="E18" s="5"/>
      <c r="F18" s="5"/>
      <c r="K18" s="5"/>
      <c r="L18" s="5"/>
      <c r="M18" s="5"/>
      <c r="N18" s="5"/>
    </row>
    <row r="19" spans="1:14" ht="15" customHeight="1">
      <c r="A19" s="5"/>
      <c r="C19" s="3" t="s">
        <v>859</v>
      </c>
      <c r="D19" s="5" t="s">
        <v>833</v>
      </c>
      <c r="E19" s="5"/>
      <c r="F19" s="5"/>
      <c r="K19" s="5"/>
      <c r="L19" s="5"/>
      <c r="M19" s="5"/>
      <c r="N19" s="5"/>
    </row>
    <row r="20" spans="1:14" ht="15" customHeight="1">
      <c r="A20" s="5"/>
      <c r="C20" s="3" t="s">
        <v>860</v>
      </c>
      <c r="D20" s="5" t="s">
        <v>833</v>
      </c>
      <c r="E20" s="5"/>
      <c r="F20" s="5"/>
      <c r="G20" s="7" t="s">
        <v>861</v>
      </c>
      <c r="H20" s="3" t="s">
        <v>862</v>
      </c>
      <c r="I20" s="5" t="s">
        <v>839</v>
      </c>
      <c r="K20" s="5"/>
      <c r="L20" s="5"/>
      <c r="M20" s="5"/>
      <c r="N20" s="5"/>
    </row>
    <row r="21" spans="1:14" ht="15" customHeight="1">
      <c r="A21" s="5"/>
      <c r="C21" s="3" t="s">
        <v>863</v>
      </c>
      <c r="D21" s="5" t="s">
        <v>839</v>
      </c>
      <c r="E21" s="5"/>
      <c r="F21" s="5"/>
      <c r="H21" s="3" t="s">
        <v>864</v>
      </c>
      <c r="I21" s="5" t="s">
        <v>839</v>
      </c>
      <c r="K21" s="5"/>
      <c r="L21" s="5"/>
      <c r="M21" s="5"/>
      <c r="N21" s="5"/>
    </row>
    <row r="22" spans="1:14" ht="15" customHeight="1">
      <c r="A22" s="5"/>
      <c r="E22" s="5"/>
      <c r="F22" s="5"/>
      <c r="H22" s="3" t="s">
        <v>865</v>
      </c>
      <c r="I22" s="5" t="s">
        <v>839</v>
      </c>
      <c r="K22" s="5"/>
      <c r="L22" s="5"/>
      <c r="M22" s="5"/>
      <c r="N22" s="5"/>
    </row>
    <row r="23" spans="1:14" ht="15" customHeight="1">
      <c r="A23" s="5"/>
      <c r="B23" s="7"/>
      <c r="C23" s="5"/>
      <c r="D23" s="5"/>
      <c r="E23" s="5"/>
      <c r="F23" s="5"/>
      <c r="H23" s="3" t="s">
        <v>866</v>
      </c>
      <c r="I23" s="5" t="s">
        <v>839</v>
      </c>
      <c r="K23" s="5"/>
      <c r="L23" s="5"/>
      <c r="M23" s="5"/>
      <c r="N23" s="5"/>
    </row>
    <row r="24" spans="1:14">
      <c r="A24" s="5"/>
      <c r="B24" s="5"/>
      <c r="C24" s="5"/>
      <c r="D24" s="5"/>
      <c r="E24" s="5"/>
      <c r="H24" s="3" t="s">
        <v>867</v>
      </c>
      <c r="I24" s="5" t="s">
        <v>839</v>
      </c>
      <c r="K24" s="5"/>
      <c r="L24" s="5"/>
      <c r="M24" s="5"/>
      <c r="N24" s="5"/>
    </row>
    <row r="25" spans="1:14">
      <c r="A25" s="5"/>
      <c r="B25" s="7" t="s">
        <v>868</v>
      </c>
      <c r="C25" s="5" t="s">
        <v>869</v>
      </c>
      <c r="D25" s="5" t="s">
        <v>833</v>
      </c>
      <c r="E25" s="5"/>
      <c r="H25" s="3" t="s">
        <v>870</v>
      </c>
      <c r="I25" s="5" t="s">
        <v>839</v>
      </c>
      <c r="J25" s="5"/>
      <c r="K25" s="5"/>
      <c r="L25" s="5"/>
      <c r="M25" s="5"/>
      <c r="N25" s="5"/>
    </row>
    <row r="26" spans="1:14">
      <c r="A26" s="5"/>
      <c r="C26" s="5" t="s">
        <v>871</v>
      </c>
      <c r="D26" s="5" t="s">
        <v>833</v>
      </c>
      <c r="E26" s="5"/>
      <c r="H26" s="3" t="s">
        <v>872</v>
      </c>
      <c r="I26" s="5" t="s">
        <v>839</v>
      </c>
      <c r="J26" s="5"/>
      <c r="K26" s="5"/>
      <c r="L26" s="5"/>
      <c r="M26" s="5"/>
      <c r="N26" s="5"/>
    </row>
    <row r="27" spans="1:14">
      <c r="A27" s="5"/>
      <c r="C27" s="5" t="s">
        <v>873</v>
      </c>
      <c r="D27" s="5" t="s">
        <v>833</v>
      </c>
      <c r="E27" s="5"/>
      <c r="G27" s="5"/>
      <c r="H27" s="8" t="s">
        <v>874</v>
      </c>
      <c r="I27" s="5" t="s">
        <v>833</v>
      </c>
      <c r="J27" s="5"/>
      <c r="K27" s="5"/>
      <c r="L27" s="5"/>
      <c r="M27" s="5"/>
      <c r="N27" s="5"/>
    </row>
    <row r="28" spans="1:14">
      <c r="A28" s="5"/>
      <c r="C28" s="5" t="s">
        <v>875</v>
      </c>
      <c r="D28" s="5" t="s">
        <v>833</v>
      </c>
      <c r="E28" s="5"/>
      <c r="G28" s="5"/>
      <c r="H28" s="5" t="s">
        <v>876</v>
      </c>
      <c r="I28" s="5" t="s">
        <v>839</v>
      </c>
      <c r="J28" s="5"/>
      <c r="K28" s="5"/>
      <c r="L28" s="5"/>
      <c r="M28" s="5"/>
      <c r="N28" s="5"/>
    </row>
    <row r="29" spans="1:14">
      <c r="A29" s="5"/>
      <c r="C29" s="5" t="s">
        <v>877</v>
      </c>
      <c r="D29" s="5" t="s">
        <v>833</v>
      </c>
      <c r="E29" s="5"/>
      <c r="H29" s="5" t="s">
        <v>878</v>
      </c>
      <c r="I29" s="5" t="s">
        <v>839</v>
      </c>
      <c r="J29" s="5"/>
      <c r="K29" s="5"/>
      <c r="L29" s="5"/>
      <c r="M29" s="5"/>
      <c r="N29" s="5"/>
    </row>
    <row r="30" spans="1:14">
      <c r="A30" s="5"/>
      <c r="C30" s="3" t="s">
        <v>879</v>
      </c>
      <c r="D30" s="5" t="s">
        <v>839</v>
      </c>
      <c r="E30" s="5"/>
      <c r="H30" s="5" t="s">
        <v>880</v>
      </c>
      <c r="I30" s="5" t="s">
        <v>839</v>
      </c>
      <c r="J30" s="5"/>
      <c r="K30" s="5"/>
      <c r="L30" s="5"/>
      <c r="M30" s="5"/>
      <c r="N30" s="5"/>
    </row>
    <row r="31" spans="1:14">
      <c r="A31" s="5"/>
      <c r="C31" s="3" t="s">
        <v>881</v>
      </c>
      <c r="D31" s="5" t="s">
        <v>839</v>
      </c>
      <c r="E31" s="5"/>
      <c r="H31" s="5" t="s">
        <v>882</v>
      </c>
      <c r="I31" s="5" t="s">
        <v>839</v>
      </c>
      <c r="J31" s="5"/>
      <c r="K31" s="5"/>
      <c r="L31" s="5"/>
      <c r="M31" s="5"/>
      <c r="N31" s="5"/>
    </row>
    <row r="32" spans="1:14">
      <c r="A32" s="5"/>
      <c r="C32" s="3" t="s">
        <v>883</v>
      </c>
      <c r="D32" s="5" t="s">
        <v>839</v>
      </c>
      <c r="E32" s="5"/>
      <c r="H32" s="5" t="s">
        <v>884</v>
      </c>
      <c r="I32" s="5" t="s">
        <v>839</v>
      </c>
      <c r="J32" s="5"/>
      <c r="K32" s="5"/>
      <c r="L32" s="5"/>
      <c r="M32" s="5"/>
      <c r="N32" s="5"/>
    </row>
    <row r="33" spans="1:14">
      <c r="A33" s="5"/>
      <c r="C33" s="3" t="s">
        <v>885</v>
      </c>
      <c r="D33" s="5" t="s">
        <v>833</v>
      </c>
      <c r="E33" s="5"/>
      <c r="H33" s="5" t="s">
        <v>886</v>
      </c>
      <c r="I33" s="5" t="s">
        <v>839</v>
      </c>
      <c r="J33" s="5"/>
      <c r="K33" s="5"/>
      <c r="L33" s="5"/>
      <c r="M33" s="5"/>
      <c r="N33" s="5"/>
    </row>
    <row r="34" spans="1:14">
      <c r="A34" s="5"/>
      <c r="C34" s="3" t="s">
        <v>887</v>
      </c>
      <c r="D34" s="5" t="s">
        <v>839</v>
      </c>
      <c r="E34" s="5"/>
      <c r="H34" s="5" t="s">
        <v>888</v>
      </c>
      <c r="I34" s="5" t="s">
        <v>839</v>
      </c>
      <c r="J34" s="5"/>
      <c r="K34" s="5"/>
      <c r="L34" s="5"/>
      <c r="M34" s="5"/>
      <c r="N34" s="5"/>
    </row>
    <row r="35" spans="1:14">
      <c r="A35" s="5"/>
      <c r="C35" s="3" t="s">
        <v>889</v>
      </c>
      <c r="D35" s="5" t="s">
        <v>839</v>
      </c>
      <c r="E35" s="5"/>
      <c r="H35" s="5" t="s">
        <v>890</v>
      </c>
      <c r="I35" s="5" t="s">
        <v>833</v>
      </c>
      <c r="J35" s="5"/>
      <c r="K35" s="5"/>
      <c r="L35" s="5"/>
      <c r="M35" s="5"/>
      <c r="N35" s="5"/>
    </row>
    <row r="36" spans="1:14">
      <c r="A36" s="5"/>
      <c r="C36" s="3" t="s">
        <v>891</v>
      </c>
      <c r="D36" s="5" t="s">
        <v>839</v>
      </c>
      <c r="E36" s="5"/>
      <c r="H36" s="5" t="s">
        <v>892</v>
      </c>
      <c r="I36" s="5" t="s">
        <v>833</v>
      </c>
      <c r="J36" s="5"/>
      <c r="K36" s="5"/>
      <c r="L36" s="5"/>
      <c r="M36" s="5"/>
      <c r="N36" s="5"/>
    </row>
    <row r="37" spans="1:14">
      <c r="A37" s="5"/>
      <c r="C37" s="3" t="s">
        <v>893</v>
      </c>
      <c r="D37" s="5" t="s">
        <v>839</v>
      </c>
      <c r="E37" s="5"/>
      <c r="G37" s="5"/>
      <c r="H37" s="5"/>
      <c r="I37" s="5"/>
      <c r="J37" s="5"/>
      <c r="K37" s="5"/>
      <c r="L37" s="5"/>
      <c r="M37" s="5"/>
      <c r="N37" s="5"/>
    </row>
    <row r="38" spans="1:14">
      <c r="A38" s="5"/>
      <c r="C38" s="3" t="s">
        <v>894</v>
      </c>
      <c r="D38" s="5" t="s">
        <v>833</v>
      </c>
      <c r="E38" s="5"/>
      <c r="F38" s="5"/>
      <c r="H38" s="5"/>
      <c r="I38" s="5"/>
      <c r="K38" s="5"/>
      <c r="L38" s="5"/>
      <c r="M38" s="5"/>
      <c r="N38" s="5"/>
    </row>
    <row r="39" spans="1:14">
      <c r="A39" s="5"/>
      <c r="C39" s="3" t="s">
        <v>895</v>
      </c>
      <c r="D39" s="5" t="s">
        <v>839</v>
      </c>
      <c r="E39" s="5"/>
      <c r="F39" s="5"/>
      <c r="H39" s="5"/>
      <c r="I39" s="5"/>
      <c r="K39" s="5"/>
      <c r="L39" s="5"/>
      <c r="M39" s="5"/>
      <c r="N39" s="5"/>
    </row>
    <row r="40" spans="1:14">
      <c r="A40" s="5"/>
      <c r="C40" s="3" t="s">
        <v>896</v>
      </c>
      <c r="D40" s="5" t="s">
        <v>839</v>
      </c>
      <c r="E40" s="9"/>
      <c r="F40" s="5"/>
      <c r="K40" s="5"/>
      <c r="L40" s="5"/>
      <c r="M40" s="5"/>
      <c r="N40" s="5"/>
    </row>
    <row r="41" spans="1:14">
      <c r="A41" s="5"/>
      <c r="C41" s="5" t="s">
        <v>897</v>
      </c>
      <c r="D41" s="5" t="s">
        <v>839</v>
      </c>
      <c r="E41" s="1"/>
      <c r="F41" s="5"/>
      <c r="G41" s="7"/>
      <c r="H41" s="5"/>
      <c r="I41" s="5"/>
      <c r="J41" s="5"/>
      <c r="K41" s="5"/>
      <c r="L41" s="5"/>
      <c r="M41" s="5"/>
      <c r="N41" s="5"/>
    </row>
    <row r="42" spans="1:14">
      <c r="A42" s="5"/>
      <c r="C42" s="5" t="s">
        <v>898</v>
      </c>
      <c r="D42" s="5" t="s">
        <v>839</v>
      </c>
      <c r="E42" s="1"/>
      <c r="F42" s="5"/>
      <c r="H42" s="5"/>
      <c r="I42" s="5"/>
      <c r="J42" s="5"/>
      <c r="K42" s="5"/>
      <c r="L42" s="5"/>
      <c r="M42" s="5"/>
      <c r="N42" s="5"/>
    </row>
    <row r="43" spans="1:14">
      <c r="A43" s="5"/>
      <c r="C43" s="5" t="s">
        <v>899</v>
      </c>
      <c r="D43" s="5" t="s">
        <v>839</v>
      </c>
      <c r="E43" s="9"/>
      <c r="F43" s="5"/>
      <c r="H43" s="5"/>
      <c r="I43" s="5"/>
      <c r="J43" s="5"/>
      <c r="K43" s="5"/>
      <c r="L43" s="5"/>
      <c r="M43" s="5"/>
      <c r="N43" s="5"/>
    </row>
    <row r="44" spans="1:14">
      <c r="A44" s="5"/>
      <c r="C44" s="5" t="s">
        <v>900</v>
      </c>
      <c r="D44" s="5" t="s">
        <v>839</v>
      </c>
      <c r="E44" s="5"/>
      <c r="F44" s="5"/>
      <c r="H44" s="5"/>
      <c r="I44" s="5"/>
      <c r="J44" s="5"/>
      <c r="K44" s="5"/>
      <c r="L44" s="5"/>
      <c r="M44" s="5"/>
      <c r="N44" s="5"/>
    </row>
    <row r="45" spans="1:14">
      <c r="A45" s="5"/>
      <c r="C45" s="5" t="s">
        <v>901</v>
      </c>
      <c r="D45" s="5" t="s">
        <v>839</v>
      </c>
      <c r="E45" s="5"/>
      <c r="F45" s="5"/>
      <c r="H45" s="5"/>
      <c r="I45" s="5"/>
      <c r="J45" s="5"/>
      <c r="K45" s="5"/>
      <c r="L45" s="5"/>
      <c r="M45" s="5"/>
      <c r="N45" s="5"/>
    </row>
    <row r="46" spans="1:14">
      <c r="A46" s="5"/>
      <c r="C46" s="5" t="s">
        <v>902</v>
      </c>
      <c r="D46" s="5" t="s">
        <v>839</v>
      </c>
      <c r="E46" s="5"/>
      <c r="F46" s="5"/>
      <c r="H46" s="3"/>
      <c r="I46" s="5"/>
      <c r="J46" s="5"/>
      <c r="K46" s="5"/>
      <c r="L46" s="5"/>
      <c r="M46" s="5"/>
      <c r="N46" s="5"/>
    </row>
    <row r="47" spans="1:14">
      <c r="A47" s="5"/>
      <c r="C47" s="5" t="s">
        <v>903</v>
      </c>
      <c r="D47" s="5" t="s">
        <v>839</v>
      </c>
      <c r="E47" s="5"/>
      <c r="F47" s="5"/>
      <c r="H47" s="3"/>
      <c r="I47" s="5"/>
      <c r="J47" s="5"/>
      <c r="K47" s="5"/>
      <c r="L47" s="5"/>
      <c r="M47" s="5"/>
      <c r="N47" s="5"/>
    </row>
    <row r="48" spans="1:14">
      <c r="A48" s="5"/>
      <c r="C48" s="5" t="s">
        <v>904</v>
      </c>
      <c r="D48" s="5" t="s">
        <v>839</v>
      </c>
      <c r="E48" s="9"/>
      <c r="F48" s="5"/>
      <c r="H48" s="3"/>
      <c r="I48" s="5"/>
      <c r="J48" s="5"/>
      <c r="K48" s="5"/>
      <c r="L48" s="5"/>
      <c r="M48" s="5"/>
      <c r="N48" s="5"/>
    </row>
    <row r="49" spans="1:14">
      <c r="A49" s="5"/>
      <c r="C49" s="5" t="s">
        <v>905</v>
      </c>
      <c r="D49" s="5" t="s">
        <v>839</v>
      </c>
      <c r="E49" s="9"/>
      <c r="F49" s="5"/>
      <c r="H49" s="3"/>
      <c r="I49" s="5"/>
      <c r="J49" s="2"/>
      <c r="K49" s="5"/>
      <c r="L49" s="5"/>
      <c r="M49" s="5"/>
      <c r="N49" s="5"/>
    </row>
    <row r="50" spans="1:14">
      <c r="A50" s="5"/>
      <c r="C50" s="5" t="s">
        <v>906</v>
      </c>
      <c r="D50" s="5" t="s">
        <v>839</v>
      </c>
      <c r="F50" s="5"/>
      <c r="H50" s="3"/>
      <c r="I50" s="5"/>
      <c r="J50" s="5"/>
      <c r="K50" s="5"/>
      <c r="L50" s="5"/>
      <c r="M50" s="5"/>
      <c r="N50" s="5"/>
    </row>
    <row r="51" spans="1:14">
      <c r="A51" s="5"/>
      <c r="C51" s="5" t="s">
        <v>907</v>
      </c>
      <c r="D51" s="5" t="s">
        <v>839</v>
      </c>
      <c r="F51" s="5"/>
      <c r="H51" s="3"/>
      <c r="I51" s="5"/>
      <c r="J51" s="5"/>
      <c r="K51" s="5"/>
      <c r="L51" s="5"/>
      <c r="M51" s="5"/>
      <c r="N51" s="5"/>
    </row>
    <row r="52" spans="1:14">
      <c r="A52" s="5"/>
      <c r="C52" s="5" t="s">
        <v>908</v>
      </c>
      <c r="D52" s="5" t="s">
        <v>839</v>
      </c>
      <c r="F52" s="5"/>
      <c r="H52" s="3"/>
      <c r="I52" s="5"/>
      <c r="J52" s="5"/>
      <c r="K52" s="5"/>
      <c r="L52" s="5"/>
      <c r="M52" s="5"/>
      <c r="N52" s="5"/>
    </row>
    <row r="53" spans="1:14">
      <c r="A53" s="5"/>
      <c r="C53" s="5" t="s">
        <v>909</v>
      </c>
      <c r="D53" s="5" t="s">
        <v>839</v>
      </c>
      <c r="F53" s="5"/>
      <c r="H53" s="3"/>
      <c r="I53" s="5"/>
      <c r="J53" s="5"/>
      <c r="K53" s="5"/>
      <c r="L53" s="5"/>
      <c r="M53" s="5"/>
      <c r="N53" s="5"/>
    </row>
    <row r="54" spans="1:14">
      <c r="A54" s="5"/>
      <c r="C54" s="5" t="s">
        <v>910</v>
      </c>
      <c r="D54" s="5" t="s">
        <v>839</v>
      </c>
      <c r="F54" s="5"/>
      <c r="H54" s="3"/>
      <c r="I54" s="5"/>
      <c r="J54" s="5"/>
      <c r="K54" s="5"/>
      <c r="L54" s="5"/>
      <c r="M54" s="5"/>
      <c r="N54" s="5"/>
    </row>
    <row r="55" spans="1:14">
      <c r="A55" s="5"/>
      <c r="C55" s="5" t="s">
        <v>905</v>
      </c>
      <c r="D55" s="5" t="s">
        <v>839</v>
      </c>
      <c r="F55" s="5"/>
      <c r="H55" s="3"/>
      <c r="I55" s="5"/>
      <c r="J55" s="5"/>
      <c r="K55" s="5"/>
      <c r="L55" s="5"/>
      <c r="M55" s="5"/>
      <c r="N55" s="5"/>
    </row>
    <row r="56" spans="1:14">
      <c r="A56" s="5"/>
      <c r="C56" s="5" t="s">
        <v>911</v>
      </c>
      <c r="D56" s="5" t="s">
        <v>839</v>
      </c>
      <c r="F56" s="5"/>
      <c r="H56" s="3"/>
      <c r="I56" s="5"/>
      <c r="J56" s="5"/>
      <c r="K56" s="5"/>
      <c r="L56" s="5"/>
      <c r="M56" s="5"/>
      <c r="N56" s="5"/>
    </row>
    <row r="57" spans="1:14">
      <c r="A57" s="5"/>
      <c r="C57" s="5" t="s">
        <v>912</v>
      </c>
      <c r="D57" s="5" t="s">
        <v>839</v>
      </c>
      <c r="F57" s="5"/>
      <c r="K57" s="5"/>
      <c r="L57" s="5"/>
      <c r="M57" s="5"/>
      <c r="N57" s="5"/>
    </row>
    <row r="58" spans="1:14">
      <c r="A58" s="5"/>
      <c r="C58" s="5" t="s">
        <v>913</v>
      </c>
      <c r="D58" s="5" t="s">
        <v>839</v>
      </c>
      <c r="F58" s="5"/>
      <c r="G58" s="7"/>
      <c r="H58" s="3"/>
      <c r="I58" s="5"/>
      <c r="J58" s="5"/>
      <c r="K58" s="5"/>
      <c r="L58" s="5"/>
      <c r="M58" s="5"/>
      <c r="N58" s="5"/>
    </row>
    <row r="59" spans="1:14">
      <c r="A59" s="5"/>
      <c r="C59" s="5"/>
      <c r="D59" s="5"/>
      <c r="F59" s="5"/>
      <c r="H59" s="3"/>
      <c r="I59" s="5"/>
      <c r="J59" s="5"/>
      <c r="K59" s="5"/>
      <c r="L59" s="5"/>
      <c r="M59" s="5"/>
      <c r="N59" s="5"/>
    </row>
    <row r="60" spans="1:14">
      <c r="A60" s="5"/>
      <c r="C60" s="5"/>
      <c r="D60" s="5"/>
      <c r="F60" s="5"/>
      <c r="H60" s="3"/>
      <c r="I60" s="5"/>
      <c r="J60" s="5"/>
      <c r="K60" s="5"/>
      <c r="L60" s="5"/>
      <c r="M60" s="5"/>
      <c r="N60" s="5"/>
    </row>
    <row r="61" spans="1:14">
      <c r="A61" s="5"/>
      <c r="C61" s="5"/>
      <c r="D61" s="5"/>
      <c r="F61" s="5"/>
      <c r="H61" s="3"/>
      <c r="I61" s="5"/>
      <c r="J61" s="5"/>
      <c r="K61" s="5"/>
      <c r="L61" s="5"/>
      <c r="M61" s="5"/>
      <c r="N61" s="5"/>
    </row>
    <row r="62" spans="1:14">
      <c r="A62" s="5"/>
      <c r="F62" s="5"/>
      <c r="H62" s="3"/>
      <c r="I62" s="5"/>
      <c r="J62" s="5"/>
      <c r="K62" s="5"/>
      <c r="L62" s="5"/>
      <c r="M62" s="5"/>
      <c r="N62" s="5"/>
    </row>
    <row r="63" spans="1:14">
      <c r="A63" s="5"/>
      <c r="B63" s="7"/>
      <c r="C63" s="5"/>
      <c r="D63" s="5"/>
      <c r="E63" s="5"/>
      <c r="F63" s="5"/>
      <c r="H63" s="3"/>
      <c r="I63" s="5"/>
      <c r="J63" s="5"/>
      <c r="K63" s="5"/>
      <c r="L63" s="5"/>
      <c r="M63" s="5"/>
      <c r="N63" s="5"/>
    </row>
    <row r="64" spans="1:14">
      <c r="A64" s="5"/>
      <c r="B64" s="5"/>
      <c r="C64" s="5"/>
      <c r="D64" s="5"/>
      <c r="E64" s="5"/>
      <c r="F64" s="5"/>
      <c r="H64" s="3"/>
      <c r="I64" s="5"/>
      <c r="J64" s="5"/>
      <c r="K64" s="5"/>
      <c r="L64" s="5"/>
      <c r="M64" s="5"/>
      <c r="N64" s="5"/>
    </row>
    <row r="65" spans="1:14">
      <c r="A65" s="5"/>
      <c r="B65" s="5"/>
      <c r="C65" s="5"/>
      <c r="D65" s="5"/>
      <c r="E65" s="5"/>
      <c r="F65" s="5"/>
      <c r="G65" s="5"/>
      <c r="H65" s="8"/>
      <c r="I65" s="5"/>
      <c r="J65" s="9"/>
      <c r="K65" s="5"/>
      <c r="L65" s="5"/>
      <c r="M65" s="5"/>
      <c r="N65" s="5"/>
    </row>
    <row r="66" spans="1:14">
      <c r="A66" s="5"/>
      <c r="B66" s="5"/>
      <c r="C66" s="5"/>
      <c r="D66" s="5"/>
      <c r="E66" s="5"/>
      <c r="F66" s="5"/>
      <c r="G66" s="5"/>
      <c r="H66" s="5"/>
      <c r="I66" s="5"/>
      <c r="J66" s="5"/>
      <c r="K66" s="5"/>
      <c r="L66" s="5"/>
      <c r="M66" s="5"/>
      <c r="N66" s="5"/>
    </row>
    <row r="67" spans="1:14">
      <c r="A67" s="5"/>
      <c r="B67" s="5"/>
      <c r="C67" s="5"/>
      <c r="D67" s="5"/>
      <c r="E67" s="5"/>
      <c r="F67" s="5"/>
      <c r="H67" s="5"/>
      <c r="I67" s="5"/>
      <c r="K67" s="5"/>
      <c r="L67" s="5"/>
      <c r="M67" s="5"/>
      <c r="N67" s="5"/>
    </row>
    <row r="68" spans="1:14">
      <c r="A68" s="5"/>
      <c r="B68" s="5"/>
      <c r="C68" s="5"/>
      <c r="D68" s="5"/>
      <c r="E68" s="5"/>
      <c r="F68" s="5"/>
      <c r="H68" s="5"/>
      <c r="I68" s="5"/>
      <c r="K68" s="5"/>
      <c r="L68" s="5"/>
      <c r="M68" s="5"/>
      <c r="N68" s="5"/>
    </row>
    <row r="69" spans="1:14">
      <c r="A69" s="5"/>
      <c r="B69" s="5"/>
      <c r="C69" s="5"/>
      <c r="D69" s="5"/>
      <c r="E69" s="5"/>
      <c r="F69" s="5"/>
      <c r="H69" s="5"/>
      <c r="I69" s="5"/>
      <c r="K69" s="5"/>
      <c r="L69" s="5"/>
      <c r="M69" s="5"/>
      <c r="N69" s="5"/>
    </row>
    <row r="70" spans="1:14">
      <c r="A70" s="5"/>
      <c r="B70" s="5"/>
      <c r="C70" s="5"/>
      <c r="D70" s="5"/>
      <c r="E70" s="5"/>
      <c r="F70" s="5"/>
      <c r="H70" s="5"/>
      <c r="I70" s="5"/>
      <c r="K70" s="5"/>
      <c r="L70" s="5"/>
      <c r="M70" s="5"/>
      <c r="N70" s="5"/>
    </row>
    <row r="71" spans="1:14">
      <c r="A71" s="5"/>
      <c r="C71" s="5"/>
      <c r="D71" s="5"/>
      <c r="E71" s="5"/>
      <c r="F71" s="5"/>
      <c r="H71" s="5"/>
      <c r="I71" s="5"/>
      <c r="K71" s="5"/>
      <c r="L71" s="5"/>
      <c r="M71" s="5"/>
      <c r="N71" s="5"/>
    </row>
    <row r="72" spans="1:14">
      <c r="A72" s="5"/>
      <c r="F72" s="5"/>
      <c r="H72" s="5"/>
      <c r="I72" s="5"/>
      <c r="K72" s="5"/>
      <c r="L72" s="5"/>
      <c r="M72" s="5"/>
      <c r="N72" s="5"/>
    </row>
    <row r="73" spans="1:14">
      <c r="B73" s="7"/>
      <c r="C73" s="5"/>
      <c r="D73" s="5"/>
      <c r="H73" s="5"/>
      <c r="I73" s="5"/>
    </row>
    <row r="74" spans="1:14">
      <c r="B74" s="5"/>
      <c r="C74" s="3"/>
      <c r="D74" s="5"/>
      <c r="E74" s="5"/>
      <c r="H74" s="5"/>
      <c r="I74" s="5"/>
    </row>
  </sheetData>
  <conditionalFormatting sqref="D1:D21 I3:I17 I20:I39 D23:D61 I41:I56 I58:I74 D63:D71 D73:D74 D104:D1032">
    <cfRule type="containsText" dxfId="1" priority="1" operator="containsText" text="Yes">
      <formula>NOT(ISERROR(SEARCH(("Yes"),(D1))))</formula>
    </cfRule>
  </conditionalFormatting>
  <conditionalFormatting sqref="I4:I17 D4:D21 I20:I39 D23:D61 I41:I56 I58:I74 D63:D71 D73:D74">
    <cfRule type="containsText" dxfId="0" priority="2" operator="containsText" text="No">
      <formula>NOT(ISERROR(SEARCH(("No"),(D4))))</formula>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B884E-FB6C-4A62-80E1-F2B6D67EAB1F}">
  <dimension ref="A1:X166"/>
  <sheetViews>
    <sheetView topLeftCell="A3" zoomScale="90" zoomScaleNormal="90" workbookViewId="0">
      <selection activeCell="A4" sqref="A4:A66"/>
    </sheetView>
  </sheetViews>
  <sheetFormatPr baseColWidth="10" defaultColWidth="11.42578125" defaultRowHeight="15"/>
  <cols>
    <col min="1" max="1" width="36.85546875" style="14" customWidth="1"/>
    <col min="2" max="2" width="36.85546875" customWidth="1"/>
    <col min="3" max="3" width="43.7109375" customWidth="1"/>
    <col min="4" max="5" width="36.85546875" customWidth="1"/>
  </cols>
  <sheetData>
    <row r="1" spans="1:24">
      <c r="A1" s="270"/>
      <c r="B1" s="249"/>
      <c r="C1" s="249"/>
      <c r="D1" s="249"/>
      <c r="E1" s="249"/>
      <c r="F1" s="249"/>
      <c r="G1" s="249"/>
      <c r="H1" s="249"/>
      <c r="I1" s="249"/>
      <c r="J1" s="249"/>
      <c r="K1" s="249"/>
      <c r="L1" s="249"/>
      <c r="M1" s="249"/>
      <c r="N1" s="249"/>
      <c r="O1" s="249"/>
      <c r="P1" s="249"/>
      <c r="Q1" s="249"/>
      <c r="R1" s="249"/>
      <c r="S1" s="249"/>
      <c r="T1" s="249"/>
      <c r="U1" s="249"/>
      <c r="V1" s="249"/>
      <c r="W1" s="249"/>
      <c r="X1" s="249"/>
    </row>
    <row r="2" spans="1:24">
      <c r="A2" s="271" t="s">
        <v>914</v>
      </c>
      <c r="B2" s="249"/>
      <c r="C2" s="249"/>
      <c r="D2" s="249"/>
      <c r="E2" s="249"/>
      <c r="F2" s="249"/>
      <c r="G2" s="249"/>
      <c r="H2" s="249"/>
      <c r="I2" s="249"/>
      <c r="J2" s="249"/>
      <c r="K2" s="249"/>
      <c r="L2" s="249"/>
      <c r="M2" s="249"/>
      <c r="N2" s="249"/>
      <c r="O2" s="249"/>
      <c r="P2" s="249"/>
      <c r="Q2" s="249"/>
      <c r="R2" s="249"/>
      <c r="S2" s="249"/>
      <c r="T2" s="249"/>
      <c r="U2" s="249"/>
      <c r="V2" s="249"/>
      <c r="W2" s="249"/>
      <c r="X2" s="249"/>
    </row>
    <row r="3" spans="1:24">
      <c r="A3" s="280" t="s">
        <v>915</v>
      </c>
      <c r="B3" s="281" t="s">
        <v>916</v>
      </c>
      <c r="C3" s="281" t="s">
        <v>917</v>
      </c>
      <c r="D3" s="281" t="s">
        <v>918</v>
      </c>
      <c r="E3" s="250" t="s">
        <v>919</v>
      </c>
      <c r="F3" s="249"/>
      <c r="G3" s="251"/>
      <c r="H3" s="252"/>
      <c r="I3" s="252"/>
      <c r="J3" s="249"/>
      <c r="K3" s="251"/>
      <c r="L3" s="251"/>
      <c r="M3" s="249"/>
      <c r="N3" s="251"/>
      <c r="O3" s="251"/>
      <c r="P3" s="249"/>
      <c r="Q3" s="251"/>
      <c r="R3" s="251"/>
      <c r="S3" s="249"/>
      <c r="T3" s="251"/>
      <c r="U3" s="251"/>
      <c r="V3" s="249"/>
      <c r="W3" s="251"/>
      <c r="X3" s="251"/>
    </row>
    <row r="4" spans="1:24">
      <c r="A4" s="342" t="s">
        <v>868</v>
      </c>
      <c r="B4" s="253" t="s">
        <v>920</v>
      </c>
      <c r="C4" s="254" t="s">
        <v>921</v>
      </c>
      <c r="D4" s="254" t="s">
        <v>922</v>
      </c>
      <c r="E4" s="255" t="s">
        <v>210</v>
      </c>
      <c r="F4" s="249"/>
      <c r="G4" s="249"/>
      <c r="H4" s="249"/>
      <c r="I4" s="249"/>
      <c r="J4" s="249"/>
      <c r="K4" s="249"/>
      <c r="L4" s="249"/>
      <c r="M4" s="249"/>
      <c r="N4" s="249"/>
      <c r="O4" s="249"/>
      <c r="P4" s="249"/>
      <c r="Q4" s="249"/>
      <c r="R4" s="249"/>
      <c r="S4" s="249"/>
      <c r="T4" s="249"/>
      <c r="U4" s="249"/>
      <c r="V4" s="249"/>
      <c r="W4" s="249"/>
      <c r="X4" s="249"/>
    </row>
    <row r="5" spans="1:24" ht="30.75" customHeight="1">
      <c r="A5" s="342"/>
      <c r="B5" s="256" t="s">
        <v>923</v>
      </c>
      <c r="C5" s="257" t="s">
        <v>923</v>
      </c>
      <c r="D5" s="257" t="s">
        <v>924</v>
      </c>
      <c r="E5" s="255" t="s">
        <v>448</v>
      </c>
      <c r="F5" s="249"/>
      <c r="G5" s="249"/>
      <c r="H5" s="249"/>
      <c r="I5" s="249"/>
      <c r="J5" s="249"/>
      <c r="K5" s="249"/>
      <c r="L5" s="249"/>
      <c r="M5" s="249"/>
      <c r="N5" s="249"/>
      <c r="O5" s="249"/>
      <c r="P5" s="249"/>
      <c r="Q5" s="249"/>
      <c r="R5" s="249"/>
      <c r="S5" s="249"/>
      <c r="T5" s="249"/>
      <c r="U5" s="249"/>
      <c r="V5" s="249"/>
      <c r="W5" s="249"/>
      <c r="X5" s="249"/>
    </row>
    <row r="6" spans="1:24">
      <c r="A6" s="342"/>
      <c r="B6" s="253" t="s">
        <v>925</v>
      </c>
      <c r="C6" s="254" t="s">
        <v>926</v>
      </c>
      <c r="D6" s="254" t="s">
        <v>927</v>
      </c>
      <c r="E6" s="255" t="s">
        <v>166</v>
      </c>
      <c r="F6" s="249"/>
      <c r="G6" s="249"/>
      <c r="H6" s="249"/>
      <c r="I6" s="249"/>
      <c r="J6" s="249"/>
      <c r="K6" s="249"/>
      <c r="L6" s="249"/>
      <c r="M6" s="249"/>
      <c r="N6" s="249"/>
      <c r="O6" s="249"/>
      <c r="P6" s="249"/>
      <c r="Q6" s="249"/>
      <c r="R6" s="249"/>
      <c r="S6" s="249"/>
      <c r="T6" s="249"/>
      <c r="U6" s="249"/>
      <c r="V6" s="249"/>
      <c r="W6" s="249"/>
      <c r="X6" s="249"/>
    </row>
    <row r="7" spans="1:24">
      <c r="A7" s="342"/>
      <c r="B7" s="256" t="s">
        <v>928</v>
      </c>
      <c r="C7" s="257" t="s">
        <v>929</v>
      </c>
      <c r="D7" s="257" t="s">
        <v>930</v>
      </c>
      <c r="E7" s="255" t="s">
        <v>725</v>
      </c>
      <c r="F7" s="249"/>
      <c r="G7" s="249"/>
      <c r="H7" s="249"/>
      <c r="I7" s="249"/>
      <c r="J7" s="249"/>
      <c r="K7" s="249"/>
      <c r="L7" s="249"/>
      <c r="M7" s="249"/>
      <c r="N7" s="249"/>
      <c r="O7" s="249"/>
      <c r="P7" s="249"/>
      <c r="Q7" s="249"/>
      <c r="R7" s="249"/>
      <c r="S7" s="249"/>
      <c r="T7" s="249"/>
      <c r="U7" s="249"/>
      <c r="V7" s="249"/>
      <c r="W7" s="249"/>
      <c r="X7" s="249"/>
    </row>
    <row r="8" spans="1:24">
      <c r="A8" s="342"/>
      <c r="B8" s="253" t="s">
        <v>931</v>
      </c>
      <c r="C8" s="254" t="s">
        <v>932</v>
      </c>
      <c r="D8" s="254" t="s">
        <v>933</v>
      </c>
      <c r="E8" s="255" t="s">
        <v>933</v>
      </c>
      <c r="F8" s="249"/>
      <c r="G8" s="249"/>
      <c r="H8" s="249"/>
      <c r="I8" s="249"/>
      <c r="J8" s="249"/>
      <c r="K8" s="249"/>
      <c r="L8" s="249"/>
      <c r="M8" s="249"/>
      <c r="N8" s="249"/>
      <c r="O8" s="249"/>
      <c r="P8" s="249"/>
      <c r="Q8" s="249"/>
      <c r="R8" s="249"/>
      <c r="S8" s="249"/>
      <c r="T8" s="249"/>
      <c r="U8" s="249"/>
      <c r="V8" s="249"/>
      <c r="W8" s="249"/>
      <c r="X8" s="249"/>
    </row>
    <row r="9" spans="1:24">
      <c r="A9" s="342"/>
      <c r="B9" s="337" t="s">
        <v>934</v>
      </c>
      <c r="C9" s="339" t="s">
        <v>935</v>
      </c>
      <c r="D9" s="249" t="s">
        <v>936</v>
      </c>
      <c r="E9" s="258" t="s">
        <v>64</v>
      </c>
      <c r="F9" s="249"/>
      <c r="G9" s="249"/>
      <c r="H9" s="249"/>
      <c r="I9" s="249"/>
      <c r="J9" s="249"/>
      <c r="K9" s="249"/>
      <c r="L9" s="249"/>
      <c r="M9" s="249"/>
      <c r="N9" s="249"/>
      <c r="O9" s="249"/>
      <c r="P9" s="249"/>
      <c r="Q9" s="249"/>
      <c r="R9" s="249"/>
      <c r="S9" s="249"/>
      <c r="T9" s="249"/>
      <c r="U9" s="249"/>
      <c r="V9" s="249"/>
      <c r="W9" s="249"/>
      <c r="X9" s="249"/>
    </row>
    <row r="10" spans="1:24">
      <c r="A10" s="342"/>
      <c r="B10" s="338"/>
      <c r="C10" s="340"/>
      <c r="D10" s="254" t="s">
        <v>937</v>
      </c>
      <c r="E10" s="255" t="s">
        <v>67</v>
      </c>
      <c r="F10" s="249"/>
      <c r="G10" s="249"/>
      <c r="H10" s="249"/>
      <c r="I10" s="249"/>
      <c r="J10" s="249"/>
      <c r="K10" s="249"/>
      <c r="L10" s="249"/>
      <c r="M10" s="249"/>
      <c r="N10" s="249"/>
      <c r="O10" s="249"/>
      <c r="P10" s="249"/>
      <c r="Q10" s="249"/>
      <c r="R10" s="249"/>
      <c r="S10" s="249"/>
      <c r="T10" s="249"/>
      <c r="U10" s="249"/>
      <c r="V10" s="249"/>
      <c r="W10" s="249"/>
      <c r="X10" s="249"/>
    </row>
    <row r="11" spans="1:24">
      <c r="A11" s="342"/>
      <c r="B11" s="278" t="s">
        <v>938</v>
      </c>
      <c r="C11" s="279" t="s">
        <v>939</v>
      </c>
      <c r="D11" s="254" t="s">
        <v>940</v>
      </c>
      <c r="E11" s="255" t="s">
        <v>249</v>
      </c>
      <c r="F11" s="249"/>
      <c r="G11" s="249"/>
      <c r="H11" s="249"/>
      <c r="I11" s="249"/>
      <c r="J11" s="249"/>
      <c r="K11" s="249"/>
      <c r="L11" s="249"/>
      <c r="M11" s="249"/>
      <c r="N11" s="249"/>
      <c r="O11" s="249"/>
      <c r="P11" s="249"/>
      <c r="Q11" s="249"/>
      <c r="R11" s="249"/>
      <c r="S11" s="249"/>
      <c r="T11" s="249"/>
      <c r="U11" s="249"/>
      <c r="V11" s="249"/>
      <c r="W11" s="249"/>
      <c r="X11" s="249"/>
    </row>
    <row r="12" spans="1:24">
      <c r="A12" s="342"/>
      <c r="B12" s="253" t="s">
        <v>941</v>
      </c>
      <c r="C12" s="254" t="s">
        <v>942</v>
      </c>
      <c r="D12" s="254" t="s">
        <v>943</v>
      </c>
      <c r="E12" s="255" t="s">
        <v>82</v>
      </c>
      <c r="F12" s="249"/>
      <c r="G12" s="249"/>
      <c r="H12" s="249"/>
      <c r="I12" s="249"/>
      <c r="J12" s="249"/>
      <c r="K12" s="249"/>
      <c r="L12" s="249"/>
      <c r="M12" s="249"/>
      <c r="N12" s="249"/>
      <c r="O12" s="249"/>
      <c r="P12" s="249"/>
      <c r="Q12" s="249"/>
      <c r="R12" s="249"/>
      <c r="S12" s="249"/>
      <c r="T12" s="249"/>
      <c r="U12" s="249"/>
      <c r="V12" s="249"/>
      <c r="W12" s="249"/>
      <c r="X12" s="249"/>
    </row>
    <row r="13" spans="1:24">
      <c r="A13" s="342"/>
      <c r="B13" s="337" t="s">
        <v>944</v>
      </c>
      <c r="C13" s="339" t="s">
        <v>945</v>
      </c>
      <c r="D13" s="249" t="s">
        <v>946</v>
      </c>
      <c r="E13" s="258" t="s">
        <v>81</v>
      </c>
      <c r="F13" s="249"/>
      <c r="G13" s="249"/>
      <c r="H13" s="249"/>
      <c r="I13" s="249"/>
      <c r="J13" s="249"/>
      <c r="K13" s="249"/>
      <c r="L13" s="249"/>
      <c r="M13" s="249"/>
      <c r="N13" s="249"/>
      <c r="O13" s="249"/>
      <c r="P13" s="249"/>
      <c r="Q13" s="249"/>
      <c r="R13" s="249"/>
      <c r="S13" s="249"/>
      <c r="T13" s="249"/>
      <c r="U13" s="249"/>
      <c r="V13" s="249"/>
      <c r="W13" s="249"/>
      <c r="X13" s="249"/>
    </row>
    <row r="14" spans="1:24">
      <c r="A14" s="342"/>
      <c r="B14" s="337"/>
      <c r="C14" s="339"/>
      <c r="D14" s="249" t="s">
        <v>947</v>
      </c>
      <c r="E14" s="258" t="s">
        <v>174</v>
      </c>
      <c r="F14" s="249"/>
      <c r="G14" s="249"/>
      <c r="H14" s="249"/>
      <c r="I14" s="249"/>
      <c r="J14" s="249"/>
      <c r="K14" s="249"/>
      <c r="L14" s="249"/>
      <c r="M14" s="249"/>
      <c r="N14" s="249"/>
      <c r="O14" s="249"/>
      <c r="P14" s="249"/>
      <c r="Q14" s="249"/>
      <c r="R14" s="249"/>
      <c r="S14" s="249"/>
      <c r="T14" s="249"/>
      <c r="U14" s="249"/>
      <c r="V14" s="249"/>
      <c r="W14" s="249"/>
      <c r="X14" s="249"/>
    </row>
    <row r="15" spans="1:24">
      <c r="A15" s="342"/>
      <c r="B15" s="338"/>
      <c r="C15" s="340"/>
      <c r="D15" s="254" t="s">
        <v>948</v>
      </c>
      <c r="E15" s="255" t="s">
        <v>175</v>
      </c>
      <c r="F15" s="249"/>
      <c r="G15" s="249"/>
      <c r="H15" s="249"/>
      <c r="I15" s="249"/>
      <c r="J15" s="249"/>
      <c r="K15" s="249"/>
      <c r="L15" s="249"/>
      <c r="M15" s="249"/>
      <c r="N15" s="249"/>
      <c r="O15" s="249"/>
      <c r="P15" s="249"/>
      <c r="Q15" s="249"/>
      <c r="R15" s="249"/>
      <c r="S15" s="249"/>
      <c r="T15" s="249"/>
      <c r="U15" s="249"/>
      <c r="V15" s="249"/>
      <c r="W15" s="249"/>
      <c r="X15" s="249"/>
    </row>
    <row r="16" spans="1:24">
      <c r="A16" s="342"/>
      <c r="B16" s="253" t="s">
        <v>949</v>
      </c>
      <c r="C16" s="254" t="s">
        <v>949</v>
      </c>
      <c r="D16" s="254" t="s">
        <v>950</v>
      </c>
      <c r="E16" s="255" t="s">
        <v>313</v>
      </c>
      <c r="F16" s="249"/>
      <c r="G16" s="249"/>
      <c r="H16" s="249"/>
      <c r="I16" s="249"/>
      <c r="J16" s="249"/>
      <c r="K16" s="249"/>
      <c r="L16" s="249"/>
      <c r="M16" s="249"/>
      <c r="N16" s="249"/>
      <c r="O16" s="249"/>
      <c r="P16" s="249"/>
      <c r="Q16" s="249"/>
      <c r="R16" s="249"/>
      <c r="S16" s="249"/>
      <c r="T16" s="249"/>
      <c r="U16" s="249"/>
      <c r="V16" s="249"/>
      <c r="W16" s="249"/>
      <c r="X16" s="249"/>
    </row>
    <row r="17" spans="1:24">
      <c r="A17" s="342"/>
      <c r="B17" s="348" t="s">
        <v>951</v>
      </c>
      <c r="C17" s="346" t="s">
        <v>952</v>
      </c>
      <c r="D17" s="259" t="s">
        <v>953</v>
      </c>
      <c r="E17" s="260" t="s">
        <v>954</v>
      </c>
      <c r="F17" s="249"/>
      <c r="G17" s="249"/>
      <c r="H17" s="249"/>
      <c r="I17" s="249"/>
      <c r="J17" s="249"/>
      <c r="K17" s="249"/>
      <c r="L17" s="249"/>
      <c r="M17" s="249"/>
      <c r="N17" s="249"/>
      <c r="O17" s="249"/>
      <c r="P17" s="249"/>
      <c r="Q17" s="249"/>
      <c r="R17" s="249"/>
      <c r="S17" s="249"/>
      <c r="T17" s="249"/>
      <c r="U17" s="249"/>
      <c r="V17" s="249"/>
      <c r="W17" s="249"/>
      <c r="X17" s="249"/>
    </row>
    <row r="18" spans="1:24">
      <c r="A18" s="342"/>
      <c r="B18" s="349"/>
      <c r="C18" s="347"/>
      <c r="D18" s="257" t="s">
        <v>955</v>
      </c>
      <c r="E18" s="261" t="s">
        <v>956</v>
      </c>
      <c r="F18" s="249"/>
      <c r="G18" s="249"/>
      <c r="H18" s="249"/>
      <c r="I18" s="249"/>
      <c r="J18" s="249"/>
      <c r="K18" s="249"/>
      <c r="L18" s="249"/>
      <c r="M18" s="249"/>
      <c r="N18" s="249"/>
      <c r="O18" s="249"/>
      <c r="P18" s="249"/>
      <c r="Q18" s="249"/>
      <c r="R18" s="249"/>
      <c r="S18" s="249"/>
      <c r="T18" s="249"/>
      <c r="U18" s="249"/>
      <c r="V18" s="249"/>
      <c r="W18" s="249"/>
      <c r="X18" s="249"/>
    </row>
    <row r="19" spans="1:24">
      <c r="A19" s="342"/>
      <c r="B19" s="256" t="s">
        <v>957</v>
      </c>
      <c r="C19" s="257" t="s">
        <v>958</v>
      </c>
      <c r="D19" s="257" t="s">
        <v>959</v>
      </c>
      <c r="E19" s="255" t="s">
        <v>960</v>
      </c>
      <c r="F19" s="249"/>
      <c r="G19" s="249"/>
      <c r="H19" s="249"/>
      <c r="I19" s="249"/>
      <c r="J19" s="249"/>
      <c r="K19" s="249"/>
      <c r="L19" s="249"/>
      <c r="M19" s="249"/>
      <c r="N19" s="249"/>
      <c r="O19" s="249"/>
      <c r="P19" s="249"/>
      <c r="Q19" s="249"/>
      <c r="R19" s="249"/>
      <c r="S19" s="249"/>
      <c r="T19" s="249"/>
      <c r="U19" s="249"/>
      <c r="V19" s="249"/>
      <c r="W19" s="249"/>
      <c r="X19" s="249"/>
    </row>
    <row r="20" spans="1:24">
      <c r="A20" s="342"/>
      <c r="B20" s="337" t="s">
        <v>961</v>
      </c>
      <c r="C20" s="339" t="s">
        <v>962</v>
      </c>
      <c r="D20" s="249" t="s">
        <v>83</v>
      </c>
      <c r="E20" s="258" t="s">
        <v>83</v>
      </c>
      <c r="F20" s="249"/>
      <c r="G20" s="249"/>
      <c r="H20" s="249"/>
      <c r="I20" s="249"/>
      <c r="J20" s="249"/>
      <c r="K20" s="249"/>
      <c r="L20" s="249"/>
      <c r="M20" s="249"/>
      <c r="N20" s="249"/>
      <c r="O20" s="249"/>
      <c r="P20" s="249"/>
      <c r="Q20" s="249"/>
      <c r="R20" s="249"/>
      <c r="S20" s="249"/>
      <c r="T20" s="249"/>
      <c r="U20" s="249"/>
      <c r="V20" s="249"/>
      <c r="W20" s="249"/>
      <c r="X20" s="249"/>
    </row>
    <row r="21" spans="1:24">
      <c r="A21" s="342"/>
      <c r="B21" s="337"/>
      <c r="C21" s="339"/>
      <c r="D21" s="249" t="s">
        <v>963</v>
      </c>
      <c r="E21" s="258" t="s">
        <v>307</v>
      </c>
      <c r="F21" s="249"/>
      <c r="G21" s="249"/>
      <c r="H21" s="249"/>
      <c r="I21" s="249"/>
      <c r="J21" s="249"/>
      <c r="K21" s="249"/>
      <c r="L21" s="249"/>
      <c r="M21" s="249"/>
      <c r="N21" s="249"/>
      <c r="O21" s="249"/>
      <c r="P21" s="249"/>
      <c r="Q21" s="249"/>
      <c r="R21" s="249"/>
      <c r="S21" s="249"/>
      <c r="T21" s="249"/>
      <c r="U21" s="249"/>
      <c r="V21" s="249"/>
      <c r="W21" s="249"/>
      <c r="X21" s="249"/>
    </row>
    <row r="22" spans="1:24">
      <c r="A22" s="342"/>
      <c r="B22" s="338"/>
      <c r="C22" s="340"/>
      <c r="D22" s="254" t="s">
        <v>964</v>
      </c>
      <c r="E22" s="255" t="s">
        <v>368</v>
      </c>
      <c r="F22" s="249"/>
      <c r="G22" s="249"/>
      <c r="H22" s="249"/>
      <c r="I22" s="249"/>
      <c r="J22" s="249"/>
      <c r="K22" s="249"/>
      <c r="L22" s="249"/>
      <c r="M22" s="249"/>
      <c r="N22" s="249"/>
      <c r="O22" s="249"/>
      <c r="P22" s="249"/>
      <c r="Q22" s="249"/>
      <c r="R22" s="249"/>
      <c r="S22" s="249"/>
      <c r="T22" s="249"/>
      <c r="U22" s="249"/>
      <c r="V22" s="249"/>
      <c r="W22" s="249"/>
      <c r="X22" s="249"/>
    </row>
    <row r="23" spans="1:24">
      <c r="A23" s="342"/>
      <c r="B23" s="253" t="s">
        <v>626</v>
      </c>
      <c r="C23" s="254" t="s">
        <v>965</v>
      </c>
      <c r="D23" s="254" t="s">
        <v>966</v>
      </c>
      <c r="E23" s="255" t="s">
        <v>626</v>
      </c>
      <c r="F23" s="249"/>
      <c r="G23" s="249"/>
      <c r="H23" s="249"/>
      <c r="I23" s="249"/>
      <c r="J23" s="249"/>
      <c r="K23" s="249"/>
      <c r="L23" s="249"/>
      <c r="M23" s="249"/>
      <c r="N23" s="249"/>
      <c r="O23" s="249"/>
      <c r="P23" s="249"/>
      <c r="Q23" s="249"/>
      <c r="R23" s="249"/>
      <c r="S23" s="249"/>
      <c r="T23" s="249"/>
      <c r="U23" s="249"/>
      <c r="V23" s="249"/>
      <c r="W23" s="249"/>
      <c r="X23" s="249"/>
    </row>
    <row r="24" spans="1:24" ht="30.75" customHeight="1">
      <c r="A24" s="342"/>
      <c r="B24" s="256" t="s">
        <v>967</v>
      </c>
      <c r="C24" s="257" t="s">
        <v>968</v>
      </c>
      <c r="D24" s="254" t="s">
        <v>967</v>
      </c>
      <c r="E24" s="255" t="s">
        <v>967</v>
      </c>
      <c r="F24" s="249"/>
      <c r="G24" s="249"/>
      <c r="H24" s="249"/>
      <c r="I24" s="249"/>
      <c r="J24" s="249"/>
      <c r="K24" s="249"/>
      <c r="L24" s="249"/>
      <c r="M24" s="249"/>
      <c r="N24" s="249"/>
      <c r="O24" s="249"/>
      <c r="P24" s="249"/>
      <c r="Q24" s="249"/>
      <c r="R24" s="249"/>
      <c r="S24" s="249"/>
      <c r="T24" s="249"/>
      <c r="U24" s="249"/>
      <c r="V24" s="249"/>
      <c r="W24" s="249"/>
      <c r="X24" s="249"/>
    </row>
    <row r="25" spans="1:24">
      <c r="A25" s="342"/>
      <c r="B25" s="256" t="s">
        <v>967</v>
      </c>
      <c r="C25" s="257" t="s">
        <v>967</v>
      </c>
      <c r="D25" s="257" t="s">
        <v>969</v>
      </c>
      <c r="E25" s="261" t="s">
        <v>967</v>
      </c>
      <c r="F25" s="249"/>
      <c r="G25" s="249"/>
      <c r="H25" s="249"/>
      <c r="I25" s="249"/>
      <c r="J25" s="249"/>
      <c r="K25" s="249"/>
      <c r="L25" s="249"/>
      <c r="M25" s="249"/>
      <c r="N25" s="249"/>
      <c r="O25" s="249"/>
      <c r="P25" s="249"/>
      <c r="Q25" s="249"/>
      <c r="R25" s="249"/>
      <c r="S25" s="249"/>
      <c r="T25" s="249"/>
      <c r="U25" s="249"/>
      <c r="V25" s="249"/>
      <c r="W25" s="249"/>
      <c r="X25" s="249"/>
    </row>
    <row r="26" spans="1:24" s="22" customFormat="1">
      <c r="A26" s="342"/>
      <c r="B26" s="253" t="s">
        <v>149</v>
      </c>
      <c r="C26" s="254" t="s">
        <v>970</v>
      </c>
      <c r="D26" s="254" t="s">
        <v>971</v>
      </c>
      <c r="E26" s="255" t="s">
        <v>149</v>
      </c>
      <c r="F26" s="249"/>
      <c r="G26" s="249"/>
      <c r="H26" s="249"/>
      <c r="I26" s="249"/>
      <c r="J26" s="249"/>
      <c r="K26" s="249"/>
      <c r="L26" s="249"/>
      <c r="M26" s="249"/>
      <c r="N26" s="249"/>
      <c r="O26" s="249"/>
      <c r="P26" s="249"/>
      <c r="Q26" s="249"/>
      <c r="R26" s="249"/>
      <c r="S26" s="249"/>
      <c r="T26" s="249"/>
      <c r="U26" s="249"/>
      <c r="V26" s="249"/>
      <c r="W26" s="249"/>
      <c r="X26" s="249"/>
    </row>
    <row r="27" spans="1:24" s="22" customFormat="1">
      <c r="A27" s="342"/>
      <c r="B27" s="253" t="s">
        <v>972</v>
      </c>
      <c r="C27" s="254" t="s">
        <v>972</v>
      </c>
      <c r="D27" s="254" t="s">
        <v>973</v>
      </c>
      <c r="E27" s="255" t="s">
        <v>188</v>
      </c>
      <c r="F27" s="249"/>
      <c r="G27" s="249"/>
      <c r="H27" s="249"/>
      <c r="I27" s="249"/>
      <c r="J27" s="249"/>
      <c r="K27" s="249"/>
      <c r="L27" s="249"/>
      <c r="M27" s="249"/>
      <c r="N27" s="249"/>
      <c r="O27" s="249"/>
      <c r="P27" s="249"/>
      <c r="Q27" s="249"/>
      <c r="R27" s="249"/>
      <c r="S27" s="249"/>
      <c r="T27" s="249"/>
      <c r="U27" s="249"/>
      <c r="V27" s="249"/>
      <c r="W27" s="249"/>
      <c r="X27" s="249"/>
    </row>
    <row r="28" spans="1:24" s="22" customFormat="1">
      <c r="A28" s="342"/>
      <c r="B28" s="337" t="s">
        <v>974</v>
      </c>
      <c r="C28" s="249" t="s">
        <v>975</v>
      </c>
      <c r="D28" s="249" t="s">
        <v>976</v>
      </c>
      <c r="E28" s="258" t="s">
        <v>85</v>
      </c>
      <c r="F28" s="249"/>
      <c r="G28" s="249"/>
      <c r="H28" s="249"/>
      <c r="I28" s="252"/>
      <c r="J28" s="249"/>
      <c r="K28" s="249"/>
      <c r="L28" s="249"/>
      <c r="M28" s="249"/>
      <c r="N28" s="249"/>
      <c r="O28" s="249"/>
      <c r="P28" s="249"/>
      <c r="Q28" s="249"/>
      <c r="R28" s="249"/>
      <c r="S28" s="249"/>
      <c r="T28" s="249"/>
      <c r="U28" s="249"/>
      <c r="V28" s="249"/>
      <c r="W28" s="249"/>
      <c r="X28" s="249"/>
    </row>
    <row r="29" spans="1:24" s="22" customFormat="1">
      <c r="A29" s="342"/>
      <c r="B29" s="338"/>
      <c r="C29" s="254" t="s">
        <v>977</v>
      </c>
      <c r="D29" s="254" t="s">
        <v>978</v>
      </c>
      <c r="E29" s="255" t="s">
        <v>84</v>
      </c>
      <c r="F29" s="249"/>
      <c r="G29" s="249"/>
      <c r="H29" s="249"/>
      <c r="I29" s="252"/>
      <c r="J29" s="249"/>
      <c r="K29" s="249"/>
      <c r="L29" s="249"/>
      <c r="M29" s="249"/>
      <c r="N29" s="249"/>
      <c r="O29" s="249"/>
      <c r="P29" s="249"/>
      <c r="Q29" s="249"/>
      <c r="R29" s="249"/>
      <c r="S29" s="249"/>
      <c r="T29" s="249"/>
      <c r="U29" s="249"/>
      <c r="V29" s="249"/>
      <c r="W29" s="249"/>
      <c r="X29" s="249"/>
    </row>
    <row r="30" spans="1:24" s="22" customFormat="1">
      <c r="A30" s="342"/>
      <c r="B30" s="348" t="s">
        <v>979</v>
      </c>
      <c r="C30" s="346" t="s">
        <v>979</v>
      </c>
      <c r="D30" s="249" t="s">
        <v>980</v>
      </c>
      <c r="E30" s="258" t="s">
        <v>981</v>
      </c>
      <c r="F30" s="249"/>
      <c r="G30" s="249"/>
      <c r="H30" s="249"/>
      <c r="I30" s="252"/>
      <c r="J30" s="249"/>
      <c r="K30" s="249"/>
      <c r="L30" s="249"/>
      <c r="M30" s="249"/>
      <c r="N30" s="249"/>
      <c r="O30" s="249"/>
      <c r="P30" s="249"/>
      <c r="Q30" s="249"/>
      <c r="R30" s="249"/>
      <c r="S30" s="249"/>
      <c r="T30" s="249"/>
      <c r="U30" s="249"/>
      <c r="V30" s="249"/>
      <c r="W30" s="249"/>
      <c r="X30" s="249"/>
    </row>
    <row r="31" spans="1:24" s="22" customFormat="1" ht="30.75" customHeight="1">
      <c r="A31" s="342"/>
      <c r="B31" s="349"/>
      <c r="C31" s="347"/>
      <c r="D31" s="257" t="s">
        <v>982</v>
      </c>
      <c r="E31" s="261" t="s">
        <v>983</v>
      </c>
      <c r="F31" s="249"/>
      <c r="G31" s="249"/>
      <c r="H31" s="249"/>
      <c r="I31" s="252"/>
      <c r="J31" s="249"/>
      <c r="K31" s="249"/>
      <c r="L31" s="249"/>
      <c r="M31" s="249"/>
      <c r="N31" s="249"/>
      <c r="O31" s="249"/>
      <c r="P31" s="249"/>
      <c r="Q31" s="249"/>
      <c r="R31" s="249"/>
      <c r="S31" s="249"/>
      <c r="T31" s="249"/>
      <c r="U31" s="249"/>
      <c r="V31" s="249"/>
      <c r="W31" s="249"/>
      <c r="X31" s="249"/>
    </row>
    <row r="32" spans="1:24" s="22" customFormat="1">
      <c r="A32" s="342"/>
      <c r="B32" s="337" t="s">
        <v>984</v>
      </c>
      <c r="C32" s="249" t="s">
        <v>985</v>
      </c>
      <c r="D32" s="249" t="s">
        <v>986</v>
      </c>
      <c r="E32" s="258" t="s">
        <v>189</v>
      </c>
      <c r="F32" s="249"/>
      <c r="G32" s="249"/>
      <c r="H32" s="249"/>
      <c r="I32" s="252"/>
      <c r="J32" s="249"/>
      <c r="K32" s="249"/>
      <c r="L32" s="249"/>
      <c r="M32" s="249"/>
      <c r="N32" s="249"/>
      <c r="O32" s="249"/>
      <c r="P32" s="249"/>
      <c r="Q32" s="249"/>
      <c r="R32" s="249"/>
      <c r="S32" s="249"/>
      <c r="T32" s="249"/>
      <c r="U32" s="249"/>
      <c r="V32" s="249"/>
      <c r="W32" s="249"/>
      <c r="X32" s="249"/>
    </row>
    <row r="33" spans="1:24" s="22" customFormat="1">
      <c r="A33" s="342"/>
      <c r="B33" s="337"/>
      <c r="C33" s="249" t="s">
        <v>987</v>
      </c>
      <c r="D33" s="249" t="s">
        <v>988</v>
      </c>
      <c r="E33" s="258" t="s">
        <v>293</v>
      </c>
      <c r="F33" s="249"/>
      <c r="G33" s="249"/>
      <c r="H33" s="249"/>
      <c r="I33" s="252"/>
      <c r="J33" s="249"/>
      <c r="K33" s="249"/>
      <c r="L33" s="249"/>
      <c r="M33" s="249"/>
      <c r="N33" s="249"/>
      <c r="O33" s="249"/>
      <c r="P33" s="249"/>
      <c r="Q33" s="249"/>
      <c r="R33" s="249"/>
      <c r="S33" s="249"/>
      <c r="T33" s="249"/>
      <c r="U33" s="249"/>
      <c r="V33" s="249"/>
      <c r="W33" s="249"/>
      <c r="X33" s="249"/>
    </row>
    <row r="34" spans="1:24" s="22" customFormat="1">
      <c r="A34" s="342"/>
      <c r="B34" s="337"/>
      <c r="C34" s="249" t="s">
        <v>989</v>
      </c>
      <c r="D34" s="249" t="s">
        <v>990</v>
      </c>
      <c r="E34" s="258" t="s">
        <v>299</v>
      </c>
      <c r="F34" s="249"/>
      <c r="G34" s="249"/>
      <c r="H34" s="249"/>
      <c r="I34" s="252"/>
      <c r="J34" s="249"/>
      <c r="K34" s="249"/>
      <c r="L34" s="249"/>
      <c r="M34" s="249"/>
      <c r="N34" s="249"/>
      <c r="O34" s="249"/>
      <c r="P34" s="249"/>
      <c r="Q34" s="249"/>
      <c r="R34" s="249"/>
      <c r="S34" s="249"/>
      <c r="T34" s="249"/>
      <c r="U34" s="249"/>
      <c r="V34" s="249"/>
      <c r="W34" s="249"/>
      <c r="X34" s="249"/>
    </row>
    <row r="35" spans="1:24" s="22" customFormat="1">
      <c r="A35" s="342"/>
      <c r="B35" s="337"/>
      <c r="C35" s="249" t="s">
        <v>991</v>
      </c>
      <c r="D35" s="249" t="s">
        <v>809</v>
      </c>
      <c r="E35" s="258" t="s">
        <v>92</v>
      </c>
      <c r="F35" s="249"/>
      <c r="G35" s="249"/>
      <c r="H35" s="249"/>
      <c r="I35" s="252"/>
      <c r="J35" s="249"/>
      <c r="K35" s="249"/>
      <c r="L35" s="249"/>
      <c r="M35" s="249"/>
      <c r="N35" s="249"/>
      <c r="O35" s="249"/>
      <c r="P35" s="249"/>
      <c r="Q35" s="249"/>
      <c r="R35" s="249"/>
      <c r="S35" s="249"/>
      <c r="T35" s="249"/>
      <c r="U35" s="249"/>
      <c r="V35" s="249"/>
      <c r="W35" s="249"/>
      <c r="X35" s="249"/>
    </row>
    <row r="36" spans="1:24" s="22" customFormat="1">
      <c r="A36" s="342"/>
      <c r="B36" s="338"/>
      <c r="C36" s="254" t="s">
        <v>992</v>
      </c>
      <c r="D36" s="254" t="s">
        <v>810</v>
      </c>
      <c r="E36" s="255" t="s">
        <v>93</v>
      </c>
      <c r="F36" s="249"/>
      <c r="G36" s="249"/>
      <c r="H36" s="249"/>
      <c r="I36" s="252"/>
      <c r="J36" s="249"/>
      <c r="K36" s="249"/>
      <c r="L36" s="249"/>
      <c r="M36" s="249"/>
      <c r="N36" s="249"/>
      <c r="O36" s="249"/>
      <c r="P36" s="249"/>
      <c r="Q36" s="249"/>
      <c r="R36" s="249"/>
      <c r="S36" s="249"/>
      <c r="T36" s="249"/>
      <c r="U36" s="249"/>
      <c r="V36" s="249"/>
      <c r="W36" s="249"/>
      <c r="X36" s="249"/>
    </row>
    <row r="37" spans="1:24" s="22" customFormat="1">
      <c r="A37" s="342"/>
      <c r="B37" s="256" t="s">
        <v>993</v>
      </c>
      <c r="C37" s="257" t="s">
        <v>993</v>
      </c>
      <c r="D37" s="257" t="s">
        <v>994</v>
      </c>
      <c r="E37" s="255" t="s">
        <v>460</v>
      </c>
      <c r="F37" s="249"/>
      <c r="G37" s="249"/>
      <c r="H37" s="249"/>
      <c r="I37" s="252"/>
      <c r="J37" s="249"/>
      <c r="K37" s="249"/>
      <c r="L37" s="249"/>
      <c r="M37" s="249"/>
      <c r="N37" s="249"/>
      <c r="O37" s="249"/>
      <c r="P37" s="249"/>
      <c r="Q37" s="249"/>
      <c r="R37" s="249"/>
      <c r="S37" s="249"/>
      <c r="T37" s="249"/>
      <c r="U37" s="249"/>
      <c r="V37" s="249"/>
      <c r="W37" s="249"/>
      <c r="X37" s="249"/>
    </row>
    <row r="38" spans="1:24" s="22" customFormat="1" ht="30.75" customHeight="1">
      <c r="A38" s="342"/>
      <c r="B38" s="348" t="s">
        <v>995</v>
      </c>
      <c r="C38" s="346" t="s">
        <v>995</v>
      </c>
      <c r="D38" s="249" t="s">
        <v>996</v>
      </c>
      <c r="E38" s="258" t="s">
        <v>245</v>
      </c>
      <c r="F38" s="249"/>
      <c r="G38" s="249"/>
      <c r="H38" s="249"/>
      <c r="I38" s="252"/>
      <c r="J38" s="249"/>
      <c r="K38" s="249"/>
      <c r="L38" s="249"/>
      <c r="M38" s="249"/>
      <c r="N38" s="249"/>
      <c r="O38" s="249"/>
      <c r="P38" s="249"/>
      <c r="Q38" s="249"/>
      <c r="R38" s="249"/>
      <c r="S38" s="249"/>
      <c r="T38" s="249"/>
      <c r="U38" s="249"/>
      <c r="V38" s="249"/>
      <c r="W38" s="249"/>
      <c r="X38" s="249"/>
    </row>
    <row r="39" spans="1:24" s="22" customFormat="1">
      <c r="A39" s="342"/>
      <c r="B39" s="349"/>
      <c r="C39" s="347"/>
      <c r="D39" s="254" t="s">
        <v>997</v>
      </c>
      <c r="E39" s="255" t="s">
        <v>248</v>
      </c>
      <c r="F39" s="249"/>
      <c r="G39" s="249"/>
      <c r="H39" s="249"/>
      <c r="I39" s="252"/>
      <c r="J39" s="249"/>
      <c r="K39" s="249"/>
      <c r="L39" s="249"/>
      <c r="M39" s="249"/>
      <c r="N39" s="249"/>
      <c r="O39" s="249"/>
      <c r="P39" s="249"/>
      <c r="Q39" s="249"/>
      <c r="R39" s="249"/>
      <c r="S39" s="249"/>
      <c r="T39" s="249"/>
      <c r="U39" s="249"/>
      <c r="V39" s="249"/>
      <c r="W39" s="249"/>
      <c r="X39" s="249"/>
    </row>
    <row r="40" spans="1:24" s="22" customFormat="1">
      <c r="A40" s="342"/>
      <c r="B40" s="256" t="s">
        <v>998</v>
      </c>
      <c r="C40" s="257" t="s">
        <v>999</v>
      </c>
      <c r="D40" s="257" t="s">
        <v>1000</v>
      </c>
      <c r="E40" s="255" t="s">
        <v>461</v>
      </c>
      <c r="F40" s="249"/>
      <c r="G40" s="249"/>
      <c r="H40" s="249"/>
      <c r="I40" s="252"/>
      <c r="J40" s="249"/>
      <c r="K40" s="249"/>
      <c r="L40" s="249"/>
      <c r="M40" s="249"/>
      <c r="N40" s="249"/>
      <c r="O40" s="249"/>
      <c r="P40" s="249"/>
      <c r="Q40" s="249"/>
      <c r="R40" s="249"/>
      <c r="S40" s="249"/>
      <c r="T40" s="249"/>
      <c r="U40" s="249"/>
      <c r="V40" s="249"/>
      <c r="W40" s="249"/>
      <c r="X40" s="249"/>
    </row>
    <row r="41" spans="1:24" s="22" customFormat="1">
      <c r="A41" s="342"/>
      <c r="B41" s="256" t="s">
        <v>1001</v>
      </c>
      <c r="C41" s="257" t="s">
        <v>1001</v>
      </c>
      <c r="D41" s="257" t="s">
        <v>1002</v>
      </c>
      <c r="E41" s="255" t="s">
        <v>700</v>
      </c>
      <c r="F41" s="249"/>
      <c r="G41" s="249"/>
      <c r="H41" s="249"/>
      <c r="I41" s="252"/>
      <c r="J41" s="249"/>
      <c r="K41" s="249"/>
      <c r="L41" s="249"/>
      <c r="M41" s="249"/>
      <c r="N41" s="249"/>
      <c r="O41" s="249"/>
      <c r="P41" s="249"/>
      <c r="Q41" s="249"/>
      <c r="R41" s="249"/>
      <c r="S41" s="249"/>
      <c r="T41" s="249"/>
      <c r="U41" s="249"/>
      <c r="V41" s="249"/>
      <c r="W41" s="249"/>
      <c r="X41" s="249"/>
    </row>
    <row r="42" spans="1:24" s="22" customFormat="1">
      <c r="A42" s="342"/>
      <c r="B42" s="337" t="s">
        <v>1003</v>
      </c>
      <c r="C42" s="249" t="s">
        <v>1004</v>
      </c>
      <c r="D42" s="249" t="s">
        <v>1005</v>
      </c>
      <c r="E42" s="258" t="s">
        <v>215</v>
      </c>
      <c r="F42" s="249"/>
      <c r="G42" s="249"/>
      <c r="H42" s="249"/>
      <c r="I42" s="252"/>
      <c r="J42" s="249"/>
      <c r="K42" s="249"/>
      <c r="L42" s="249"/>
      <c r="M42" s="249"/>
      <c r="N42" s="249"/>
      <c r="O42" s="249"/>
      <c r="P42" s="249"/>
      <c r="Q42" s="249"/>
      <c r="R42" s="249"/>
      <c r="S42" s="249"/>
      <c r="T42" s="249"/>
      <c r="U42" s="249"/>
      <c r="V42" s="249"/>
      <c r="W42" s="249"/>
      <c r="X42" s="249"/>
    </row>
    <row r="43" spans="1:24" s="22" customFormat="1">
      <c r="A43" s="342"/>
      <c r="B43" s="338"/>
      <c r="C43" s="254" t="s">
        <v>1006</v>
      </c>
      <c r="D43" s="254" t="s">
        <v>1007</v>
      </c>
      <c r="E43" s="255" t="s">
        <v>216</v>
      </c>
      <c r="F43" s="249"/>
      <c r="G43" s="249"/>
      <c r="H43" s="249"/>
      <c r="I43" s="252"/>
      <c r="J43" s="249"/>
      <c r="K43" s="249"/>
      <c r="L43" s="249"/>
      <c r="M43" s="249"/>
      <c r="N43" s="249"/>
      <c r="O43" s="249"/>
      <c r="P43" s="249"/>
      <c r="Q43" s="249"/>
      <c r="R43" s="249"/>
      <c r="S43" s="249"/>
      <c r="T43" s="249"/>
      <c r="U43" s="249"/>
      <c r="V43" s="249"/>
      <c r="W43" s="249"/>
      <c r="X43" s="249"/>
    </row>
    <row r="44" spans="1:24" s="22" customFormat="1" ht="30.75" customHeight="1">
      <c r="A44" s="342"/>
      <c r="B44" s="253" t="s">
        <v>1008</v>
      </c>
      <c r="C44" s="254" t="s">
        <v>1008</v>
      </c>
      <c r="D44" s="254" t="s">
        <v>1009</v>
      </c>
      <c r="E44" s="255" t="s">
        <v>115</v>
      </c>
      <c r="F44" s="249"/>
      <c r="G44" s="249"/>
      <c r="H44" s="249"/>
      <c r="I44" s="252"/>
      <c r="J44" s="249"/>
      <c r="K44" s="249"/>
      <c r="L44" s="249"/>
      <c r="M44" s="249"/>
      <c r="N44" s="249"/>
      <c r="O44" s="249"/>
      <c r="P44" s="249"/>
      <c r="Q44" s="249"/>
      <c r="R44" s="249"/>
      <c r="S44" s="249"/>
      <c r="T44" s="249"/>
      <c r="U44" s="249"/>
      <c r="V44" s="249"/>
      <c r="W44" s="249"/>
      <c r="X44" s="249"/>
    </row>
    <row r="45" spans="1:24" s="22" customFormat="1">
      <c r="A45" s="342"/>
      <c r="B45" s="337" t="s">
        <v>1010</v>
      </c>
      <c r="C45" s="249" t="s">
        <v>1010</v>
      </c>
      <c r="D45" s="249" t="s">
        <v>1011</v>
      </c>
      <c r="E45" s="258" t="s">
        <v>1012</v>
      </c>
      <c r="F45" s="249"/>
      <c r="G45" s="249"/>
      <c r="H45" s="249"/>
      <c r="I45" s="252"/>
      <c r="J45" s="249"/>
      <c r="K45" s="249"/>
      <c r="L45" s="249"/>
      <c r="M45" s="249"/>
      <c r="N45" s="249"/>
      <c r="O45" s="249"/>
      <c r="P45" s="249"/>
      <c r="Q45" s="249"/>
      <c r="R45" s="249"/>
      <c r="S45" s="249"/>
      <c r="T45" s="249"/>
      <c r="U45" s="249"/>
      <c r="V45" s="249"/>
      <c r="W45" s="249"/>
      <c r="X45" s="249"/>
    </row>
    <row r="46" spans="1:24" s="22" customFormat="1" ht="30.75" customHeight="1">
      <c r="A46" s="342"/>
      <c r="B46" s="337"/>
      <c r="C46" s="249" t="s">
        <v>1010</v>
      </c>
      <c r="D46" s="249" t="s">
        <v>1013</v>
      </c>
      <c r="E46" s="258" t="s">
        <v>1014</v>
      </c>
      <c r="F46" s="249"/>
      <c r="G46" s="249"/>
      <c r="H46" s="249"/>
      <c r="I46" s="252"/>
      <c r="J46" s="249"/>
      <c r="K46" s="249"/>
      <c r="L46" s="249"/>
      <c r="M46" s="249"/>
      <c r="N46" s="249"/>
      <c r="O46" s="249"/>
      <c r="P46" s="249"/>
      <c r="Q46" s="249"/>
      <c r="R46" s="249"/>
      <c r="S46" s="249"/>
      <c r="T46" s="249"/>
      <c r="U46" s="249"/>
      <c r="V46" s="249"/>
      <c r="W46" s="249"/>
      <c r="X46" s="249"/>
    </row>
    <row r="47" spans="1:24" s="22" customFormat="1">
      <c r="A47" s="342"/>
      <c r="B47" s="338"/>
      <c r="C47" s="254" t="s">
        <v>1010</v>
      </c>
      <c r="D47" s="254" t="s">
        <v>1015</v>
      </c>
      <c r="E47" s="255" t="s">
        <v>1016</v>
      </c>
      <c r="F47" s="249"/>
      <c r="G47" s="249"/>
      <c r="H47" s="249"/>
      <c r="I47" s="252"/>
      <c r="J47" s="249"/>
      <c r="K47" s="249"/>
      <c r="L47" s="249"/>
      <c r="M47" s="249"/>
      <c r="N47" s="249"/>
      <c r="O47" s="249"/>
      <c r="P47" s="249"/>
      <c r="Q47" s="249"/>
      <c r="R47" s="249"/>
      <c r="S47" s="249"/>
      <c r="T47" s="249"/>
      <c r="U47" s="249"/>
      <c r="V47" s="249"/>
      <c r="W47" s="249"/>
      <c r="X47" s="249"/>
    </row>
    <row r="48" spans="1:24" s="22" customFormat="1">
      <c r="A48" s="342"/>
      <c r="B48" s="337" t="s">
        <v>1017</v>
      </c>
      <c r="C48" s="339" t="s">
        <v>1018</v>
      </c>
      <c r="D48" s="249" t="s">
        <v>1019</v>
      </c>
      <c r="E48" s="258" t="s">
        <v>167</v>
      </c>
      <c r="F48" s="249"/>
      <c r="G48" s="249"/>
      <c r="H48" s="249"/>
      <c r="I48" s="252"/>
      <c r="J48" s="249"/>
      <c r="K48" s="249"/>
      <c r="L48" s="249"/>
      <c r="M48" s="249"/>
      <c r="N48" s="249"/>
      <c r="O48" s="249"/>
      <c r="P48" s="249"/>
      <c r="Q48" s="249"/>
      <c r="R48" s="249"/>
      <c r="S48" s="249"/>
      <c r="T48" s="249"/>
      <c r="U48" s="249"/>
      <c r="V48" s="249"/>
      <c r="W48" s="249"/>
      <c r="X48" s="249"/>
    </row>
    <row r="49" spans="1:24" s="22" customFormat="1">
      <c r="A49" s="342"/>
      <c r="B49" s="337"/>
      <c r="C49" s="339"/>
      <c r="D49" s="249" t="s">
        <v>1020</v>
      </c>
      <c r="E49" s="258" t="s">
        <v>168</v>
      </c>
      <c r="F49" s="249"/>
      <c r="G49" s="249"/>
      <c r="H49" s="249"/>
      <c r="I49" s="252"/>
      <c r="J49" s="249"/>
      <c r="K49" s="249"/>
      <c r="L49" s="249"/>
      <c r="M49" s="249"/>
      <c r="N49" s="249"/>
      <c r="O49" s="249"/>
      <c r="P49" s="249"/>
      <c r="Q49" s="249"/>
      <c r="R49" s="249"/>
      <c r="S49" s="249"/>
      <c r="T49" s="249"/>
      <c r="U49" s="249"/>
      <c r="V49" s="249"/>
      <c r="W49" s="249"/>
      <c r="X49" s="249"/>
    </row>
    <row r="50" spans="1:24" s="22" customFormat="1">
      <c r="A50" s="342"/>
      <c r="B50" s="337"/>
      <c r="C50" s="339"/>
      <c r="D50" s="249" t="s">
        <v>1021</v>
      </c>
      <c r="E50" s="258" t="s">
        <v>284</v>
      </c>
      <c r="F50" s="249"/>
      <c r="G50" s="249"/>
      <c r="H50" s="249"/>
      <c r="I50" s="252"/>
      <c r="J50" s="249"/>
      <c r="K50" s="249"/>
      <c r="L50" s="249"/>
      <c r="M50" s="249"/>
      <c r="N50" s="249"/>
      <c r="O50" s="249"/>
      <c r="P50" s="249"/>
      <c r="Q50" s="249"/>
      <c r="R50" s="249"/>
      <c r="S50" s="249"/>
      <c r="T50" s="249"/>
      <c r="U50" s="249"/>
      <c r="V50" s="249"/>
      <c r="W50" s="249"/>
      <c r="X50" s="249"/>
    </row>
    <row r="51" spans="1:24" s="22" customFormat="1">
      <c r="A51" s="342"/>
      <c r="B51" s="337"/>
      <c r="C51" s="339"/>
      <c r="D51" s="249" t="s">
        <v>1022</v>
      </c>
      <c r="E51" s="258" t="s">
        <v>286</v>
      </c>
      <c r="F51" s="249"/>
      <c r="G51" s="249"/>
      <c r="H51" s="249"/>
      <c r="I51" s="252"/>
      <c r="J51" s="249"/>
      <c r="K51" s="249"/>
      <c r="L51" s="249"/>
      <c r="M51" s="249"/>
      <c r="N51" s="249"/>
      <c r="O51" s="249"/>
      <c r="P51" s="249"/>
      <c r="Q51" s="249"/>
      <c r="R51" s="249"/>
      <c r="S51" s="249"/>
      <c r="T51" s="249"/>
      <c r="U51" s="249"/>
      <c r="V51" s="249"/>
      <c r="W51" s="249"/>
      <c r="X51" s="249"/>
    </row>
    <row r="52" spans="1:24" s="22" customFormat="1">
      <c r="A52" s="342"/>
      <c r="B52" s="337"/>
      <c r="C52" s="339"/>
      <c r="D52" s="249" t="s">
        <v>1023</v>
      </c>
      <c r="E52" s="258" t="s">
        <v>287</v>
      </c>
      <c r="F52" s="249"/>
      <c r="G52" s="249"/>
      <c r="H52" s="249"/>
      <c r="I52" s="252"/>
      <c r="J52" s="249"/>
      <c r="K52" s="249"/>
      <c r="L52" s="249"/>
      <c r="M52" s="249"/>
      <c r="N52" s="249"/>
      <c r="O52" s="249"/>
      <c r="P52" s="249"/>
      <c r="Q52" s="249"/>
      <c r="R52" s="249"/>
      <c r="S52" s="249"/>
      <c r="T52" s="249"/>
      <c r="U52" s="249"/>
      <c r="V52" s="249"/>
      <c r="W52" s="249"/>
      <c r="X52" s="249"/>
    </row>
    <row r="53" spans="1:24">
      <c r="A53" s="342"/>
      <c r="B53" s="337"/>
      <c r="C53" s="339"/>
      <c r="D53" s="249" t="s">
        <v>1024</v>
      </c>
      <c r="E53" s="258" t="s">
        <v>288</v>
      </c>
      <c r="F53" s="249"/>
      <c r="G53" s="249"/>
      <c r="H53" s="249"/>
      <c r="I53" s="252"/>
      <c r="J53" s="249"/>
      <c r="K53" s="249"/>
      <c r="L53" s="249"/>
      <c r="M53" s="249"/>
      <c r="N53" s="249"/>
      <c r="O53" s="249"/>
      <c r="P53" s="249"/>
      <c r="Q53" s="249"/>
      <c r="R53" s="249"/>
      <c r="S53" s="249"/>
      <c r="T53" s="249"/>
      <c r="U53" s="249"/>
      <c r="V53" s="249"/>
      <c r="W53" s="249"/>
      <c r="X53" s="249"/>
    </row>
    <row r="54" spans="1:24" ht="30.75" customHeight="1">
      <c r="A54" s="342"/>
      <c r="B54" s="337"/>
      <c r="C54" s="339"/>
      <c r="D54" s="249" t="s">
        <v>1025</v>
      </c>
      <c r="E54" s="258" t="s">
        <v>495</v>
      </c>
      <c r="F54" s="249"/>
      <c r="G54" s="249"/>
      <c r="H54" s="249"/>
      <c r="I54" s="252"/>
      <c r="J54" s="249"/>
      <c r="K54" s="249"/>
      <c r="L54" s="249"/>
      <c r="M54" s="249"/>
      <c r="N54" s="249"/>
      <c r="O54" s="249"/>
      <c r="P54" s="249"/>
      <c r="Q54" s="249"/>
      <c r="R54" s="249"/>
      <c r="S54" s="249"/>
      <c r="T54" s="249"/>
      <c r="U54" s="249"/>
      <c r="V54" s="249"/>
      <c r="W54" s="249"/>
      <c r="X54" s="249"/>
    </row>
    <row r="55" spans="1:24">
      <c r="A55" s="342"/>
      <c r="B55" s="338"/>
      <c r="C55" s="340"/>
      <c r="D55" s="254" t="s">
        <v>1026</v>
      </c>
      <c r="E55" s="255" t="s">
        <v>547</v>
      </c>
      <c r="F55" s="249"/>
      <c r="G55" s="249"/>
      <c r="H55" s="249"/>
      <c r="I55" s="252"/>
      <c r="J55" s="249"/>
      <c r="K55" s="249"/>
      <c r="L55" s="249"/>
      <c r="M55" s="249"/>
      <c r="N55" s="249"/>
      <c r="O55" s="249"/>
      <c r="P55" s="249"/>
      <c r="Q55" s="249"/>
      <c r="R55" s="249"/>
      <c r="S55" s="249"/>
      <c r="T55" s="249"/>
      <c r="U55" s="249"/>
      <c r="V55" s="249"/>
      <c r="W55" s="249"/>
      <c r="X55" s="249"/>
    </row>
    <row r="56" spans="1:24" s="22" customFormat="1" ht="23.25" customHeight="1">
      <c r="A56" s="342"/>
      <c r="B56" s="253" t="s">
        <v>226</v>
      </c>
      <c r="C56" s="254" t="s">
        <v>1027</v>
      </c>
      <c r="D56" s="254" t="s">
        <v>1028</v>
      </c>
      <c r="E56" s="255" t="s">
        <v>226</v>
      </c>
      <c r="F56" s="249"/>
      <c r="G56" s="249"/>
      <c r="H56" s="249"/>
      <c r="I56" s="252"/>
      <c r="J56" s="249"/>
      <c r="K56" s="249"/>
      <c r="L56" s="249"/>
      <c r="M56" s="249"/>
      <c r="N56" s="249"/>
      <c r="O56" s="249"/>
      <c r="P56" s="249"/>
      <c r="Q56" s="249"/>
      <c r="R56" s="249"/>
      <c r="S56" s="249"/>
      <c r="T56" s="249"/>
      <c r="U56" s="249"/>
      <c r="V56" s="249"/>
      <c r="W56" s="249"/>
      <c r="X56" s="249"/>
    </row>
    <row r="57" spans="1:24" s="22" customFormat="1">
      <c r="A57" s="342"/>
      <c r="B57" s="253" t="s">
        <v>1029</v>
      </c>
      <c r="C57" s="254" t="s">
        <v>1030</v>
      </c>
      <c r="D57" s="254" t="s">
        <v>1031</v>
      </c>
      <c r="E57" s="255" t="s">
        <v>91</v>
      </c>
      <c r="F57" s="249"/>
      <c r="G57" s="249"/>
      <c r="H57" s="249"/>
      <c r="I57" s="252"/>
      <c r="J57" s="249"/>
      <c r="K57" s="249"/>
      <c r="L57" s="249"/>
      <c r="M57" s="249"/>
      <c r="N57" s="249"/>
      <c r="O57" s="249"/>
      <c r="P57" s="249"/>
      <c r="Q57" s="249"/>
      <c r="R57" s="249"/>
      <c r="S57" s="249"/>
      <c r="T57" s="249"/>
      <c r="U57" s="249"/>
      <c r="V57" s="249"/>
      <c r="W57" s="249"/>
      <c r="X57" s="249"/>
    </row>
    <row r="58" spans="1:24" s="22" customFormat="1">
      <c r="A58" s="342"/>
      <c r="B58" s="253" t="s">
        <v>1032</v>
      </c>
      <c r="C58" s="254" t="s">
        <v>1033</v>
      </c>
      <c r="D58" s="254" t="s">
        <v>1034</v>
      </c>
      <c r="E58" s="255" t="s">
        <v>376</v>
      </c>
      <c r="F58" s="249"/>
      <c r="G58" s="249"/>
      <c r="H58" s="249"/>
      <c r="I58" s="252"/>
      <c r="J58" s="249"/>
      <c r="K58" s="249"/>
      <c r="L58" s="249"/>
      <c r="M58" s="249"/>
      <c r="N58" s="249"/>
      <c r="O58" s="249"/>
      <c r="P58" s="249"/>
      <c r="Q58" s="249"/>
      <c r="R58" s="249"/>
      <c r="S58" s="249"/>
      <c r="T58" s="249"/>
      <c r="U58" s="249"/>
      <c r="V58" s="249"/>
      <c r="W58" s="249"/>
      <c r="X58" s="249"/>
    </row>
    <row r="59" spans="1:24" s="22" customFormat="1">
      <c r="A59" s="342"/>
      <c r="B59" s="256" t="s">
        <v>1035</v>
      </c>
      <c r="C59" s="257" t="s">
        <v>1036</v>
      </c>
      <c r="D59" s="257" t="s">
        <v>1037</v>
      </c>
      <c r="E59" s="261" t="s">
        <v>1035</v>
      </c>
      <c r="F59" s="249"/>
      <c r="G59" s="249"/>
      <c r="H59" s="249"/>
      <c r="I59" s="252"/>
      <c r="J59" s="249"/>
      <c r="K59" s="249"/>
      <c r="L59" s="249"/>
      <c r="M59" s="249"/>
      <c r="N59" s="249"/>
      <c r="O59" s="249"/>
      <c r="P59" s="249"/>
      <c r="Q59" s="249"/>
      <c r="R59" s="249"/>
      <c r="S59" s="249"/>
      <c r="T59" s="249"/>
      <c r="U59" s="249"/>
      <c r="V59" s="249"/>
      <c r="W59" s="249"/>
      <c r="X59" s="249"/>
    </row>
    <row r="60" spans="1:24" s="22" customFormat="1">
      <c r="A60" s="342"/>
      <c r="B60" s="348" t="s">
        <v>1038</v>
      </c>
      <c r="C60" s="346" t="s">
        <v>1039</v>
      </c>
      <c r="D60" s="249" t="s">
        <v>1040</v>
      </c>
      <c r="E60" s="258" t="s">
        <v>1041</v>
      </c>
      <c r="F60" s="249"/>
      <c r="G60" s="249"/>
      <c r="H60" s="249"/>
      <c r="I60" s="252"/>
      <c r="J60" s="249"/>
      <c r="K60" s="249"/>
      <c r="L60" s="249"/>
      <c r="M60" s="249"/>
      <c r="N60" s="249"/>
      <c r="O60" s="249"/>
      <c r="P60" s="249"/>
      <c r="Q60" s="249"/>
      <c r="R60" s="249"/>
      <c r="S60" s="249"/>
      <c r="T60" s="249"/>
      <c r="U60" s="249"/>
      <c r="V60" s="249"/>
      <c r="W60" s="249"/>
      <c r="X60" s="249"/>
    </row>
    <row r="61" spans="1:24" s="22" customFormat="1">
      <c r="A61" s="342"/>
      <c r="B61" s="349"/>
      <c r="C61" s="347"/>
      <c r="D61" s="254" t="s">
        <v>1042</v>
      </c>
      <c r="E61" s="255" t="s">
        <v>1043</v>
      </c>
      <c r="F61" s="249"/>
      <c r="G61" s="249"/>
      <c r="H61" s="249"/>
      <c r="I61" s="252"/>
      <c r="J61" s="249"/>
      <c r="K61" s="249"/>
      <c r="L61" s="249"/>
      <c r="M61" s="249"/>
      <c r="N61" s="249"/>
      <c r="O61" s="249"/>
      <c r="P61" s="249"/>
      <c r="Q61" s="249"/>
      <c r="R61" s="249"/>
      <c r="S61" s="249"/>
      <c r="T61" s="249"/>
      <c r="U61" s="249"/>
      <c r="V61" s="249"/>
      <c r="W61" s="249"/>
      <c r="X61" s="249"/>
    </row>
    <row r="62" spans="1:24" s="22" customFormat="1">
      <c r="A62" s="342"/>
      <c r="B62" s="339" t="s">
        <v>1044</v>
      </c>
      <c r="C62" s="339" t="s">
        <v>1045</v>
      </c>
      <c r="D62" s="249" t="s">
        <v>1046</v>
      </c>
      <c r="E62" s="258" t="s">
        <v>289</v>
      </c>
      <c r="F62" s="249"/>
      <c r="G62" s="249"/>
      <c r="H62" s="249"/>
      <c r="I62" s="252"/>
      <c r="J62" s="249"/>
      <c r="K62" s="249"/>
      <c r="L62" s="249"/>
      <c r="M62" s="249"/>
      <c r="N62" s="249"/>
      <c r="O62" s="249"/>
      <c r="P62" s="249"/>
      <c r="Q62" s="249"/>
      <c r="R62" s="249"/>
      <c r="S62" s="249"/>
      <c r="T62" s="249"/>
      <c r="U62" s="249"/>
      <c r="V62" s="249"/>
      <c r="W62" s="249"/>
      <c r="X62" s="249"/>
    </row>
    <row r="63" spans="1:24" s="22" customFormat="1">
      <c r="A63" s="342"/>
      <c r="B63" s="339"/>
      <c r="C63" s="339"/>
      <c r="D63" s="249" t="s">
        <v>1047</v>
      </c>
      <c r="E63" s="258" t="s">
        <v>290</v>
      </c>
      <c r="F63" s="249"/>
      <c r="G63" s="249"/>
      <c r="H63" s="249"/>
      <c r="I63" s="252"/>
      <c r="J63" s="249"/>
      <c r="K63" s="249"/>
      <c r="L63" s="249"/>
      <c r="M63" s="249"/>
      <c r="N63" s="249"/>
      <c r="O63" s="249"/>
      <c r="P63" s="249"/>
      <c r="Q63" s="249"/>
      <c r="R63" s="249"/>
      <c r="S63" s="249"/>
      <c r="T63" s="249"/>
      <c r="U63" s="249"/>
      <c r="V63" s="249"/>
      <c r="W63" s="249"/>
      <c r="X63" s="249"/>
    </row>
    <row r="64" spans="1:24" s="22" customFormat="1">
      <c r="A64" s="342"/>
      <c r="B64" s="262" t="s">
        <v>1048</v>
      </c>
      <c r="C64" s="263" t="s">
        <v>1048</v>
      </c>
      <c r="D64" s="263" t="s">
        <v>1049</v>
      </c>
      <c r="E64" s="264" t="s">
        <v>1050</v>
      </c>
      <c r="F64" s="249"/>
      <c r="G64" s="249"/>
      <c r="H64" s="249"/>
      <c r="I64" s="252"/>
      <c r="J64" s="249"/>
      <c r="K64" s="249"/>
      <c r="L64" s="249"/>
      <c r="M64" s="249"/>
      <c r="N64" s="249"/>
      <c r="O64" s="249"/>
      <c r="P64" s="249"/>
      <c r="Q64" s="249"/>
      <c r="R64" s="249"/>
      <c r="S64" s="249"/>
      <c r="T64" s="249"/>
      <c r="U64" s="249"/>
      <c r="V64" s="249"/>
      <c r="W64" s="249"/>
      <c r="X64" s="249"/>
    </row>
    <row r="65" spans="1:24" s="22" customFormat="1">
      <c r="A65" s="342"/>
      <c r="B65" s="337" t="s">
        <v>1051</v>
      </c>
      <c r="C65" s="339" t="s">
        <v>1052</v>
      </c>
      <c r="D65" s="249" t="s">
        <v>798</v>
      </c>
      <c r="E65" s="258" t="s">
        <v>52</v>
      </c>
      <c r="F65" s="249"/>
      <c r="G65" s="249"/>
      <c r="H65" s="249"/>
      <c r="I65" s="252"/>
      <c r="J65" s="249"/>
      <c r="K65" s="249"/>
      <c r="L65" s="249"/>
      <c r="M65" s="249"/>
      <c r="N65" s="249"/>
      <c r="O65" s="249"/>
      <c r="P65" s="249"/>
      <c r="Q65" s="249"/>
      <c r="R65" s="249"/>
      <c r="S65" s="249"/>
      <c r="T65" s="249"/>
      <c r="U65" s="249"/>
      <c r="V65" s="249"/>
      <c r="W65" s="249"/>
      <c r="X65" s="249"/>
    </row>
    <row r="66" spans="1:24" s="22" customFormat="1">
      <c r="A66" s="343"/>
      <c r="B66" s="338"/>
      <c r="C66" s="340"/>
      <c r="D66" s="254" t="s">
        <v>798</v>
      </c>
      <c r="E66" s="255" t="s">
        <v>124</v>
      </c>
      <c r="F66" s="249"/>
      <c r="G66" s="249"/>
      <c r="H66" s="249"/>
      <c r="I66" s="252"/>
      <c r="J66" s="249"/>
      <c r="K66" s="249"/>
      <c r="L66" s="249"/>
      <c r="M66" s="249"/>
      <c r="N66" s="249"/>
      <c r="O66" s="249"/>
      <c r="P66" s="249"/>
      <c r="Q66" s="249"/>
      <c r="R66" s="249"/>
      <c r="S66" s="249"/>
      <c r="T66" s="249"/>
      <c r="U66" s="249"/>
      <c r="V66" s="249"/>
      <c r="W66" s="249"/>
      <c r="X66" s="249"/>
    </row>
    <row r="67" spans="1:24" s="22" customFormat="1">
      <c r="A67" s="270"/>
      <c r="B67" s="249"/>
      <c r="C67" s="249"/>
      <c r="D67" s="249"/>
      <c r="E67" s="249"/>
      <c r="F67" s="249"/>
      <c r="G67" s="249"/>
      <c r="H67" s="249"/>
      <c r="I67" s="252"/>
      <c r="J67" s="249"/>
      <c r="K67" s="249"/>
      <c r="L67" s="249"/>
      <c r="M67" s="249"/>
      <c r="N67" s="249"/>
      <c r="O67" s="249"/>
      <c r="P67" s="249"/>
      <c r="Q67" s="249"/>
      <c r="R67" s="249"/>
      <c r="S67" s="249"/>
      <c r="T67" s="249"/>
      <c r="U67" s="249"/>
      <c r="V67" s="249"/>
      <c r="W67" s="249"/>
      <c r="X67" s="249"/>
    </row>
    <row r="68" spans="1:24" s="22" customFormat="1">
      <c r="A68" s="350" t="s">
        <v>1053</v>
      </c>
      <c r="B68" s="344" t="s">
        <v>787</v>
      </c>
      <c r="C68" s="345" t="s">
        <v>1054</v>
      </c>
      <c r="D68" s="265" t="s">
        <v>1055</v>
      </c>
      <c r="E68" s="266" t="s">
        <v>119</v>
      </c>
      <c r="F68" s="249"/>
      <c r="G68" s="249"/>
      <c r="H68" s="249"/>
      <c r="I68" s="249"/>
      <c r="J68" s="249"/>
      <c r="K68" s="249"/>
      <c r="L68" s="249"/>
      <c r="M68" s="249"/>
      <c r="N68" s="249"/>
      <c r="O68" s="249"/>
      <c r="P68" s="249"/>
      <c r="Q68" s="249"/>
      <c r="R68" s="249"/>
      <c r="S68" s="249"/>
      <c r="T68" s="249"/>
      <c r="U68" s="249"/>
      <c r="V68" s="249"/>
      <c r="W68" s="249"/>
      <c r="X68" s="249"/>
    </row>
    <row r="69" spans="1:24">
      <c r="A69" s="350"/>
      <c r="B69" s="338"/>
      <c r="C69" s="340"/>
      <c r="D69" s="254" t="s">
        <v>1056</v>
      </c>
      <c r="E69" s="255" t="s">
        <v>181</v>
      </c>
      <c r="F69" s="249"/>
      <c r="G69" s="249"/>
      <c r="H69" s="249"/>
      <c r="I69" s="249"/>
      <c r="J69" s="249"/>
      <c r="K69" s="249"/>
      <c r="L69" s="249"/>
      <c r="M69" s="249"/>
      <c r="N69" s="249"/>
      <c r="O69" s="249"/>
      <c r="P69" s="249"/>
      <c r="Q69" s="249"/>
      <c r="R69" s="249"/>
      <c r="S69" s="249"/>
      <c r="T69" s="249"/>
      <c r="U69" s="249"/>
      <c r="V69" s="249"/>
      <c r="W69" s="249"/>
      <c r="X69" s="249"/>
    </row>
    <row r="70" spans="1:24" s="22" customFormat="1">
      <c r="A70" s="350"/>
      <c r="B70" s="253" t="s">
        <v>792</v>
      </c>
      <c r="C70" s="254" t="s">
        <v>1057</v>
      </c>
      <c r="D70" s="254" t="s">
        <v>1058</v>
      </c>
      <c r="E70" s="255" t="s">
        <v>136</v>
      </c>
      <c r="F70" s="249"/>
      <c r="G70" s="249"/>
      <c r="H70" s="249"/>
      <c r="I70" s="249"/>
      <c r="J70" s="249"/>
      <c r="K70" s="249"/>
      <c r="L70" s="249"/>
      <c r="M70" s="249"/>
      <c r="N70" s="249"/>
      <c r="O70" s="249"/>
      <c r="P70" s="249"/>
      <c r="Q70" s="249"/>
      <c r="R70" s="249"/>
      <c r="S70" s="249"/>
      <c r="T70" s="249"/>
      <c r="U70" s="249"/>
      <c r="V70" s="249"/>
      <c r="W70" s="249"/>
      <c r="X70" s="249"/>
    </row>
    <row r="71" spans="1:24" s="22" customFormat="1" ht="30.75" customHeight="1">
      <c r="A71" s="350"/>
      <c r="B71" s="253" t="s">
        <v>1059</v>
      </c>
      <c r="C71" s="257" t="s">
        <v>1060</v>
      </c>
      <c r="D71" s="254" t="s">
        <v>1061</v>
      </c>
      <c r="E71" s="255" t="s">
        <v>95</v>
      </c>
      <c r="F71" s="249"/>
      <c r="G71" s="249"/>
      <c r="H71" s="249"/>
      <c r="I71" s="249"/>
      <c r="J71" s="249"/>
      <c r="K71" s="249"/>
      <c r="L71" s="249"/>
      <c r="M71" s="249"/>
      <c r="N71" s="249"/>
      <c r="O71" s="249"/>
      <c r="P71" s="249"/>
      <c r="Q71" s="249"/>
      <c r="R71" s="249"/>
      <c r="S71" s="249"/>
      <c r="T71" s="249"/>
      <c r="U71" s="249"/>
      <c r="V71" s="249"/>
      <c r="W71" s="249"/>
      <c r="X71" s="249"/>
    </row>
    <row r="72" spans="1:24" s="22" customFormat="1">
      <c r="A72" s="350"/>
      <c r="B72" s="337" t="s">
        <v>1062</v>
      </c>
      <c r="C72" s="339" t="s">
        <v>1063</v>
      </c>
      <c r="D72" s="249" t="s">
        <v>1064</v>
      </c>
      <c r="E72" s="258" t="s">
        <v>137</v>
      </c>
      <c r="F72" s="249"/>
      <c r="G72" s="249"/>
      <c r="H72" s="249"/>
      <c r="I72" s="249"/>
      <c r="J72" s="249"/>
      <c r="K72" s="249"/>
      <c r="L72" s="249"/>
      <c r="M72" s="249"/>
      <c r="N72" s="249"/>
      <c r="O72" s="249"/>
      <c r="P72" s="249"/>
      <c r="Q72" s="249"/>
      <c r="R72" s="249"/>
      <c r="S72" s="249"/>
      <c r="T72" s="249"/>
      <c r="U72" s="249"/>
      <c r="V72" s="249"/>
      <c r="W72" s="249"/>
      <c r="X72" s="249"/>
    </row>
    <row r="73" spans="1:24" s="22" customFormat="1">
      <c r="A73" s="350"/>
      <c r="B73" s="338"/>
      <c r="C73" s="340"/>
      <c r="D73" s="254" t="s">
        <v>1065</v>
      </c>
      <c r="E73" s="255" t="s">
        <v>1066</v>
      </c>
      <c r="F73" s="249"/>
      <c r="G73" s="249"/>
      <c r="H73" s="249"/>
      <c r="I73" s="249"/>
      <c r="J73" s="249"/>
      <c r="K73" s="249"/>
      <c r="L73" s="249"/>
      <c r="M73" s="249"/>
      <c r="N73" s="249"/>
      <c r="O73" s="249"/>
      <c r="P73" s="249"/>
      <c r="Q73" s="249"/>
      <c r="R73" s="249"/>
      <c r="S73" s="249"/>
      <c r="T73" s="249"/>
      <c r="U73" s="249"/>
      <c r="V73" s="249"/>
      <c r="W73" s="249"/>
      <c r="X73" s="249"/>
    </row>
    <row r="74" spans="1:24" s="22" customFormat="1">
      <c r="A74" s="350"/>
      <c r="B74" s="253" t="s">
        <v>1067</v>
      </c>
      <c r="C74" s="254" t="s">
        <v>1068</v>
      </c>
      <c r="D74" s="254" t="s">
        <v>1069</v>
      </c>
      <c r="E74" s="255" t="s">
        <v>138</v>
      </c>
      <c r="F74" s="249"/>
      <c r="G74" s="249"/>
      <c r="H74" s="249"/>
      <c r="I74" s="249"/>
      <c r="J74" s="249"/>
      <c r="K74" s="249"/>
      <c r="L74" s="249"/>
      <c r="M74" s="249"/>
      <c r="N74" s="249"/>
      <c r="O74" s="249"/>
      <c r="P74" s="249"/>
      <c r="Q74" s="249"/>
      <c r="R74" s="249"/>
      <c r="S74" s="249"/>
      <c r="T74" s="249"/>
      <c r="U74" s="249"/>
      <c r="V74" s="249"/>
      <c r="W74" s="249"/>
      <c r="X74" s="249"/>
    </row>
    <row r="75" spans="1:24" s="22" customFormat="1">
      <c r="A75" s="350"/>
      <c r="B75" s="249" t="s">
        <v>1070</v>
      </c>
      <c r="C75" s="249" t="s">
        <v>1071</v>
      </c>
      <c r="D75" s="249" t="s">
        <v>1072</v>
      </c>
      <c r="E75" s="249" t="s">
        <v>195</v>
      </c>
      <c r="F75" s="249"/>
      <c r="G75" s="249"/>
      <c r="H75" s="249"/>
      <c r="I75" s="249"/>
      <c r="J75" s="249"/>
      <c r="K75" s="249"/>
      <c r="L75" s="249"/>
      <c r="M75" s="249"/>
      <c r="N75" s="249"/>
      <c r="O75" s="249"/>
      <c r="P75" s="249"/>
      <c r="Q75" s="249"/>
      <c r="R75" s="249"/>
      <c r="S75" s="249"/>
      <c r="T75" s="249"/>
      <c r="U75" s="249"/>
      <c r="V75" s="249"/>
      <c r="W75" s="249"/>
      <c r="X75" s="249"/>
    </row>
    <row r="76" spans="1:24" s="22" customFormat="1">
      <c r="A76" s="350"/>
      <c r="B76" s="267" t="s">
        <v>1073</v>
      </c>
      <c r="C76" s="268" t="s">
        <v>1074</v>
      </c>
      <c r="D76" s="268" t="s">
        <v>1075</v>
      </c>
      <c r="E76" s="269" t="s">
        <v>196</v>
      </c>
      <c r="F76" s="249"/>
      <c r="G76" s="249"/>
      <c r="H76" s="249"/>
      <c r="I76" s="249"/>
      <c r="J76" s="249"/>
      <c r="K76" s="249"/>
      <c r="L76" s="249"/>
      <c r="M76" s="249"/>
      <c r="N76" s="249"/>
      <c r="O76" s="249"/>
      <c r="P76" s="249"/>
      <c r="Q76" s="249"/>
      <c r="R76" s="249"/>
      <c r="S76" s="249"/>
      <c r="T76" s="249"/>
      <c r="U76" s="249"/>
      <c r="V76" s="249"/>
      <c r="W76" s="249"/>
      <c r="X76" s="249"/>
    </row>
    <row r="77" spans="1:24" s="22" customFormat="1">
      <c r="A77" s="350"/>
      <c r="B77" s="337" t="s">
        <v>1076</v>
      </c>
      <c r="C77" s="339" t="s">
        <v>1077</v>
      </c>
      <c r="D77" s="249" t="s">
        <v>1078</v>
      </c>
      <c r="E77" s="258" t="s">
        <v>139</v>
      </c>
      <c r="F77" s="249"/>
      <c r="G77" s="249"/>
      <c r="H77" s="249"/>
      <c r="I77" s="249"/>
      <c r="J77" s="249"/>
      <c r="K77" s="249"/>
      <c r="L77" s="249"/>
      <c r="M77" s="249"/>
      <c r="N77" s="249"/>
      <c r="O77" s="249"/>
      <c r="P77" s="249"/>
      <c r="Q77" s="249"/>
      <c r="R77" s="249"/>
      <c r="S77" s="249"/>
      <c r="T77" s="249"/>
      <c r="U77" s="249"/>
      <c r="V77" s="249"/>
      <c r="W77" s="249"/>
      <c r="X77" s="249"/>
    </row>
    <row r="78" spans="1:24" s="22" customFormat="1">
      <c r="A78" s="350"/>
      <c r="B78" s="338"/>
      <c r="C78" s="340"/>
      <c r="D78" s="254" t="s">
        <v>1079</v>
      </c>
      <c r="E78" s="255" t="s">
        <v>140</v>
      </c>
      <c r="F78" s="249"/>
      <c r="G78" s="249"/>
      <c r="H78" s="249"/>
      <c r="I78" s="249"/>
      <c r="J78" s="249"/>
      <c r="K78" s="249"/>
      <c r="L78" s="249"/>
      <c r="M78" s="249"/>
      <c r="N78" s="249"/>
      <c r="O78" s="249"/>
      <c r="P78" s="249"/>
      <c r="Q78" s="249"/>
      <c r="R78" s="249"/>
      <c r="S78" s="249"/>
      <c r="T78" s="249"/>
      <c r="U78" s="249"/>
      <c r="V78" s="249"/>
      <c r="W78" s="249"/>
      <c r="X78" s="249"/>
    </row>
    <row r="79" spans="1:24" s="22" customFormat="1">
      <c r="A79" s="350"/>
      <c r="B79" s="253" t="s">
        <v>1080</v>
      </c>
      <c r="C79" s="254" t="s">
        <v>1080</v>
      </c>
      <c r="D79" s="254" t="s">
        <v>1081</v>
      </c>
      <c r="E79" s="255" t="s">
        <v>141</v>
      </c>
      <c r="F79" s="249"/>
      <c r="G79" s="249"/>
      <c r="H79" s="249"/>
      <c r="I79" s="249"/>
      <c r="J79" s="249"/>
      <c r="K79" s="249"/>
      <c r="L79" s="249"/>
      <c r="M79" s="249"/>
      <c r="N79" s="249"/>
      <c r="O79" s="249"/>
      <c r="P79" s="249"/>
      <c r="Q79" s="249"/>
      <c r="R79" s="249"/>
      <c r="S79" s="249"/>
      <c r="T79" s="249"/>
      <c r="U79" s="249"/>
      <c r="V79" s="249"/>
      <c r="W79" s="249"/>
      <c r="X79" s="249"/>
    </row>
    <row r="80" spans="1:24" s="22" customFormat="1">
      <c r="A80" s="350"/>
      <c r="B80" s="253" t="s">
        <v>1082</v>
      </c>
      <c r="C80" s="254" t="s">
        <v>1082</v>
      </c>
      <c r="D80" s="254" t="s">
        <v>1083</v>
      </c>
      <c r="E80" s="255" t="s">
        <v>142</v>
      </c>
      <c r="F80" s="249"/>
      <c r="G80" s="249"/>
      <c r="H80" s="249"/>
      <c r="I80" s="249"/>
      <c r="J80" s="249"/>
      <c r="K80" s="249"/>
      <c r="L80" s="249"/>
      <c r="M80" s="249"/>
      <c r="N80" s="249"/>
      <c r="O80" s="249"/>
      <c r="P80" s="249"/>
      <c r="Q80" s="249"/>
      <c r="R80" s="249"/>
      <c r="S80" s="249"/>
      <c r="T80" s="249"/>
      <c r="U80" s="249"/>
      <c r="V80" s="249"/>
      <c r="W80" s="249"/>
      <c r="X80" s="249"/>
    </row>
    <row r="81" spans="1:24" s="22" customFormat="1">
      <c r="A81" s="350"/>
      <c r="B81" s="253" t="s">
        <v>1084</v>
      </c>
      <c r="C81" s="254" t="s">
        <v>1084</v>
      </c>
      <c r="D81" s="254" t="s">
        <v>1085</v>
      </c>
      <c r="E81" s="255" t="s">
        <v>1086</v>
      </c>
      <c r="F81" s="249"/>
      <c r="G81" s="249"/>
      <c r="H81" s="249"/>
      <c r="I81" s="249"/>
      <c r="J81" s="249"/>
      <c r="K81" s="249"/>
      <c r="L81" s="249"/>
      <c r="M81" s="249"/>
      <c r="N81" s="249"/>
      <c r="O81" s="249"/>
      <c r="P81" s="249"/>
      <c r="Q81" s="249"/>
      <c r="R81" s="249"/>
      <c r="S81" s="249"/>
      <c r="T81" s="249"/>
      <c r="U81" s="249"/>
      <c r="V81" s="249"/>
      <c r="W81" s="249"/>
      <c r="X81" s="249"/>
    </row>
    <row r="82" spans="1:24" s="22" customFormat="1">
      <c r="A82" s="350"/>
      <c r="B82" s="253" t="s">
        <v>1087</v>
      </c>
      <c r="C82" s="254" t="s">
        <v>1088</v>
      </c>
      <c r="D82" s="254" t="s">
        <v>1089</v>
      </c>
      <c r="E82" s="255" t="s">
        <v>239</v>
      </c>
      <c r="F82" s="249"/>
      <c r="G82" s="249"/>
      <c r="H82" s="249"/>
      <c r="I82" s="249"/>
      <c r="J82" s="249"/>
      <c r="K82" s="249"/>
      <c r="L82" s="249"/>
      <c r="M82" s="249"/>
      <c r="N82" s="249"/>
      <c r="O82" s="249"/>
      <c r="P82" s="249"/>
      <c r="Q82" s="249"/>
      <c r="R82" s="249"/>
      <c r="S82" s="249"/>
      <c r="T82" s="249"/>
      <c r="U82" s="249"/>
      <c r="V82" s="249"/>
      <c r="W82" s="249"/>
      <c r="X82" s="249"/>
    </row>
    <row r="83" spans="1:24" s="22" customFormat="1">
      <c r="A83" s="350"/>
      <c r="B83" s="253" t="s">
        <v>321</v>
      </c>
      <c r="C83" s="254" t="s">
        <v>1090</v>
      </c>
      <c r="D83" s="254" t="s">
        <v>1091</v>
      </c>
      <c r="E83" s="255" t="s">
        <v>321</v>
      </c>
      <c r="F83" s="249"/>
      <c r="G83" s="249"/>
      <c r="H83" s="249"/>
      <c r="I83" s="249"/>
      <c r="J83" s="249"/>
      <c r="K83" s="249"/>
      <c r="L83" s="249"/>
      <c r="M83" s="249"/>
      <c r="N83" s="249"/>
      <c r="O83" s="249"/>
      <c r="P83" s="249"/>
      <c r="Q83" s="249"/>
      <c r="R83" s="249"/>
      <c r="S83" s="249"/>
      <c r="T83" s="249"/>
      <c r="U83" s="249"/>
      <c r="V83" s="249"/>
      <c r="W83" s="249"/>
      <c r="X83" s="249"/>
    </row>
    <row r="84" spans="1:24" s="22" customFormat="1">
      <c r="A84" s="350"/>
      <c r="B84" s="253" t="s">
        <v>322</v>
      </c>
      <c r="C84" s="254" t="s">
        <v>1092</v>
      </c>
      <c r="D84" s="254" t="s">
        <v>1093</v>
      </c>
      <c r="E84" s="255" t="s">
        <v>322</v>
      </c>
      <c r="F84" s="249"/>
      <c r="G84" s="249"/>
      <c r="H84" s="249"/>
      <c r="I84" s="249"/>
      <c r="J84" s="249"/>
      <c r="K84" s="249"/>
      <c r="L84" s="249"/>
      <c r="M84" s="249"/>
      <c r="N84" s="249"/>
      <c r="O84" s="249"/>
      <c r="P84" s="249"/>
      <c r="Q84" s="249"/>
      <c r="R84" s="249"/>
      <c r="S84" s="249"/>
      <c r="T84" s="249"/>
      <c r="U84" s="249"/>
      <c r="V84" s="249"/>
      <c r="W84" s="249"/>
      <c r="X84" s="249"/>
    </row>
    <row r="85" spans="1:24" s="22" customFormat="1">
      <c r="A85" s="350"/>
      <c r="B85" s="253" t="s">
        <v>1094</v>
      </c>
      <c r="C85" s="257" t="s">
        <v>1095</v>
      </c>
      <c r="D85" s="254" t="s">
        <v>1096</v>
      </c>
      <c r="E85" s="255" t="s">
        <v>1094</v>
      </c>
      <c r="F85" s="249"/>
      <c r="G85" s="249"/>
      <c r="H85" s="249"/>
      <c r="I85" s="249"/>
      <c r="J85" s="249"/>
      <c r="K85" s="249"/>
      <c r="L85" s="249"/>
      <c r="M85" s="249"/>
      <c r="N85" s="249"/>
      <c r="O85" s="249"/>
      <c r="P85" s="249"/>
      <c r="Q85" s="249"/>
      <c r="R85" s="249"/>
      <c r="S85" s="249"/>
      <c r="T85" s="249"/>
      <c r="U85" s="249"/>
      <c r="V85" s="249"/>
      <c r="W85" s="249"/>
      <c r="X85" s="249"/>
    </row>
    <row r="86" spans="1:24" s="22" customFormat="1">
      <c r="A86" s="350"/>
      <c r="B86" s="337" t="s">
        <v>1097</v>
      </c>
      <c r="C86" s="249" t="s">
        <v>1098</v>
      </c>
      <c r="D86" s="249" t="s">
        <v>1099</v>
      </c>
      <c r="E86" s="258" t="s">
        <v>1100</v>
      </c>
      <c r="F86" s="249"/>
      <c r="G86" s="249"/>
      <c r="H86" s="249"/>
      <c r="I86" s="249"/>
      <c r="J86" s="249"/>
      <c r="K86" s="249"/>
      <c r="L86" s="249"/>
      <c r="M86" s="249"/>
      <c r="N86" s="249"/>
      <c r="O86" s="249"/>
      <c r="P86" s="249"/>
      <c r="Q86" s="249"/>
      <c r="R86" s="249"/>
      <c r="S86" s="249"/>
      <c r="T86" s="249"/>
      <c r="U86" s="249"/>
      <c r="V86" s="249"/>
      <c r="W86" s="249"/>
      <c r="X86" s="249"/>
    </row>
    <row r="87" spans="1:24" s="22" customFormat="1">
      <c r="A87" s="350"/>
      <c r="B87" s="337"/>
      <c r="C87" s="249" t="s">
        <v>1101</v>
      </c>
      <c r="D87" s="249" t="s">
        <v>1102</v>
      </c>
      <c r="E87" s="258" t="s">
        <v>1103</v>
      </c>
      <c r="F87" s="249"/>
      <c r="G87" s="249"/>
      <c r="H87" s="249"/>
      <c r="I87" s="249"/>
      <c r="J87" s="249"/>
      <c r="K87" s="249"/>
      <c r="L87" s="249"/>
      <c r="M87" s="249"/>
      <c r="N87" s="249"/>
      <c r="O87" s="249"/>
      <c r="P87" s="249"/>
      <c r="Q87" s="249"/>
      <c r="R87" s="249"/>
      <c r="S87" s="249"/>
      <c r="T87" s="249"/>
      <c r="U87" s="249"/>
      <c r="V87" s="249"/>
      <c r="W87" s="249"/>
      <c r="X87" s="249"/>
    </row>
    <row r="88" spans="1:24" s="22" customFormat="1" ht="30.75" customHeight="1">
      <c r="A88" s="350"/>
      <c r="B88" s="337"/>
      <c r="C88" s="249" t="s">
        <v>1104</v>
      </c>
      <c r="D88" s="249" t="s">
        <v>1104</v>
      </c>
      <c r="E88" s="258" t="s">
        <v>1105</v>
      </c>
      <c r="F88" s="249"/>
      <c r="G88" s="249"/>
      <c r="H88" s="249"/>
      <c r="I88" s="249"/>
      <c r="J88" s="249"/>
      <c r="K88" s="249"/>
      <c r="L88" s="249"/>
      <c r="M88" s="249"/>
      <c r="N88" s="249"/>
      <c r="O88" s="249"/>
      <c r="P88" s="249"/>
      <c r="Q88" s="249"/>
      <c r="R88" s="249"/>
      <c r="S88" s="249"/>
      <c r="T88" s="249"/>
      <c r="U88" s="249"/>
      <c r="V88" s="249"/>
      <c r="W88" s="249"/>
      <c r="X88" s="249"/>
    </row>
    <row r="89" spans="1:24" s="22" customFormat="1">
      <c r="A89" s="350"/>
      <c r="B89" s="338"/>
      <c r="C89" s="254" t="s">
        <v>1106</v>
      </c>
      <c r="D89" s="254" t="s">
        <v>1106</v>
      </c>
      <c r="E89" s="255" t="s">
        <v>1107</v>
      </c>
      <c r="F89" s="249"/>
      <c r="G89" s="249"/>
      <c r="H89" s="249"/>
      <c r="I89" s="249"/>
      <c r="J89" s="249"/>
      <c r="K89" s="249"/>
      <c r="L89" s="249"/>
      <c r="M89" s="249"/>
      <c r="N89" s="249"/>
      <c r="O89" s="249"/>
      <c r="P89" s="249"/>
      <c r="Q89" s="249"/>
      <c r="R89" s="249"/>
      <c r="S89" s="249"/>
      <c r="T89" s="249"/>
      <c r="U89" s="249"/>
      <c r="V89" s="249"/>
      <c r="W89" s="249"/>
      <c r="X89" s="249"/>
    </row>
    <row r="90" spans="1:24" s="22" customFormat="1">
      <c r="A90" s="350"/>
      <c r="B90" s="253" t="s">
        <v>1108</v>
      </c>
      <c r="C90" s="254" t="s">
        <v>1108</v>
      </c>
      <c r="D90" s="254" t="s">
        <v>1109</v>
      </c>
      <c r="E90" s="255" t="s">
        <v>1110</v>
      </c>
      <c r="F90" s="249"/>
      <c r="G90" s="249"/>
      <c r="H90" s="249"/>
      <c r="I90" s="249"/>
      <c r="J90" s="249"/>
      <c r="K90" s="249"/>
      <c r="L90" s="249"/>
      <c r="M90" s="249"/>
      <c r="N90" s="249"/>
      <c r="O90" s="249"/>
      <c r="P90" s="249"/>
      <c r="Q90" s="249"/>
      <c r="R90" s="249"/>
      <c r="S90" s="249"/>
      <c r="T90" s="249"/>
      <c r="U90" s="249"/>
      <c r="V90" s="249"/>
      <c r="W90" s="249"/>
      <c r="X90" s="249"/>
    </row>
    <row r="91" spans="1:24" s="22" customFormat="1">
      <c r="A91" s="350"/>
      <c r="B91" s="253" t="s">
        <v>1111</v>
      </c>
      <c r="C91" s="254" t="s">
        <v>1111</v>
      </c>
      <c r="D91" s="254" t="s">
        <v>1112</v>
      </c>
      <c r="E91" s="255" t="s">
        <v>1113</v>
      </c>
      <c r="F91" s="249"/>
      <c r="G91" s="249"/>
      <c r="H91" s="249"/>
      <c r="I91" s="249"/>
      <c r="J91" s="249"/>
      <c r="K91" s="249"/>
      <c r="L91" s="249"/>
      <c r="M91" s="249"/>
      <c r="N91" s="249"/>
      <c r="O91" s="249"/>
      <c r="P91" s="249"/>
      <c r="Q91" s="249"/>
      <c r="R91" s="249"/>
      <c r="S91" s="249"/>
      <c r="T91" s="249"/>
      <c r="U91" s="249"/>
      <c r="V91" s="249"/>
      <c r="W91" s="249"/>
      <c r="X91" s="249"/>
    </row>
    <row r="92" spans="1:24" s="22" customFormat="1">
      <c r="A92" s="350"/>
      <c r="B92" s="337" t="s">
        <v>1114</v>
      </c>
      <c r="C92" s="249" t="s">
        <v>1115</v>
      </c>
      <c r="D92" s="249" t="s">
        <v>1115</v>
      </c>
      <c r="E92" s="258" t="s">
        <v>1116</v>
      </c>
      <c r="F92" s="249"/>
      <c r="G92" s="249"/>
      <c r="H92" s="249"/>
      <c r="I92" s="249"/>
      <c r="J92" s="249"/>
      <c r="K92" s="249"/>
      <c r="L92" s="249"/>
      <c r="M92" s="249"/>
      <c r="N92" s="249"/>
      <c r="O92" s="249"/>
      <c r="P92" s="249"/>
      <c r="Q92" s="249"/>
      <c r="R92" s="249"/>
      <c r="S92" s="249"/>
      <c r="T92" s="249"/>
      <c r="U92" s="249"/>
      <c r="V92" s="249"/>
      <c r="W92" s="249"/>
      <c r="X92" s="249"/>
    </row>
    <row r="93" spans="1:24" s="22" customFormat="1">
      <c r="A93" s="350"/>
      <c r="B93" s="337"/>
      <c r="C93" s="249" t="s">
        <v>1117</v>
      </c>
      <c r="D93" s="249" t="s">
        <v>1117</v>
      </c>
      <c r="E93" s="258" t="s">
        <v>1118</v>
      </c>
      <c r="F93" s="249"/>
      <c r="G93" s="249"/>
      <c r="H93" s="249"/>
      <c r="I93" s="249"/>
      <c r="J93" s="249"/>
      <c r="K93" s="249"/>
      <c r="L93" s="249"/>
      <c r="M93" s="249"/>
      <c r="N93" s="249"/>
      <c r="O93" s="249"/>
      <c r="P93" s="249"/>
      <c r="Q93" s="249"/>
      <c r="R93" s="249"/>
      <c r="S93" s="249"/>
      <c r="T93" s="249"/>
      <c r="U93" s="249"/>
      <c r="V93" s="249"/>
      <c r="W93" s="249"/>
      <c r="X93" s="249"/>
    </row>
    <row r="94" spans="1:24" s="22" customFormat="1">
      <c r="A94" s="350"/>
      <c r="B94" s="338"/>
      <c r="C94" s="254" t="s">
        <v>1119</v>
      </c>
      <c r="D94" s="254" t="s">
        <v>1119</v>
      </c>
      <c r="E94" s="255" t="s">
        <v>1120</v>
      </c>
      <c r="F94" s="249"/>
      <c r="G94" s="249"/>
      <c r="H94" s="249"/>
      <c r="I94" s="249"/>
      <c r="J94" s="249"/>
      <c r="K94" s="249"/>
      <c r="L94" s="249"/>
      <c r="M94" s="249"/>
      <c r="N94" s="249"/>
      <c r="O94" s="249"/>
      <c r="P94" s="249"/>
      <c r="Q94" s="249"/>
      <c r="R94" s="249"/>
      <c r="S94" s="249"/>
      <c r="T94" s="249"/>
      <c r="U94" s="249"/>
      <c r="V94" s="249"/>
      <c r="W94" s="249"/>
      <c r="X94" s="249"/>
    </row>
    <row r="95" spans="1:24">
      <c r="A95" s="350"/>
      <c r="B95" s="337" t="s">
        <v>1121</v>
      </c>
      <c r="C95" s="339" t="s">
        <v>1121</v>
      </c>
      <c r="D95" s="249" t="s">
        <v>1122</v>
      </c>
      <c r="E95" s="258" t="s">
        <v>1123</v>
      </c>
      <c r="F95" s="249"/>
      <c r="G95" s="249"/>
      <c r="H95" s="249"/>
      <c r="I95" s="249"/>
      <c r="J95" s="249"/>
      <c r="K95" s="249"/>
      <c r="L95" s="249"/>
      <c r="M95" s="249"/>
      <c r="N95" s="249"/>
      <c r="O95" s="249"/>
      <c r="P95" s="249"/>
      <c r="Q95" s="249"/>
      <c r="R95" s="249"/>
      <c r="S95" s="249"/>
      <c r="T95" s="249"/>
      <c r="U95" s="249"/>
      <c r="V95" s="249"/>
      <c r="W95" s="249"/>
      <c r="X95" s="249"/>
    </row>
    <row r="96" spans="1:24" s="22" customFormat="1">
      <c r="A96" s="350"/>
      <c r="B96" s="337"/>
      <c r="C96" s="339"/>
      <c r="D96" s="249" t="s">
        <v>1124</v>
      </c>
      <c r="E96" s="258" t="s">
        <v>1125</v>
      </c>
      <c r="F96" s="249"/>
      <c r="G96" s="249"/>
      <c r="H96" s="249"/>
      <c r="I96" s="249"/>
      <c r="J96" s="249"/>
      <c r="K96" s="249"/>
      <c r="L96" s="249"/>
      <c r="M96" s="249"/>
      <c r="N96" s="249"/>
      <c r="O96" s="249"/>
      <c r="P96" s="249"/>
      <c r="Q96" s="249"/>
      <c r="R96" s="249"/>
      <c r="S96" s="249"/>
      <c r="T96" s="249"/>
      <c r="U96" s="249"/>
      <c r="V96" s="249"/>
      <c r="W96" s="249"/>
      <c r="X96" s="249"/>
    </row>
    <row r="97" spans="1:24" s="22" customFormat="1">
      <c r="A97" s="350"/>
      <c r="B97" s="337"/>
      <c r="C97" s="339"/>
      <c r="D97" s="249" t="s">
        <v>1126</v>
      </c>
      <c r="E97" s="258" t="s">
        <v>1127</v>
      </c>
      <c r="F97" s="249"/>
      <c r="G97" s="249"/>
      <c r="H97" s="249"/>
      <c r="I97" s="249"/>
      <c r="J97" s="249"/>
      <c r="K97" s="249"/>
      <c r="L97" s="249"/>
      <c r="M97" s="249"/>
      <c r="N97" s="249"/>
      <c r="O97" s="249"/>
      <c r="P97" s="249"/>
      <c r="Q97" s="249"/>
      <c r="R97" s="249"/>
      <c r="S97" s="249"/>
      <c r="T97" s="249"/>
      <c r="U97" s="249"/>
      <c r="V97" s="249"/>
      <c r="W97" s="249"/>
      <c r="X97" s="249"/>
    </row>
    <row r="98" spans="1:24" s="22" customFormat="1">
      <c r="A98" s="350"/>
      <c r="B98" s="337"/>
      <c r="C98" s="339"/>
      <c r="D98" s="249" t="s">
        <v>1128</v>
      </c>
      <c r="E98" s="258" t="s">
        <v>1129</v>
      </c>
      <c r="F98" s="249"/>
      <c r="G98" s="249"/>
      <c r="H98" s="249"/>
      <c r="I98" s="249"/>
      <c r="J98" s="249"/>
      <c r="K98" s="249"/>
      <c r="L98" s="249"/>
      <c r="M98" s="249"/>
      <c r="N98" s="249"/>
      <c r="O98" s="249"/>
      <c r="P98" s="249"/>
      <c r="Q98" s="249"/>
      <c r="R98" s="249"/>
      <c r="S98" s="249"/>
      <c r="T98" s="249"/>
      <c r="U98" s="249"/>
      <c r="V98" s="249"/>
      <c r="W98" s="249"/>
      <c r="X98" s="249"/>
    </row>
    <row r="99" spans="1:24" s="22" customFormat="1">
      <c r="A99" s="350"/>
      <c r="B99" s="337"/>
      <c r="C99" s="339"/>
      <c r="D99" s="249" t="s">
        <v>1130</v>
      </c>
      <c r="E99" s="258" t="s">
        <v>1131</v>
      </c>
      <c r="F99" s="249"/>
      <c r="G99" s="249"/>
      <c r="H99" s="249"/>
      <c r="I99" s="249"/>
      <c r="J99" s="249"/>
      <c r="K99" s="249"/>
      <c r="L99" s="249"/>
      <c r="M99" s="249"/>
      <c r="N99" s="249"/>
      <c r="O99" s="249"/>
      <c r="P99" s="249"/>
      <c r="Q99" s="249"/>
      <c r="R99" s="249"/>
      <c r="S99" s="249"/>
      <c r="T99" s="249"/>
      <c r="U99" s="249"/>
      <c r="V99" s="249"/>
      <c r="W99" s="249"/>
      <c r="X99" s="249"/>
    </row>
    <row r="100" spans="1:24" s="22" customFormat="1">
      <c r="A100" s="350"/>
      <c r="B100" s="338"/>
      <c r="C100" s="340"/>
      <c r="D100" s="254" t="s">
        <v>1132</v>
      </c>
      <c r="E100" s="255" t="s">
        <v>1133</v>
      </c>
      <c r="F100" s="249"/>
      <c r="G100" s="249"/>
      <c r="H100" s="249"/>
      <c r="I100" s="249"/>
      <c r="J100" s="249"/>
      <c r="K100" s="249"/>
      <c r="L100" s="249"/>
      <c r="M100" s="249"/>
      <c r="N100" s="249"/>
      <c r="O100" s="249"/>
      <c r="P100" s="249"/>
      <c r="Q100" s="249"/>
      <c r="R100" s="249"/>
      <c r="S100" s="249"/>
      <c r="T100" s="249"/>
      <c r="U100" s="249"/>
      <c r="V100" s="249"/>
      <c r="W100" s="249"/>
      <c r="X100" s="249"/>
    </row>
    <row r="101" spans="1:24" s="22" customFormat="1">
      <c r="A101" s="350"/>
      <c r="B101" s="253" t="s">
        <v>1134</v>
      </c>
      <c r="C101" s="254" t="s">
        <v>1134</v>
      </c>
      <c r="D101" s="254" t="s">
        <v>1134</v>
      </c>
      <c r="E101" s="255" t="s">
        <v>1135</v>
      </c>
      <c r="F101" s="249"/>
      <c r="G101" s="249"/>
      <c r="H101" s="249"/>
      <c r="I101" s="249"/>
      <c r="J101" s="249"/>
      <c r="K101" s="249"/>
      <c r="L101" s="249"/>
      <c r="M101" s="249"/>
      <c r="N101" s="249"/>
      <c r="O101" s="249"/>
      <c r="P101" s="249"/>
      <c r="Q101" s="249"/>
      <c r="R101" s="249"/>
      <c r="S101" s="249"/>
      <c r="T101" s="249"/>
      <c r="U101" s="249"/>
      <c r="V101" s="249"/>
      <c r="W101" s="249"/>
      <c r="X101" s="249"/>
    </row>
    <row r="102" spans="1:24" s="22" customFormat="1">
      <c r="A102" s="350"/>
      <c r="B102" s="253" t="s">
        <v>1136</v>
      </c>
      <c r="C102" s="254" t="s">
        <v>1136</v>
      </c>
      <c r="D102" s="254" t="s">
        <v>1137</v>
      </c>
      <c r="E102" s="255" t="s">
        <v>1138</v>
      </c>
      <c r="F102" s="249"/>
      <c r="G102" s="249"/>
      <c r="H102" s="249"/>
      <c r="I102" s="249"/>
      <c r="J102" s="249"/>
      <c r="K102" s="249"/>
      <c r="L102" s="249"/>
      <c r="M102" s="249"/>
      <c r="N102" s="249"/>
      <c r="O102" s="249"/>
      <c r="P102" s="249"/>
      <c r="Q102" s="249"/>
      <c r="R102" s="249"/>
      <c r="S102" s="249"/>
      <c r="T102" s="249"/>
      <c r="U102" s="249"/>
      <c r="V102" s="249"/>
      <c r="W102" s="249"/>
      <c r="X102" s="249"/>
    </row>
    <row r="103" spans="1:24" s="22" customFormat="1">
      <c r="A103" s="350"/>
      <c r="B103" s="253" t="s">
        <v>1139</v>
      </c>
      <c r="C103" s="254" t="s">
        <v>1140</v>
      </c>
      <c r="D103" s="254" t="s">
        <v>1139</v>
      </c>
      <c r="E103" s="255" t="s">
        <v>1139</v>
      </c>
      <c r="F103" s="249"/>
      <c r="G103" s="249"/>
      <c r="H103" s="249"/>
      <c r="I103" s="249"/>
      <c r="J103" s="249"/>
      <c r="K103" s="249"/>
      <c r="L103" s="249"/>
      <c r="M103" s="249"/>
      <c r="N103" s="249"/>
      <c r="O103" s="249"/>
      <c r="P103" s="249"/>
      <c r="Q103" s="249"/>
      <c r="R103" s="249"/>
      <c r="S103" s="249"/>
      <c r="T103" s="249"/>
      <c r="U103" s="249"/>
      <c r="V103" s="249"/>
      <c r="W103" s="249"/>
      <c r="X103" s="249"/>
    </row>
    <row r="104" spans="1:24" s="22" customFormat="1">
      <c r="A104" s="350"/>
      <c r="B104" s="337" t="s">
        <v>1141</v>
      </c>
      <c r="C104" s="339" t="s">
        <v>1141</v>
      </c>
      <c r="D104" s="249" t="s">
        <v>1142</v>
      </c>
      <c r="E104" s="258" t="s">
        <v>1143</v>
      </c>
      <c r="F104" s="249"/>
      <c r="G104" s="249"/>
      <c r="H104" s="249"/>
      <c r="I104" s="249"/>
      <c r="J104" s="249"/>
      <c r="K104" s="249"/>
      <c r="L104" s="249"/>
      <c r="M104" s="249"/>
      <c r="N104" s="249"/>
      <c r="O104" s="249"/>
      <c r="P104" s="249"/>
      <c r="Q104" s="249"/>
      <c r="R104" s="249"/>
      <c r="S104" s="249"/>
      <c r="T104" s="249"/>
      <c r="U104" s="249"/>
      <c r="V104" s="249"/>
      <c r="W104" s="249"/>
      <c r="X104" s="249"/>
    </row>
    <row r="105" spans="1:24">
      <c r="A105" s="350"/>
      <c r="B105" s="338"/>
      <c r="C105" s="340"/>
      <c r="D105" s="254" t="s">
        <v>1144</v>
      </c>
      <c r="E105" s="255" t="s">
        <v>1145</v>
      </c>
      <c r="F105" s="249"/>
      <c r="G105" s="249"/>
      <c r="H105" s="249"/>
      <c r="I105" s="249"/>
      <c r="J105" s="249"/>
      <c r="K105" s="249"/>
      <c r="L105" s="249"/>
      <c r="M105" s="249"/>
      <c r="N105" s="249"/>
      <c r="O105" s="249"/>
      <c r="P105" s="249"/>
      <c r="Q105" s="249"/>
      <c r="R105" s="249"/>
      <c r="S105" s="249"/>
      <c r="T105" s="249"/>
      <c r="U105" s="249"/>
      <c r="V105" s="249"/>
      <c r="W105" s="249"/>
      <c r="X105" s="249"/>
    </row>
    <row r="106" spans="1:24">
      <c r="A106" s="350"/>
      <c r="B106" s="253" t="s">
        <v>1146</v>
      </c>
      <c r="C106" s="254" t="s">
        <v>1146</v>
      </c>
      <c r="D106" s="254" t="s">
        <v>1147</v>
      </c>
      <c r="E106" s="255" t="s">
        <v>1148</v>
      </c>
      <c r="F106" s="249"/>
      <c r="G106" s="249"/>
      <c r="H106" s="249"/>
      <c r="I106" s="249"/>
      <c r="J106" s="249"/>
      <c r="K106" s="249"/>
      <c r="L106" s="249"/>
      <c r="M106" s="249"/>
      <c r="N106" s="249"/>
      <c r="O106" s="249"/>
      <c r="P106" s="249"/>
      <c r="Q106" s="249"/>
      <c r="R106" s="249"/>
      <c r="S106" s="249"/>
      <c r="T106" s="249"/>
      <c r="U106" s="249"/>
      <c r="V106" s="249"/>
      <c r="W106" s="249"/>
      <c r="X106" s="249"/>
    </row>
    <row r="107" spans="1:24">
      <c r="A107" s="350"/>
      <c r="B107" s="253" t="s">
        <v>1149</v>
      </c>
      <c r="C107" s="257" t="s">
        <v>1150</v>
      </c>
      <c r="D107" s="254" t="s">
        <v>1151</v>
      </c>
      <c r="E107" s="255" t="s">
        <v>1149</v>
      </c>
      <c r="F107" s="249"/>
      <c r="G107" s="249"/>
      <c r="H107" s="249"/>
      <c r="I107" s="249"/>
      <c r="J107" s="249"/>
      <c r="K107" s="249"/>
      <c r="L107" s="249"/>
      <c r="M107" s="249"/>
      <c r="N107" s="249"/>
      <c r="O107" s="249"/>
      <c r="P107" s="249"/>
      <c r="Q107" s="249"/>
      <c r="R107" s="249"/>
      <c r="S107" s="249"/>
      <c r="T107" s="249"/>
      <c r="U107" s="249"/>
      <c r="V107" s="249"/>
      <c r="W107" s="249"/>
      <c r="X107" s="249"/>
    </row>
    <row r="108" spans="1:24">
      <c r="A108" s="270"/>
      <c r="B108" s="249"/>
      <c r="C108" s="249"/>
      <c r="D108" s="249"/>
      <c r="E108" s="249"/>
      <c r="F108" s="249"/>
      <c r="G108" s="249"/>
      <c r="H108" s="249"/>
      <c r="I108" s="249"/>
      <c r="J108" s="249"/>
      <c r="K108" s="249"/>
      <c r="L108" s="249"/>
      <c r="M108" s="249"/>
      <c r="N108" s="249"/>
      <c r="O108" s="249"/>
      <c r="P108" s="249"/>
      <c r="Q108" s="249"/>
      <c r="R108" s="249"/>
      <c r="S108" s="249"/>
      <c r="T108" s="249"/>
      <c r="U108" s="249"/>
      <c r="V108" s="249"/>
      <c r="W108" s="249"/>
      <c r="X108" s="249"/>
    </row>
    <row r="109" spans="1:24">
      <c r="A109" s="270"/>
      <c r="B109" s="249"/>
      <c r="C109" s="249"/>
      <c r="D109" s="249"/>
      <c r="E109" s="249"/>
      <c r="F109" s="249"/>
      <c r="G109" s="249"/>
      <c r="H109" s="249"/>
      <c r="I109" s="249"/>
      <c r="J109" s="249"/>
      <c r="K109" s="249"/>
      <c r="L109" s="249"/>
      <c r="M109" s="249"/>
      <c r="N109" s="249"/>
      <c r="O109" s="249"/>
      <c r="P109" s="249"/>
      <c r="Q109" s="249"/>
      <c r="R109" s="249"/>
      <c r="S109" s="249"/>
      <c r="T109" s="249"/>
      <c r="U109" s="249"/>
      <c r="V109" s="249"/>
      <c r="W109" s="249"/>
      <c r="X109" s="249"/>
    </row>
    <row r="110" spans="1:24">
      <c r="A110" s="334" t="s">
        <v>861</v>
      </c>
      <c r="B110" s="265" t="s">
        <v>71</v>
      </c>
      <c r="C110" s="265" t="s">
        <v>1152</v>
      </c>
      <c r="D110" s="265" t="s">
        <v>1153</v>
      </c>
      <c r="E110" s="266" t="s">
        <v>71</v>
      </c>
      <c r="F110" s="249"/>
      <c r="G110" s="249"/>
      <c r="H110" s="249"/>
      <c r="I110" s="249"/>
      <c r="J110" s="249"/>
      <c r="K110" s="249"/>
      <c r="L110" s="249"/>
      <c r="M110" s="249"/>
      <c r="N110" s="249"/>
      <c r="O110" s="249"/>
      <c r="P110" s="249"/>
      <c r="Q110" s="249"/>
      <c r="R110" s="249"/>
      <c r="S110" s="249"/>
      <c r="T110" s="249"/>
      <c r="U110" s="249"/>
      <c r="V110" s="249"/>
      <c r="W110" s="249"/>
      <c r="X110" s="249"/>
    </row>
    <row r="111" spans="1:24">
      <c r="A111" s="335"/>
      <c r="B111" s="345" t="s">
        <v>793</v>
      </c>
      <c r="C111" s="345" t="s">
        <v>1154</v>
      </c>
      <c r="D111" s="265" t="s">
        <v>1155</v>
      </c>
      <c r="E111" s="266" t="s">
        <v>240</v>
      </c>
      <c r="F111" s="249"/>
      <c r="G111" s="249"/>
      <c r="H111" s="249"/>
      <c r="I111" s="249"/>
      <c r="J111" s="249"/>
      <c r="K111" s="249"/>
      <c r="L111" s="249"/>
      <c r="M111" s="249"/>
      <c r="N111" s="249"/>
      <c r="O111" s="249"/>
      <c r="P111" s="249"/>
      <c r="Q111" s="249"/>
      <c r="R111" s="249"/>
      <c r="S111" s="249"/>
      <c r="T111" s="249"/>
      <c r="U111" s="249"/>
      <c r="V111" s="249"/>
      <c r="W111" s="249"/>
      <c r="X111" s="249"/>
    </row>
    <row r="112" spans="1:24">
      <c r="A112" s="335"/>
      <c r="B112" s="339"/>
      <c r="C112" s="339"/>
      <c r="D112" s="249" t="s">
        <v>1156</v>
      </c>
      <c r="E112" s="258" t="s">
        <v>241</v>
      </c>
      <c r="F112" s="249"/>
      <c r="G112" s="249"/>
      <c r="H112" s="249"/>
      <c r="I112" s="249"/>
      <c r="J112" s="249"/>
      <c r="K112" s="249"/>
      <c r="L112" s="249"/>
      <c r="M112" s="249"/>
      <c r="N112" s="249"/>
      <c r="O112" s="249"/>
      <c r="P112" s="249"/>
      <c r="Q112" s="249"/>
      <c r="R112" s="249"/>
      <c r="S112" s="249"/>
      <c r="T112" s="249"/>
      <c r="U112" s="249"/>
      <c r="V112" s="249"/>
      <c r="W112" s="249"/>
      <c r="X112" s="249"/>
    </row>
    <row r="113" spans="1:24">
      <c r="A113" s="335"/>
      <c r="B113" s="340"/>
      <c r="C113" s="340"/>
      <c r="D113" s="254" t="s">
        <v>1157</v>
      </c>
      <c r="E113" s="255" t="s">
        <v>242</v>
      </c>
      <c r="F113" s="249"/>
      <c r="G113" s="249"/>
      <c r="H113" s="249"/>
      <c r="I113" s="249"/>
      <c r="J113" s="249"/>
      <c r="K113" s="249"/>
      <c r="L113" s="249"/>
      <c r="M113" s="249"/>
      <c r="N113" s="249"/>
      <c r="O113" s="249"/>
      <c r="P113" s="249"/>
      <c r="Q113" s="249"/>
      <c r="R113" s="249"/>
      <c r="S113" s="249"/>
      <c r="T113" s="249"/>
      <c r="U113" s="249"/>
      <c r="V113" s="249"/>
      <c r="W113" s="249"/>
      <c r="X113" s="249"/>
    </row>
    <row r="114" spans="1:24">
      <c r="A114" s="335"/>
      <c r="B114" s="254" t="s">
        <v>1158</v>
      </c>
      <c r="C114" s="254" t="s">
        <v>1159</v>
      </c>
      <c r="D114" s="254" t="s">
        <v>1160</v>
      </c>
      <c r="E114" s="255" t="s">
        <v>143</v>
      </c>
      <c r="F114" s="249"/>
      <c r="G114" s="249"/>
      <c r="H114" s="249"/>
      <c r="I114" s="249"/>
      <c r="J114" s="249"/>
      <c r="K114" s="249"/>
      <c r="L114" s="249"/>
      <c r="M114" s="249"/>
      <c r="N114" s="249"/>
      <c r="O114" s="249"/>
      <c r="P114" s="249"/>
      <c r="Q114" s="249"/>
      <c r="R114" s="249"/>
      <c r="S114" s="249"/>
      <c r="T114" s="249"/>
      <c r="U114" s="249"/>
      <c r="V114" s="249"/>
      <c r="W114" s="249"/>
      <c r="X114" s="249"/>
    </row>
    <row r="115" spans="1:24">
      <c r="A115" s="335"/>
      <c r="B115" s="339" t="s">
        <v>1161</v>
      </c>
      <c r="C115" s="339" t="s">
        <v>1162</v>
      </c>
      <c r="D115" s="249" t="s">
        <v>1163</v>
      </c>
      <c r="E115" s="258" t="s">
        <v>159</v>
      </c>
      <c r="F115" s="249"/>
      <c r="G115" s="249"/>
      <c r="H115" s="249"/>
      <c r="I115" s="249"/>
      <c r="J115" s="249"/>
      <c r="K115" s="249"/>
      <c r="L115" s="249"/>
      <c r="M115" s="249"/>
      <c r="N115" s="249"/>
      <c r="O115" s="249"/>
      <c r="P115" s="249"/>
      <c r="Q115" s="249"/>
      <c r="R115" s="249"/>
      <c r="S115" s="249"/>
      <c r="T115" s="249"/>
      <c r="U115" s="249"/>
      <c r="V115" s="249"/>
      <c r="W115" s="249"/>
      <c r="X115" s="249"/>
    </row>
    <row r="116" spans="1:24">
      <c r="A116" s="335"/>
      <c r="B116" s="340"/>
      <c r="C116" s="340"/>
      <c r="D116" s="254" t="s">
        <v>1164</v>
      </c>
      <c r="E116" s="255" t="s">
        <v>160</v>
      </c>
      <c r="F116" s="249"/>
      <c r="G116" s="249"/>
      <c r="H116" s="249"/>
      <c r="I116" s="249"/>
      <c r="J116" s="249"/>
      <c r="K116" s="249"/>
      <c r="L116" s="249"/>
      <c r="M116" s="249"/>
      <c r="N116" s="249"/>
      <c r="O116" s="249"/>
      <c r="P116" s="249"/>
      <c r="Q116" s="249"/>
      <c r="R116" s="249"/>
      <c r="S116" s="249"/>
      <c r="T116" s="249"/>
      <c r="U116" s="249"/>
      <c r="V116" s="249"/>
      <c r="W116" s="249"/>
      <c r="X116" s="249"/>
    </row>
    <row r="117" spans="1:24">
      <c r="A117" s="335"/>
      <c r="B117" s="254" t="s">
        <v>1165</v>
      </c>
      <c r="C117" s="254" t="s">
        <v>1166</v>
      </c>
      <c r="D117" s="254" t="s">
        <v>1167</v>
      </c>
      <c r="E117" s="255" t="s">
        <v>180</v>
      </c>
      <c r="F117" s="249"/>
      <c r="G117" s="249"/>
      <c r="H117" s="249"/>
      <c r="I117" s="249"/>
      <c r="J117" s="249"/>
      <c r="K117" s="249"/>
      <c r="L117" s="249"/>
      <c r="M117" s="249"/>
      <c r="N117" s="249"/>
      <c r="O117" s="249"/>
      <c r="P117" s="249"/>
      <c r="Q117" s="249"/>
      <c r="R117" s="249"/>
      <c r="S117" s="249"/>
      <c r="T117" s="249"/>
      <c r="U117" s="249"/>
      <c r="V117" s="249"/>
      <c r="W117" s="249"/>
      <c r="X117" s="249"/>
    </row>
    <row r="118" spans="1:24">
      <c r="A118" s="335"/>
      <c r="B118" s="339" t="s">
        <v>414</v>
      </c>
      <c r="C118" s="249" t="s">
        <v>1168</v>
      </c>
      <c r="D118" s="249" t="s">
        <v>1169</v>
      </c>
      <c r="E118" s="258" t="s">
        <v>414</v>
      </c>
      <c r="F118" s="249"/>
      <c r="G118" s="249"/>
      <c r="H118" s="249"/>
      <c r="I118" s="249"/>
      <c r="J118" s="249"/>
      <c r="K118" s="249"/>
      <c r="L118" s="249"/>
      <c r="M118" s="249"/>
      <c r="N118" s="249"/>
      <c r="O118" s="249"/>
      <c r="P118" s="249"/>
      <c r="Q118" s="249"/>
      <c r="R118" s="249"/>
      <c r="S118" s="249"/>
      <c r="T118" s="249"/>
      <c r="U118" s="249"/>
      <c r="V118" s="249"/>
      <c r="W118" s="249"/>
      <c r="X118" s="249"/>
    </row>
    <row r="119" spans="1:24">
      <c r="A119" s="335"/>
      <c r="B119" s="340"/>
      <c r="C119" s="254" t="s">
        <v>1170</v>
      </c>
      <c r="D119" s="254" t="s">
        <v>1171</v>
      </c>
      <c r="E119" s="255" t="s">
        <v>536</v>
      </c>
      <c r="F119" s="249"/>
      <c r="G119" s="249"/>
      <c r="H119" s="249"/>
      <c r="I119" s="249"/>
      <c r="J119" s="249"/>
      <c r="K119" s="249"/>
      <c r="L119" s="249"/>
      <c r="M119" s="249"/>
      <c r="N119" s="249"/>
      <c r="O119" s="249"/>
      <c r="P119" s="249"/>
      <c r="Q119" s="249"/>
      <c r="R119" s="249"/>
      <c r="S119" s="249"/>
      <c r="T119" s="249"/>
      <c r="U119" s="249"/>
      <c r="V119" s="249"/>
      <c r="W119" s="249"/>
      <c r="X119" s="249"/>
    </row>
    <row r="120" spans="1:24">
      <c r="A120" s="335"/>
      <c r="B120" s="339" t="s">
        <v>485</v>
      </c>
      <c r="C120" s="339" t="s">
        <v>1172</v>
      </c>
      <c r="D120" s="249" t="s">
        <v>1173</v>
      </c>
      <c r="E120" s="258" t="s">
        <v>485</v>
      </c>
      <c r="F120" s="249"/>
      <c r="G120" s="249"/>
      <c r="H120" s="249"/>
      <c r="I120" s="249"/>
      <c r="J120" s="249"/>
      <c r="K120" s="249"/>
      <c r="L120" s="249"/>
      <c r="M120" s="249"/>
      <c r="N120" s="249"/>
      <c r="O120" s="249"/>
      <c r="P120" s="249"/>
      <c r="Q120" s="249"/>
      <c r="R120" s="249"/>
      <c r="S120" s="249"/>
      <c r="T120" s="249"/>
      <c r="U120" s="249"/>
      <c r="V120" s="249"/>
      <c r="W120" s="249"/>
      <c r="X120" s="249"/>
    </row>
    <row r="121" spans="1:24">
      <c r="A121" s="335"/>
      <c r="B121" s="340"/>
      <c r="C121" s="340"/>
      <c r="D121" s="254" t="s">
        <v>1174</v>
      </c>
      <c r="E121" s="255" t="s">
        <v>560</v>
      </c>
      <c r="F121" s="249"/>
      <c r="G121" s="249"/>
      <c r="H121" s="249"/>
      <c r="I121" s="249"/>
      <c r="J121" s="249"/>
      <c r="K121" s="249"/>
      <c r="L121" s="249"/>
      <c r="M121" s="249"/>
      <c r="N121" s="249"/>
      <c r="O121" s="249"/>
      <c r="P121" s="249"/>
      <c r="Q121" s="249"/>
      <c r="R121" s="249"/>
      <c r="S121" s="249"/>
      <c r="T121" s="249"/>
      <c r="U121" s="249"/>
      <c r="V121" s="249"/>
      <c r="W121" s="249"/>
      <c r="X121" s="249"/>
    </row>
    <row r="122" spans="1:24">
      <c r="A122" s="335"/>
      <c r="B122" s="254" t="s">
        <v>1175</v>
      </c>
      <c r="C122" s="254" t="s">
        <v>1176</v>
      </c>
      <c r="D122" s="254" t="s">
        <v>1177</v>
      </c>
      <c r="E122" s="255" t="s">
        <v>1175</v>
      </c>
      <c r="F122" s="249"/>
      <c r="G122" s="249"/>
      <c r="H122" s="249"/>
      <c r="I122" s="249"/>
      <c r="J122" s="249"/>
      <c r="K122" s="249"/>
      <c r="L122" s="249"/>
      <c r="M122" s="249"/>
      <c r="N122" s="249"/>
      <c r="O122" s="249"/>
      <c r="P122" s="249"/>
      <c r="Q122" s="249"/>
      <c r="R122" s="249"/>
      <c r="S122" s="249"/>
      <c r="T122" s="249"/>
      <c r="U122" s="249"/>
      <c r="V122" s="249"/>
      <c r="W122" s="249"/>
      <c r="X122" s="249"/>
    </row>
    <row r="123" spans="1:24">
      <c r="A123" s="335"/>
      <c r="B123" s="254" t="s">
        <v>1178</v>
      </c>
      <c r="C123" s="254" t="s">
        <v>1179</v>
      </c>
      <c r="D123" s="254" t="s">
        <v>1180</v>
      </c>
      <c r="E123" s="255" t="s">
        <v>1181</v>
      </c>
      <c r="F123" s="249"/>
      <c r="G123" s="249"/>
      <c r="H123" s="249"/>
      <c r="I123" s="249"/>
      <c r="J123" s="249"/>
      <c r="K123" s="249"/>
      <c r="L123" s="249"/>
      <c r="M123" s="249"/>
      <c r="N123" s="249"/>
      <c r="O123" s="249"/>
      <c r="P123" s="249"/>
      <c r="Q123" s="249"/>
      <c r="R123" s="249"/>
      <c r="S123" s="249"/>
      <c r="T123" s="249"/>
      <c r="U123" s="249"/>
      <c r="V123" s="249"/>
      <c r="W123" s="249"/>
      <c r="X123" s="249"/>
    </row>
    <row r="124" spans="1:24">
      <c r="A124" s="335"/>
      <c r="B124" s="339" t="s">
        <v>1182</v>
      </c>
      <c r="C124" s="339" t="s">
        <v>1183</v>
      </c>
      <c r="D124" s="249" t="s">
        <v>1184</v>
      </c>
      <c r="E124" s="258" t="s">
        <v>573</v>
      </c>
      <c r="F124" s="249"/>
      <c r="G124" s="249"/>
      <c r="H124" s="249"/>
      <c r="I124" s="249"/>
      <c r="J124" s="249"/>
      <c r="K124" s="249"/>
      <c r="L124" s="249"/>
      <c r="M124" s="249"/>
      <c r="N124" s="249"/>
      <c r="O124" s="249"/>
      <c r="P124" s="249"/>
      <c r="Q124" s="249"/>
      <c r="R124" s="249"/>
      <c r="S124" s="249"/>
      <c r="T124" s="249"/>
      <c r="U124" s="249"/>
      <c r="V124" s="249"/>
      <c r="W124" s="249"/>
      <c r="X124" s="249"/>
    </row>
    <row r="125" spans="1:24">
      <c r="A125" s="336"/>
      <c r="B125" s="340"/>
      <c r="C125" s="340"/>
      <c r="D125" s="254" t="s">
        <v>1185</v>
      </c>
      <c r="E125" s="255" t="s">
        <v>574</v>
      </c>
      <c r="F125" s="249"/>
      <c r="G125" s="249"/>
      <c r="H125" s="249"/>
      <c r="I125" s="249"/>
      <c r="J125" s="249"/>
      <c r="K125" s="249"/>
      <c r="L125" s="249"/>
      <c r="M125" s="249"/>
      <c r="N125" s="249"/>
      <c r="O125" s="249"/>
      <c r="P125" s="249"/>
      <c r="Q125" s="249"/>
      <c r="R125" s="249"/>
      <c r="S125" s="249"/>
      <c r="T125" s="249"/>
      <c r="U125" s="249"/>
      <c r="V125" s="249"/>
      <c r="W125" s="249"/>
      <c r="X125" s="249"/>
    </row>
    <row r="126" spans="1:24">
      <c r="A126" s="270"/>
      <c r="B126" s="249"/>
      <c r="C126" s="249"/>
      <c r="D126" s="249"/>
      <c r="E126" s="249"/>
      <c r="F126" s="249"/>
      <c r="G126" s="249"/>
      <c r="H126" s="249"/>
      <c r="I126" s="249"/>
      <c r="J126" s="249"/>
      <c r="K126" s="249"/>
      <c r="L126" s="249"/>
      <c r="M126" s="249"/>
      <c r="N126" s="249"/>
      <c r="O126" s="249"/>
      <c r="P126" s="249"/>
      <c r="Q126" s="249"/>
      <c r="R126" s="249"/>
      <c r="S126" s="249"/>
      <c r="T126" s="249"/>
      <c r="U126" s="249"/>
      <c r="V126" s="249"/>
      <c r="W126" s="249"/>
      <c r="X126" s="249"/>
    </row>
    <row r="127" spans="1:24">
      <c r="A127" s="270"/>
      <c r="B127" s="249"/>
      <c r="C127" s="249"/>
      <c r="D127" s="249"/>
      <c r="E127" s="249"/>
      <c r="F127" s="249"/>
      <c r="G127" s="249"/>
      <c r="H127" s="249"/>
      <c r="I127" s="249"/>
      <c r="J127" s="249"/>
      <c r="K127" s="249"/>
      <c r="L127" s="249"/>
      <c r="M127" s="249"/>
      <c r="N127" s="249"/>
      <c r="O127" s="249"/>
      <c r="P127" s="249"/>
      <c r="Q127" s="249"/>
      <c r="R127" s="249"/>
      <c r="S127" s="249"/>
      <c r="T127" s="249"/>
      <c r="U127" s="249"/>
      <c r="V127" s="249"/>
      <c r="W127" s="249"/>
      <c r="X127" s="249"/>
    </row>
    <row r="128" spans="1:24">
      <c r="A128" s="334" t="s">
        <v>1186</v>
      </c>
      <c r="B128" s="344" t="s">
        <v>73</v>
      </c>
      <c r="C128" s="345" t="s">
        <v>1187</v>
      </c>
      <c r="D128" s="265" t="s">
        <v>1188</v>
      </c>
      <c r="E128" s="266" t="s">
        <v>73</v>
      </c>
      <c r="F128" s="249"/>
      <c r="G128" s="249"/>
      <c r="H128" s="249"/>
      <c r="I128" s="249"/>
      <c r="J128" s="249"/>
      <c r="K128" s="249"/>
      <c r="L128" s="249"/>
      <c r="M128" s="249"/>
      <c r="N128" s="249"/>
      <c r="O128" s="249"/>
      <c r="P128" s="249"/>
      <c r="Q128" s="249"/>
      <c r="R128" s="249"/>
      <c r="S128" s="249"/>
      <c r="T128" s="249"/>
      <c r="U128" s="249"/>
      <c r="V128" s="249"/>
      <c r="W128" s="249"/>
      <c r="X128" s="249"/>
    </row>
    <row r="129" spans="1:24">
      <c r="A129" s="335"/>
      <c r="B129" s="338"/>
      <c r="C129" s="340"/>
      <c r="D129" s="254" t="s">
        <v>1189</v>
      </c>
      <c r="E129" s="255" t="s">
        <v>335</v>
      </c>
      <c r="F129" s="249"/>
      <c r="G129" s="249"/>
      <c r="H129" s="249"/>
      <c r="I129" s="249"/>
      <c r="J129" s="249"/>
      <c r="K129" s="249"/>
      <c r="L129" s="249"/>
      <c r="M129" s="249"/>
      <c r="N129" s="249"/>
      <c r="O129" s="249"/>
      <c r="P129" s="249"/>
      <c r="Q129" s="249"/>
      <c r="R129" s="249"/>
      <c r="S129" s="249"/>
      <c r="T129" s="249"/>
      <c r="U129" s="249"/>
      <c r="V129" s="249"/>
      <c r="W129" s="249"/>
      <c r="X129" s="249"/>
    </row>
    <row r="130" spans="1:24">
      <c r="A130" s="335"/>
      <c r="B130" s="254" t="s">
        <v>87</v>
      </c>
      <c r="C130" s="254" t="s">
        <v>1190</v>
      </c>
      <c r="D130" s="254" t="s">
        <v>1191</v>
      </c>
      <c r="E130" s="255" t="s">
        <v>87</v>
      </c>
      <c r="F130" s="249"/>
      <c r="G130" s="249"/>
      <c r="H130" s="249"/>
      <c r="I130" s="249"/>
      <c r="J130" s="249"/>
      <c r="K130" s="249"/>
      <c r="L130" s="249"/>
      <c r="M130" s="249"/>
      <c r="N130" s="249"/>
      <c r="O130" s="249"/>
      <c r="P130" s="249"/>
      <c r="Q130" s="249"/>
      <c r="R130" s="249"/>
      <c r="S130" s="249"/>
      <c r="T130" s="249"/>
      <c r="U130" s="249"/>
      <c r="V130" s="249"/>
      <c r="W130" s="249"/>
      <c r="X130" s="249"/>
    </row>
    <row r="131" spans="1:24">
      <c r="A131" s="335"/>
      <c r="B131" s="254" t="s">
        <v>331</v>
      </c>
      <c r="C131" s="254" t="s">
        <v>1192</v>
      </c>
      <c r="D131" s="254" t="s">
        <v>1193</v>
      </c>
      <c r="E131" s="255" t="s">
        <v>331</v>
      </c>
      <c r="F131" s="249"/>
      <c r="G131" s="249"/>
      <c r="H131" s="249"/>
      <c r="I131" s="249"/>
      <c r="J131" s="249"/>
      <c r="K131" s="249"/>
      <c r="L131" s="249"/>
      <c r="M131" s="249"/>
      <c r="N131" s="249"/>
      <c r="O131" s="249"/>
      <c r="P131" s="249"/>
      <c r="Q131" s="249"/>
      <c r="R131" s="249"/>
      <c r="S131" s="249"/>
      <c r="T131" s="249"/>
      <c r="U131" s="249"/>
      <c r="V131" s="249"/>
      <c r="W131" s="249"/>
      <c r="X131" s="249"/>
    </row>
    <row r="132" spans="1:24" ht="30.75" customHeight="1">
      <c r="A132" s="335"/>
      <c r="B132" s="254" t="s">
        <v>437</v>
      </c>
      <c r="C132" s="257" t="s">
        <v>1194</v>
      </c>
      <c r="D132" s="254" t="s">
        <v>1195</v>
      </c>
      <c r="E132" s="255" t="s">
        <v>437</v>
      </c>
      <c r="F132" s="249"/>
      <c r="G132" s="249"/>
      <c r="H132" s="249"/>
      <c r="I132" s="249"/>
      <c r="J132" s="249"/>
      <c r="K132" s="249"/>
      <c r="L132" s="249"/>
      <c r="M132" s="249"/>
      <c r="N132" s="249"/>
      <c r="O132" s="249"/>
      <c r="P132" s="249"/>
      <c r="Q132" s="249"/>
      <c r="R132" s="249"/>
      <c r="S132" s="249"/>
      <c r="T132" s="249"/>
      <c r="U132" s="249"/>
      <c r="V132" s="249"/>
      <c r="W132" s="249"/>
      <c r="X132" s="249"/>
    </row>
    <row r="133" spans="1:24">
      <c r="A133" s="335"/>
      <c r="B133" s="254" t="s">
        <v>715</v>
      </c>
      <c r="C133" s="257" t="s">
        <v>1196</v>
      </c>
      <c r="D133" s="254" t="s">
        <v>1197</v>
      </c>
      <c r="E133" s="255" t="s">
        <v>715</v>
      </c>
      <c r="F133" s="249"/>
      <c r="G133" s="249"/>
      <c r="H133" s="249"/>
      <c r="I133" s="249"/>
      <c r="J133" s="249"/>
      <c r="K133" s="249"/>
      <c r="L133" s="249"/>
      <c r="M133" s="249"/>
      <c r="N133" s="249"/>
      <c r="O133" s="249"/>
      <c r="P133" s="249"/>
      <c r="Q133" s="249"/>
      <c r="R133" s="249"/>
      <c r="S133" s="249"/>
      <c r="T133" s="249"/>
      <c r="U133" s="249"/>
      <c r="V133" s="249"/>
      <c r="W133" s="249"/>
      <c r="X133" s="249"/>
    </row>
    <row r="134" spans="1:24">
      <c r="A134" s="335"/>
      <c r="B134" s="254" t="s">
        <v>1198</v>
      </c>
      <c r="C134" s="257" t="s">
        <v>1199</v>
      </c>
      <c r="D134" s="254" t="s">
        <v>1200</v>
      </c>
      <c r="E134" s="255" t="s">
        <v>1198</v>
      </c>
      <c r="F134" s="249"/>
      <c r="G134" s="249"/>
      <c r="H134" s="249"/>
      <c r="I134" s="249"/>
      <c r="J134" s="249"/>
      <c r="K134" s="249"/>
      <c r="L134" s="249"/>
      <c r="M134" s="249"/>
      <c r="N134" s="249"/>
      <c r="O134" s="249"/>
      <c r="P134" s="249"/>
      <c r="Q134" s="249"/>
      <c r="R134" s="249"/>
      <c r="S134" s="249"/>
      <c r="T134" s="249"/>
      <c r="U134" s="249"/>
      <c r="V134" s="249"/>
      <c r="W134" s="249"/>
      <c r="X134" s="249"/>
    </row>
    <row r="135" spans="1:24">
      <c r="A135" s="335"/>
      <c r="B135" s="254" t="s">
        <v>1201</v>
      </c>
      <c r="C135" s="257" t="s">
        <v>1202</v>
      </c>
      <c r="D135" s="254" t="s">
        <v>1203</v>
      </c>
      <c r="E135" s="255" t="s">
        <v>1201</v>
      </c>
      <c r="F135" s="249"/>
      <c r="G135" s="249"/>
      <c r="H135" s="249"/>
      <c r="I135" s="249"/>
      <c r="J135" s="249"/>
      <c r="K135" s="249"/>
      <c r="L135" s="249"/>
      <c r="M135" s="249"/>
      <c r="N135" s="249"/>
      <c r="O135" s="249"/>
      <c r="P135" s="249"/>
      <c r="Q135" s="249"/>
      <c r="R135" s="249"/>
      <c r="S135" s="249"/>
      <c r="T135" s="249"/>
      <c r="U135" s="249"/>
      <c r="V135" s="249"/>
      <c r="W135" s="249"/>
      <c r="X135" s="249"/>
    </row>
    <row r="136" spans="1:24">
      <c r="A136" s="335"/>
      <c r="B136" s="337" t="s">
        <v>1204</v>
      </c>
      <c r="C136" s="346" t="s">
        <v>1204</v>
      </c>
      <c r="D136" s="249" t="s">
        <v>1205</v>
      </c>
      <c r="E136" s="258" t="s">
        <v>310</v>
      </c>
      <c r="F136" s="249"/>
      <c r="G136" s="249"/>
      <c r="H136" s="249"/>
      <c r="I136" s="249"/>
      <c r="J136" s="249"/>
      <c r="K136" s="249"/>
      <c r="L136" s="249"/>
      <c r="M136" s="249"/>
      <c r="N136" s="249"/>
      <c r="O136" s="249"/>
      <c r="P136" s="249"/>
      <c r="Q136" s="249"/>
      <c r="R136" s="249"/>
      <c r="S136" s="249"/>
      <c r="T136" s="249"/>
      <c r="U136" s="249"/>
      <c r="V136" s="249"/>
      <c r="W136" s="249"/>
      <c r="X136" s="249"/>
    </row>
    <row r="137" spans="1:24">
      <c r="A137" s="335"/>
      <c r="B137" s="338"/>
      <c r="C137" s="347"/>
      <c r="D137" s="254" t="s">
        <v>1206</v>
      </c>
      <c r="E137" s="255" t="s">
        <v>1207</v>
      </c>
      <c r="F137" s="249"/>
      <c r="G137" s="249"/>
      <c r="H137" s="249"/>
      <c r="I137" s="249"/>
      <c r="J137" s="249"/>
      <c r="K137" s="249"/>
      <c r="L137" s="249"/>
      <c r="M137" s="249"/>
      <c r="N137" s="249"/>
      <c r="O137" s="249"/>
      <c r="P137" s="249"/>
      <c r="Q137" s="249"/>
      <c r="R137" s="249"/>
      <c r="S137" s="249"/>
      <c r="T137" s="249"/>
      <c r="U137" s="249"/>
      <c r="V137" s="249"/>
      <c r="W137" s="249"/>
      <c r="X137" s="249"/>
    </row>
    <row r="138" spans="1:24">
      <c r="A138" s="335"/>
      <c r="B138" s="254" t="s">
        <v>1208</v>
      </c>
      <c r="C138" s="257" t="s">
        <v>1208</v>
      </c>
      <c r="D138" s="254" t="s">
        <v>1209</v>
      </c>
      <c r="E138" s="255" t="s">
        <v>1210</v>
      </c>
      <c r="F138" s="249"/>
      <c r="G138" s="249"/>
      <c r="H138" s="249"/>
      <c r="I138" s="249"/>
      <c r="J138" s="249"/>
      <c r="K138" s="249"/>
      <c r="L138" s="249"/>
      <c r="M138" s="249"/>
      <c r="N138" s="249"/>
      <c r="O138" s="249"/>
      <c r="P138" s="249"/>
      <c r="Q138" s="249"/>
      <c r="R138" s="249"/>
      <c r="S138" s="249"/>
      <c r="T138" s="249"/>
      <c r="U138" s="249"/>
      <c r="V138" s="249"/>
      <c r="W138" s="249"/>
      <c r="X138" s="249"/>
    </row>
    <row r="139" spans="1:24">
      <c r="A139" s="335"/>
      <c r="B139" s="254" t="s">
        <v>715</v>
      </c>
      <c r="C139" s="257" t="s">
        <v>1196</v>
      </c>
      <c r="D139" s="254" t="s">
        <v>1197</v>
      </c>
      <c r="E139" s="255" t="s">
        <v>715</v>
      </c>
      <c r="F139" s="249"/>
      <c r="G139" s="249"/>
      <c r="H139" s="249"/>
      <c r="I139" s="249"/>
      <c r="J139" s="249"/>
      <c r="K139" s="249"/>
      <c r="L139" s="249"/>
      <c r="M139" s="249"/>
      <c r="N139" s="249"/>
      <c r="O139" s="249"/>
      <c r="P139" s="249"/>
      <c r="Q139" s="249"/>
      <c r="R139" s="249"/>
      <c r="S139" s="249"/>
      <c r="T139" s="249"/>
      <c r="U139" s="249"/>
      <c r="V139" s="249"/>
      <c r="W139" s="249"/>
      <c r="X139" s="249"/>
    </row>
    <row r="140" spans="1:24">
      <c r="A140" s="335"/>
      <c r="B140" s="254" t="s">
        <v>1211</v>
      </c>
      <c r="C140" s="254" t="s">
        <v>1211</v>
      </c>
      <c r="D140" s="254" t="s">
        <v>1212</v>
      </c>
      <c r="E140" s="255" t="s">
        <v>266</v>
      </c>
      <c r="F140" s="249"/>
      <c r="G140" s="249"/>
      <c r="H140" s="249"/>
      <c r="I140" s="249"/>
      <c r="J140" s="249"/>
      <c r="K140" s="249"/>
      <c r="L140" s="249"/>
      <c r="M140" s="249"/>
      <c r="N140" s="249"/>
      <c r="O140" s="249"/>
      <c r="P140" s="249"/>
      <c r="Q140" s="249"/>
      <c r="R140" s="249"/>
      <c r="S140" s="249"/>
      <c r="T140" s="249"/>
      <c r="U140" s="249"/>
      <c r="V140" s="249"/>
      <c r="W140" s="249"/>
      <c r="X140" s="249"/>
    </row>
    <row r="141" spans="1:24">
      <c r="A141" s="336"/>
      <c r="B141" s="254" t="s">
        <v>1213</v>
      </c>
      <c r="C141" s="254" t="s">
        <v>1213</v>
      </c>
      <c r="D141" s="254" t="s">
        <v>1213</v>
      </c>
      <c r="E141" s="255" t="s">
        <v>628</v>
      </c>
      <c r="F141" s="249"/>
      <c r="G141" s="249"/>
      <c r="H141" s="249"/>
      <c r="I141" s="249"/>
      <c r="J141" s="249"/>
      <c r="K141" s="249"/>
      <c r="L141" s="249"/>
      <c r="M141" s="249"/>
      <c r="N141" s="249"/>
      <c r="O141" s="249"/>
      <c r="P141" s="249"/>
      <c r="Q141" s="249"/>
      <c r="R141" s="249"/>
      <c r="S141" s="249"/>
      <c r="T141" s="249"/>
      <c r="U141" s="249"/>
      <c r="V141" s="249"/>
      <c r="W141" s="249"/>
      <c r="X141" s="249"/>
    </row>
    <row r="142" spans="1:24">
      <c r="A142" s="270"/>
      <c r="B142" s="249"/>
      <c r="C142" s="259"/>
      <c r="D142" s="249"/>
      <c r="E142" s="249"/>
      <c r="F142" s="249"/>
      <c r="G142" s="249"/>
      <c r="H142" s="249"/>
      <c r="I142" s="249"/>
      <c r="J142" s="249"/>
      <c r="K142" s="249"/>
      <c r="L142" s="249"/>
      <c r="M142" s="249"/>
      <c r="N142" s="249"/>
      <c r="O142" s="249"/>
      <c r="P142" s="249"/>
      <c r="Q142" s="249"/>
      <c r="R142" s="249"/>
      <c r="S142" s="249"/>
      <c r="T142" s="249"/>
      <c r="U142" s="249"/>
      <c r="V142" s="249"/>
      <c r="W142" s="249"/>
      <c r="X142" s="249"/>
    </row>
    <row r="143" spans="1:24">
      <c r="A143" s="270"/>
      <c r="B143" s="249"/>
      <c r="C143" s="249"/>
      <c r="D143" s="249"/>
      <c r="E143" s="249"/>
      <c r="F143" s="249"/>
      <c r="G143" s="249"/>
      <c r="H143" s="249"/>
      <c r="I143" s="249"/>
      <c r="J143" s="249"/>
      <c r="K143" s="249"/>
      <c r="L143" s="249"/>
      <c r="M143" s="249"/>
      <c r="N143" s="249"/>
      <c r="O143" s="249"/>
      <c r="P143" s="249"/>
      <c r="Q143" s="249"/>
      <c r="R143" s="249"/>
      <c r="S143" s="249"/>
      <c r="T143" s="249"/>
      <c r="U143" s="249"/>
      <c r="V143" s="249"/>
      <c r="W143" s="249"/>
      <c r="X143" s="249"/>
    </row>
    <row r="144" spans="1:24">
      <c r="A144" s="334" t="s">
        <v>1214</v>
      </c>
      <c r="B144" s="268" t="s">
        <v>1215</v>
      </c>
      <c r="C144" s="268" t="s">
        <v>1216</v>
      </c>
      <c r="D144" s="268" t="s">
        <v>1217</v>
      </c>
      <c r="E144" s="269" t="s">
        <v>484</v>
      </c>
      <c r="F144" s="249"/>
      <c r="G144" s="249"/>
      <c r="H144" s="249"/>
      <c r="I144" s="249"/>
      <c r="J144" s="249"/>
      <c r="K144" s="249"/>
      <c r="L144" s="249"/>
      <c r="M144" s="249"/>
      <c r="N144" s="249"/>
      <c r="O144" s="249"/>
      <c r="P144" s="249"/>
      <c r="Q144" s="249"/>
      <c r="R144" s="249"/>
      <c r="S144" s="249"/>
      <c r="T144" s="249"/>
      <c r="U144" s="249"/>
      <c r="V144" s="249"/>
      <c r="W144" s="249"/>
      <c r="X144" s="249"/>
    </row>
    <row r="145" spans="1:24">
      <c r="A145" s="335"/>
      <c r="B145" s="254" t="s">
        <v>89</v>
      </c>
      <c r="C145" s="254" t="s">
        <v>1218</v>
      </c>
      <c r="D145" s="254" t="s">
        <v>789</v>
      </c>
      <c r="E145" s="255" t="s">
        <v>89</v>
      </c>
      <c r="F145" s="249"/>
      <c r="G145" s="249"/>
      <c r="H145" s="249"/>
      <c r="I145" s="249"/>
      <c r="J145" s="249"/>
      <c r="K145" s="249"/>
      <c r="L145" s="249"/>
      <c r="M145" s="249"/>
      <c r="N145" s="249"/>
      <c r="O145" s="249"/>
      <c r="P145" s="249"/>
      <c r="Q145" s="249"/>
      <c r="R145" s="249"/>
      <c r="S145" s="249"/>
      <c r="T145" s="249"/>
      <c r="U145" s="249"/>
      <c r="V145" s="249"/>
      <c r="W145" s="249"/>
      <c r="X145" s="249"/>
    </row>
    <row r="146" spans="1:24">
      <c r="A146" s="335"/>
      <c r="B146" s="254" t="s">
        <v>90</v>
      </c>
      <c r="C146" s="254" t="s">
        <v>1219</v>
      </c>
      <c r="D146" s="254" t="s">
        <v>795</v>
      </c>
      <c r="E146" s="255" t="s">
        <v>90</v>
      </c>
      <c r="F146" s="249"/>
      <c r="G146" s="249"/>
      <c r="H146" s="249"/>
      <c r="I146" s="249"/>
      <c r="J146" s="249"/>
      <c r="K146" s="249"/>
      <c r="L146" s="249"/>
      <c r="M146" s="249"/>
      <c r="N146" s="249"/>
      <c r="O146" s="249"/>
      <c r="P146" s="249"/>
      <c r="Q146" s="249"/>
      <c r="R146" s="249"/>
      <c r="S146" s="249"/>
      <c r="T146" s="249"/>
      <c r="U146" s="249"/>
      <c r="V146" s="249"/>
      <c r="W146" s="249"/>
      <c r="X146" s="249"/>
    </row>
    <row r="147" spans="1:24">
      <c r="A147" s="336"/>
      <c r="B147" s="254" t="s">
        <v>132</v>
      </c>
      <c r="C147" s="254" t="s">
        <v>1220</v>
      </c>
      <c r="D147" s="254" t="s">
        <v>797</v>
      </c>
      <c r="E147" s="255" t="s">
        <v>132</v>
      </c>
      <c r="F147" s="249"/>
      <c r="G147" s="249"/>
      <c r="H147" s="249"/>
      <c r="I147" s="249"/>
      <c r="J147" s="249"/>
      <c r="K147" s="249"/>
      <c r="L147" s="249"/>
      <c r="M147" s="249"/>
      <c r="N147" s="249"/>
      <c r="O147" s="249"/>
      <c r="P147" s="249"/>
      <c r="Q147" s="249"/>
      <c r="R147" s="249"/>
      <c r="S147" s="249"/>
      <c r="T147" s="249"/>
      <c r="U147" s="249"/>
      <c r="V147" s="249"/>
      <c r="W147" s="249"/>
      <c r="X147" s="249"/>
    </row>
    <row r="148" spans="1:24">
      <c r="A148" s="270"/>
      <c r="B148" s="249"/>
      <c r="C148" s="249"/>
      <c r="D148" s="249"/>
      <c r="E148" s="249"/>
      <c r="F148" s="249"/>
      <c r="G148" s="249"/>
      <c r="H148" s="249"/>
      <c r="I148" s="249"/>
      <c r="J148" s="249"/>
      <c r="K148" s="249"/>
      <c r="L148" s="249"/>
      <c r="M148" s="249"/>
      <c r="N148" s="249"/>
      <c r="O148" s="249"/>
      <c r="P148" s="249"/>
      <c r="Q148" s="249"/>
      <c r="R148" s="249"/>
      <c r="S148" s="249"/>
      <c r="T148" s="249"/>
      <c r="U148" s="249"/>
      <c r="V148" s="249"/>
      <c r="W148" s="249"/>
      <c r="X148" s="249"/>
    </row>
    <row r="149" spans="1:24">
      <c r="A149" s="341" t="s">
        <v>1221</v>
      </c>
      <c r="B149" s="267" t="s">
        <v>790</v>
      </c>
      <c r="C149" s="268" t="s">
        <v>1222</v>
      </c>
      <c r="D149" s="268" t="s">
        <v>1223</v>
      </c>
      <c r="E149" s="269" t="s">
        <v>86</v>
      </c>
      <c r="F149" s="249"/>
      <c r="G149" s="249"/>
      <c r="H149" s="249"/>
      <c r="I149" s="249"/>
      <c r="J149" s="249"/>
      <c r="K149" s="249"/>
      <c r="L149" s="249"/>
      <c r="M149" s="249"/>
      <c r="N149" s="249"/>
      <c r="O149" s="249"/>
      <c r="P149" s="249"/>
      <c r="Q149" s="249"/>
      <c r="R149" s="249"/>
      <c r="S149" s="249"/>
      <c r="T149" s="249"/>
      <c r="U149" s="249"/>
      <c r="V149" s="249"/>
      <c r="W149" s="249"/>
      <c r="X149" s="249"/>
    </row>
    <row r="150" spans="1:24">
      <c r="A150" s="342"/>
      <c r="B150" s="337" t="s">
        <v>1224</v>
      </c>
      <c r="C150" s="339" t="s">
        <v>1225</v>
      </c>
      <c r="D150" s="249" t="s">
        <v>1226</v>
      </c>
      <c r="E150" s="258" t="s">
        <v>156</v>
      </c>
      <c r="F150" s="249"/>
      <c r="G150" s="249"/>
      <c r="H150" s="249"/>
      <c r="I150" s="249"/>
      <c r="J150" s="249"/>
      <c r="K150" s="249"/>
      <c r="L150" s="249"/>
      <c r="M150" s="249"/>
      <c r="N150" s="249"/>
      <c r="O150" s="249"/>
      <c r="P150" s="249"/>
      <c r="Q150" s="249"/>
      <c r="R150" s="249"/>
      <c r="S150" s="249"/>
      <c r="T150" s="249"/>
      <c r="U150" s="249"/>
      <c r="V150" s="249"/>
      <c r="W150" s="249"/>
      <c r="X150" s="249"/>
    </row>
    <row r="151" spans="1:24">
      <c r="A151" s="342"/>
      <c r="B151" s="337"/>
      <c r="C151" s="339"/>
      <c r="D151" s="249" t="s">
        <v>1227</v>
      </c>
      <c r="E151" s="258" t="s">
        <v>157</v>
      </c>
      <c r="F151" s="249"/>
      <c r="G151" s="249"/>
      <c r="H151" s="249"/>
      <c r="I151" s="249"/>
      <c r="J151" s="249"/>
      <c r="K151" s="249"/>
      <c r="L151" s="249"/>
      <c r="M151" s="249"/>
      <c r="N151" s="249"/>
      <c r="O151" s="249"/>
      <c r="P151" s="249"/>
      <c r="Q151" s="249"/>
      <c r="R151" s="249"/>
      <c r="S151" s="249"/>
      <c r="T151" s="249"/>
      <c r="U151" s="249"/>
      <c r="V151" s="249"/>
      <c r="W151" s="249"/>
      <c r="X151" s="249"/>
    </row>
    <row r="152" spans="1:24">
      <c r="A152" s="343"/>
      <c r="B152" s="338"/>
      <c r="C152" s="340"/>
      <c r="D152" s="254" t="s">
        <v>1228</v>
      </c>
      <c r="E152" s="255" t="s">
        <v>158</v>
      </c>
      <c r="F152" s="249"/>
      <c r="G152" s="249"/>
      <c r="H152" s="249"/>
      <c r="I152" s="249"/>
      <c r="J152" s="249"/>
      <c r="K152" s="249"/>
      <c r="L152" s="249"/>
      <c r="M152" s="249"/>
      <c r="N152" s="249"/>
      <c r="O152" s="249"/>
      <c r="P152" s="249"/>
      <c r="Q152" s="249"/>
      <c r="R152" s="249"/>
      <c r="S152" s="249"/>
      <c r="T152" s="249"/>
      <c r="U152" s="249"/>
      <c r="V152" s="249"/>
      <c r="W152" s="249"/>
      <c r="X152" s="249"/>
    </row>
    <row r="153" spans="1:24">
      <c r="A153" s="270"/>
      <c r="B153" s="249"/>
      <c r="C153" s="249"/>
      <c r="D153" s="249"/>
      <c r="E153" s="249"/>
      <c r="F153" s="249"/>
      <c r="G153" s="249"/>
      <c r="H153" s="249"/>
      <c r="I153" s="249"/>
      <c r="J153" s="249"/>
      <c r="K153" s="249"/>
      <c r="L153" s="249"/>
      <c r="M153" s="249"/>
      <c r="N153" s="249"/>
      <c r="O153" s="249"/>
      <c r="P153" s="249"/>
      <c r="Q153" s="249"/>
      <c r="R153" s="249"/>
      <c r="S153" s="249"/>
      <c r="T153" s="249"/>
      <c r="U153" s="249"/>
      <c r="V153" s="249"/>
      <c r="W153" s="249"/>
      <c r="X153" s="249"/>
    </row>
    <row r="154" spans="1:24">
      <c r="A154" s="334" t="s">
        <v>1229</v>
      </c>
      <c r="B154" s="268" t="s">
        <v>198</v>
      </c>
      <c r="C154" s="268" t="s">
        <v>1230</v>
      </c>
      <c r="D154" s="268" t="s">
        <v>1231</v>
      </c>
      <c r="E154" s="269" t="s">
        <v>198</v>
      </c>
      <c r="F154" s="249"/>
      <c r="G154" s="249"/>
      <c r="H154" s="249"/>
      <c r="I154" s="249"/>
      <c r="J154" s="249"/>
      <c r="K154" s="249"/>
      <c r="L154" s="249"/>
      <c r="M154" s="249"/>
      <c r="N154" s="249"/>
      <c r="O154" s="249"/>
      <c r="P154" s="249"/>
      <c r="Q154" s="249"/>
      <c r="R154" s="249"/>
      <c r="S154" s="249"/>
      <c r="T154" s="249"/>
      <c r="U154" s="249"/>
      <c r="V154" s="249"/>
      <c r="W154" s="249"/>
      <c r="X154" s="249"/>
    </row>
    <row r="155" spans="1:24">
      <c r="A155" s="335"/>
      <c r="B155" s="254" t="s">
        <v>374</v>
      </c>
      <c r="C155" s="254" t="s">
        <v>1232</v>
      </c>
      <c r="D155" s="254" t="s">
        <v>1233</v>
      </c>
      <c r="E155" s="255" t="s">
        <v>374</v>
      </c>
      <c r="F155" s="249"/>
      <c r="G155" s="249"/>
      <c r="H155" s="249"/>
      <c r="I155" s="249"/>
      <c r="J155" s="249"/>
      <c r="K155" s="249"/>
      <c r="L155" s="249"/>
      <c r="M155" s="249"/>
      <c r="N155" s="249"/>
      <c r="O155" s="249"/>
      <c r="P155" s="249"/>
      <c r="Q155" s="249"/>
      <c r="R155" s="249"/>
      <c r="S155" s="249"/>
      <c r="T155" s="249"/>
      <c r="U155" s="249"/>
      <c r="V155" s="249"/>
      <c r="W155" s="249"/>
      <c r="X155" s="249"/>
    </row>
    <row r="156" spans="1:24">
      <c r="A156" s="335"/>
      <c r="B156" s="254" t="s">
        <v>1234</v>
      </c>
      <c r="C156" s="254" t="s">
        <v>1235</v>
      </c>
      <c r="D156" s="254" t="s">
        <v>1236</v>
      </c>
      <c r="E156" s="255" t="s">
        <v>1237</v>
      </c>
      <c r="F156" s="249"/>
      <c r="G156" s="249"/>
      <c r="H156" s="249"/>
      <c r="I156" s="249"/>
      <c r="J156" s="249"/>
      <c r="K156" s="249"/>
      <c r="L156" s="249"/>
      <c r="M156" s="249"/>
      <c r="N156" s="249"/>
      <c r="O156" s="249"/>
      <c r="P156" s="249"/>
      <c r="Q156" s="249"/>
      <c r="R156" s="249"/>
      <c r="S156" s="249"/>
      <c r="T156" s="249"/>
      <c r="U156" s="249"/>
      <c r="V156" s="249"/>
      <c r="W156" s="249"/>
      <c r="X156" s="249"/>
    </row>
    <row r="157" spans="1:24">
      <c r="A157" s="336"/>
      <c r="B157" s="254" t="s">
        <v>1238</v>
      </c>
      <c r="C157" s="254" t="s">
        <v>1239</v>
      </c>
      <c r="D157" s="254" t="s">
        <v>1240</v>
      </c>
      <c r="E157" s="255" t="s">
        <v>373</v>
      </c>
      <c r="F157" s="249"/>
      <c r="G157" s="249"/>
      <c r="H157" s="249"/>
      <c r="I157" s="249"/>
      <c r="J157" s="249"/>
      <c r="K157" s="249"/>
      <c r="L157" s="249"/>
      <c r="M157" s="249"/>
      <c r="N157" s="249"/>
      <c r="O157" s="249"/>
      <c r="P157" s="249"/>
      <c r="Q157" s="249"/>
      <c r="R157" s="249"/>
      <c r="S157" s="249"/>
      <c r="T157" s="249"/>
      <c r="U157" s="249"/>
      <c r="V157" s="249"/>
      <c r="W157" s="249"/>
      <c r="X157" s="249"/>
    </row>
    <row r="158" spans="1:24">
      <c r="A158" s="270"/>
      <c r="B158" s="249"/>
      <c r="C158" s="249"/>
      <c r="D158" s="249"/>
      <c r="E158" s="249"/>
      <c r="F158" s="249"/>
      <c r="G158" s="249"/>
      <c r="H158" s="249"/>
      <c r="I158" s="249"/>
      <c r="J158" s="249"/>
      <c r="K158" s="249"/>
      <c r="L158" s="249"/>
      <c r="M158" s="249"/>
      <c r="N158" s="249"/>
      <c r="O158" s="249"/>
      <c r="P158" s="249"/>
      <c r="Q158" s="249"/>
      <c r="R158" s="249"/>
      <c r="S158" s="249"/>
      <c r="T158" s="249"/>
      <c r="U158" s="249"/>
      <c r="V158" s="249"/>
      <c r="W158" s="249"/>
      <c r="X158" s="249"/>
    </row>
    <row r="159" spans="1:24">
      <c r="A159" s="270"/>
      <c r="B159" s="249"/>
      <c r="C159" s="249"/>
      <c r="D159" s="249"/>
      <c r="E159" s="249"/>
      <c r="F159" s="249"/>
      <c r="G159" s="249"/>
      <c r="H159" s="249"/>
      <c r="I159" s="249"/>
      <c r="J159" s="249"/>
      <c r="K159" s="249"/>
      <c r="L159" s="249"/>
      <c r="M159" s="249"/>
      <c r="N159" s="249"/>
      <c r="O159" s="249"/>
      <c r="P159" s="249"/>
      <c r="Q159" s="249"/>
      <c r="R159" s="249"/>
      <c r="S159" s="249"/>
      <c r="T159" s="249"/>
      <c r="U159" s="249"/>
      <c r="V159" s="249"/>
      <c r="W159" s="249"/>
      <c r="X159" s="249"/>
    </row>
    <row r="160" spans="1:24">
      <c r="A160" s="334" t="s">
        <v>1241</v>
      </c>
      <c r="B160" s="268" t="s">
        <v>1242</v>
      </c>
      <c r="C160" s="268" t="s">
        <v>1243</v>
      </c>
      <c r="D160" s="268" t="s">
        <v>1244</v>
      </c>
      <c r="E160" s="269" t="s">
        <v>541</v>
      </c>
      <c r="F160" s="249"/>
      <c r="G160" s="249"/>
      <c r="H160" s="249"/>
      <c r="I160" s="249"/>
      <c r="J160" s="249"/>
      <c r="K160" s="249"/>
      <c r="L160" s="249"/>
      <c r="M160" s="249"/>
      <c r="N160" s="249"/>
      <c r="O160" s="249"/>
      <c r="P160" s="249"/>
      <c r="Q160" s="249"/>
      <c r="R160" s="249"/>
      <c r="S160" s="249"/>
      <c r="T160" s="249"/>
      <c r="U160" s="249"/>
      <c r="V160" s="249"/>
      <c r="W160" s="249"/>
      <c r="X160" s="249"/>
    </row>
    <row r="161" spans="1:24">
      <c r="A161" s="335"/>
      <c r="B161" s="337" t="s">
        <v>1245</v>
      </c>
      <c r="C161" s="339" t="s">
        <v>1246</v>
      </c>
      <c r="D161" s="249" t="s">
        <v>1247</v>
      </c>
      <c r="E161" s="258" t="s">
        <v>494</v>
      </c>
      <c r="F161" s="249"/>
      <c r="G161" s="249"/>
      <c r="H161" s="249"/>
      <c r="I161" s="249"/>
      <c r="J161" s="249"/>
      <c r="K161" s="249"/>
      <c r="L161" s="249"/>
      <c r="M161" s="249"/>
      <c r="N161" s="249"/>
      <c r="O161" s="249"/>
      <c r="P161" s="249"/>
      <c r="Q161" s="249"/>
      <c r="R161" s="249"/>
      <c r="S161" s="249"/>
      <c r="T161" s="249"/>
      <c r="U161" s="249"/>
      <c r="V161" s="249"/>
      <c r="W161" s="249"/>
      <c r="X161" s="249"/>
    </row>
    <row r="162" spans="1:24">
      <c r="A162" s="335"/>
      <c r="B162" s="338"/>
      <c r="C162" s="340"/>
      <c r="D162" s="254" t="s">
        <v>1248</v>
      </c>
      <c r="E162" s="255" t="s">
        <v>340</v>
      </c>
      <c r="F162" s="249"/>
      <c r="G162" s="249"/>
      <c r="H162" s="249"/>
      <c r="I162" s="249"/>
      <c r="J162" s="249"/>
      <c r="K162" s="249"/>
      <c r="L162" s="249"/>
      <c r="M162" s="249"/>
      <c r="N162" s="249"/>
      <c r="O162" s="249"/>
      <c r="P162" s="249"/>
      <c r="Q162" s="249"/>
      <c r="R162" s="249"/>
      <c r="S162" s="249"/>
      <c r="T162" s="249"/>
      <c r="U162" s="249"/>
      <c r="V162" s="249"/>
      <c r="W162" s="249"/>
      <c r="X162" s="249"/>
    </row>
    <row r="163" spans="1:24">
      <c r="A163" s="335"/>
      <c r="B163" s="254" t="s">
        <v>190</v>
      </c>
      <c r="C163" s="254" t="s">
        <v>1249</v>
      </c>
      <c r="D163" s="254" t="s">
        <v>1250</v>
      </c>
      <c r="E163" s="255" t="s">
        <v>190</v>
      </c>
      <c r="F163" s="249"/>
      <c r="G163" s="249"/>
      <c r="H163" s="249"/>
      <c r="I163" s="249"/>
      <c r="J163" s="249"/>
      <c r="K163" s="249"/>
      <c r="L163" s="249"/>
      <c r="M163" s="249"/>
      <c r="N163" s="249"/>
      <c r="O163" s="249"/>
      <c r="P163" s="249"/>
      <c r="Q163" s="249"/>
      <c r="R163" s="249"/>
      <c r="S163" s="249"/>
      <c r="T163" s="249"/>
      <c r="U163" s="249"/>
      <c r="V163" s="249"/>
      <c r="W163" s="249"/>
      <c r="X163" s="249"/>
    </row>
    <row r="164" spans="1:24">
      <c r="A164" s="335"/>
      <c r="B164" s="254" t="s">
        <v>1251</v>
      </c>
      <c r="C164" s="254" t="s">
        <v>1252</v>
      </c>
      <c r="D164" s="254" t="s">
        <v>1253</v>
      </c>
      <c r="E164" s="255" t="s">
        <v>341</v>
      </c>
      <c r="F164" s="249"/>
      <c r="G164" s="249"/>
      <c r="H164" s="249"/>
      <c r="I164" s="249"/>
      <c r="J164" s="249"/>
      <c r="K164" s="249"/>
      <c r="L164" s="249"/>
      <c r="M164" s="249"/>
      <c r="N164" s="249"/>
      <c r="O164" s="249"/>
      <c r="P164" s="249"/>
      <c r="Q164" s="249"/>
      <c r="R164" s="249"/>
      <c r="S164" s="249"/>
      <c r="T164" s="249"/>
      <c r="U164" s="249"/>
      <c r="V164" s="249"/>
      <c r="W164" s="249"/>
      <c r="X164" s="249"/>
    </row>
    <row r="165" spans="1:24">
      <c r="A165" s="335"/>
      <c r="B165" s="254" t="s">
        <v>1254</v>
      </c>
      <c r="C165" s="254" t="s">
        <v>1255</v>
      </c>
      <c r="D165" s="254" t="s">
        <v>1256</v>
      </c>
      <c r="E165" s="255" t="s">
        <v>387</v>
      </c>
      <c r="F165" s="249"/>
      <c r="G165" s="249"/>
      <c r="H165" s="249"/>
      <c r="I165" s="249"/>
      <c r="J165" s="249"/>
      <c r="K165" s="249"/>
      <c r="L165" s="249"/>
      <c r="M165" s="249"/>
      <c r="N165" s="249"/>
      <c r="O165" s="249"/>
      <c r="P165" s="249"/>
      <c r="Q165" s="249"/>
      <c r="R165" s="249"/>
      <c r="S165" s="249"/>
      <c r="T165" s="249"/>
      <c r="U165" s="249"/>
      <c r="V165" s="249"/>
      <c r="W165" s="249"/>
      <c r="X165" s="249"/>
    </row>
    <row r="166" spans="1:24">
      <c r="A166" s="336"/>
      <c r="B166" s="254" t="s">
        <v>629</v>
      </c>
      <c r="C166" s="254" t="s">
        <v>1257</v>
      </c>
      <c r="D166" s="254" t="s">
        <v>1258</v>
      </c>
      <c r="E166" s="255" t="s">
        <v>629</v>
      </c>
      <c r="F166" s="249"/>
      <c r="G166" s="249"/>
      <c r="H166" s="249"/>
      <c r="I166" s="249"/>
      <c r="J166" s="249"/>
      <c r="K166" s="249"/>
      <c r="L166" s="249"/>
      <c r="M166" s="249"/>
      <c r="N166" s="249"/>
      <c r="O166" s="249"/>
      <c r="P166" s="249"/>
      <c r="Q166" s="249"/>
      <c r="R166" s="249"/>
      <c r="S166" s="249"/>
      <c r="T166" s="249"/>
      <c r="U166" s="249"/>
      <c r="V166" s="249"/>
      <c r="W166" s="249"/>
      <c r="X166" s="249"/>
    </row>
  </sheetData>
  <mergeCells count="61">
    <mergeCell ref="C62:C63"/>
    <mergeCell ref="B65:B66"/>
    <mergeCell ref="C65:C66"/>
    <mergeCell ref="B28:B29"/>
    <mergeCell ref="B60:B61"/>
    <mergeCell ref="C60:C61"/>
    <mergeCell ref="C9:C10"/>
    <mergeCell ref="B9:B10"/>
    <mergeCell ref="C17:C18"/>
    <mergeCell ref="C20:C22"/>
    <mergeCell ref="A4:A66"/>
    <mergeCell ref="B13:B15"/>
    <mergeCell ref="C13:C15"/>
    <mergeCell ref="B30:B31"/>
    <mergeCell ref="C30:C31"/>
    <mergeCell ref="B32:B36"/>
    <mergeCell ref="B38:B39"/>
    <mergeCell ref="C38:C39"/>
    <mergeCell ref="B42:B43"/>
    <mergeCell ref="B45:B47"/>
    <mergeCell ref="B48:B55"/>
    <mergeCell ref="C48:C55"/>
    <mergeCell ref="B17:B18"/>
    <mergeCell ref="B20:B22"/>
    <mergeCell ref="A68:A107"/>
    <mergeCell ref="B68:B69"/>
    <mergeCell ref="C68:C69"/>
    <mergeCell ref="B72:B73"/>
    <mergeCell ref="C72:C73"/>
    <mergeCell ref="C77:C78"/>
    <mergeCell ref="B86:B89"/>
    <mergeCell ref="B92:B94"/>
    <mergeCell ref="B95:B100"/>
    <mergeCell ref="C95:C100"/>
    <mergeCell ref="B104:B105"/>
    <mergeCell ref="C104:C105"/>
    <mergeCell ref="B77:B78"/>
    <mergeCell ref="B62:B63"/>
    <mergeCell ref="A110:A125"/>
    <mergeCell ref="B111:B113"/>
    <mergeCell ref="C111:C113"/>
    <mergeCell ref="B115:B116"/>
    <mergeCell ref="C115:C116"/>
    <mergeCell ref="B118:B119"/>
    <mergeCell ref="B120:B121"/>
    <mergeCell ref="C120:C121"/>
    <mergeCell ref="B124:B125"/>
    <mergeCell ref="C124:C125"/>
    <mergeCell ref="A128:A141"/>
    <mergeCell ref="B128:B129"/>
    <mergeCell ref="C128:C129"/>
    <mergeCell ref="B136:B137"/>
    <mergeCell ref="C136:C137"/>
    <mergeCell ref="A160:A166"/>
    <mergeCell ref="B161:B162"/>
    <mergeCell ref="C161:C162"/>
    <mergeCell ref="A144:A147"/>
    <mergeCell ref="A149:A152"/>
    <mergeCell ref="B150:B152"/>
    <mergeCell ref="C150:C152"/>
    <mergeCell ref="A154:A157"/>
  </mergeCells>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Concensus Data Extraction</vt:lpstr>
      <vt:lpstr>Coding Key</vt:lpstr>
      <vt:lpstr>Lower_is_better_database</vt:lpstr>
      <vt:lpstr>Leyenda Outcomes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Francisco Álvarez</dc:creator>
  <cp:keywords/>
  <dc:description/>
  <cp:lastModifiedBy>MANUEL REGUERA RODRIGUEZ</cp:lastModifiedBy>
  <cp:revision/>
  <dcterms:created xsi:type="dcterms:W3CDTF">2020-08-05T16:00:39Z</dcterms:created>
  <dcterms:modified xsi:type="dcterms:W3CDTF">2026-10-29T15:41:24Z</dcterms:modified>
  <cp:category/>
  <cp:contentStatus/>
</cp:coreProperties>
</file>